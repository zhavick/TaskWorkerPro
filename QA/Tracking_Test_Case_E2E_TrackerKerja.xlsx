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&amp; Metrics" sheetId="1" state="visible" r:id="rId1"/>
    <sheet xmlns:r="http://schemas.openxmlformats.org/officeDocument/2006/relationships" name="E2E Test Cases Master" sheetId="2" state="visible" r:id="rId2"/>
    <sheet xmlns:r="http://schemas.openxmlformats.org/officeDocument/2006/relationships" name="Execution Cycles" sheetId="3" state="visible" r:id="rId3"/>
    <sheet xmlns:r="http://schemas.openxmlformats.org/officeDocument/2006/relationships" name="Defect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0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i val="1"/>
      <color rgb="0064748B"/>
      <sz val="10"/>
    </font>
    <font>
      <name val="Segoe UI"/>
      <b val="1"/>
      <color rgb="004F46E5"/>
      <sz val="8"/>
    </font>
    <font>
      <name val="Segoe UI"/>
      <b val="1"/>
      <color rgb="000284C7"/>
      <sz val="8"/>
    </font>
    <font>
      <name val="Segoe UI"/>
      <b val="1"/>
      <color rgb="0016A34A"/>
      <sz val="8"/>
    </font>
    <font>
      <name val="Segoe UI"/>
      <b val="1"/>
      <color rgb="00DC2626"/>
      <sz val="8"/>
    </font>
    <font>
      <name val="Segoe UI"/>
      <b val="1"/>
      <color rgb="00D97706"/>
      <sz val="8"/>
    </font>
    <font>
      <name val="Segoe UI"/>
      <b val="1"/>
      <color rgb="0064748B"/>
      <sz val="8"/>
    </font>
    <font>
      <name val="Segoe UI"/>
      <b val="1"/>
      <color rgb="000D9488"/>
      <sz val="8"/>
    </font>
    <font>
      <name val="Segoe UI"/>
      <b val="1"/>
      <color rgb="001E293B"/>
      <sz val="11"/>
    </font>
    <font>
      <name val="Segoe UI"/>
      <b val="1"/>
      <color rgb="00FFFFFF"/>
      <sz val="11"/>
    </font>
    <font>
      <name val="Segoe UI"/>
      <b val="1"/>
      <color rgb="001E293B"/>
      <sz val="10"/>
    </font>
    <font>
      <name val="Segoe UI"/>
      <b val="1"/>
      <color rgb="00166534"/>
      <sz val="10"/>
    </font>
    <font>
      <name val="Segoe UI"/>
      <b val="1"/>
      <color rgb="00991B1B"/>
      <sz val="10"/>
    </font>
    <font>
      <name val="Segoe UI"/>
      <b val="1"/>
      <color rgb="0092400E"/>
      <sz val="10"/>
    </font>
    <font>
      <name val="Segoe UI"/>
      <color rgb="0064748B"/>
      <sz val="9"/>
    </font>
    <font>
      <name val="Segoe UI"/>
      <b val="1"/>
      <color rgb="00FFFFFF"/>
      <sz val="10"/>
    </font>
    <font>
      <name val="Segoe UI"/>
      <b val="1"/>
      <color rgb="00D97706"/>
      <sz val="10"/>
    </font>
    <font>
      <name val="Segoe UI"/>
      <color rgb="001E293B"/>
      <sz val="10"/>
    </font>
  </fonts>
  <fills count="13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4F46E5"/>
        <bgColor rgb="004F46E5"/>
      </patternFill>
    </fill>
    <fill>
      <patternFill patternType="solid">
        <fgColor rgb="000284C7"/>
        <bgColor rgb="000284C7"/>
      </patternFill>
    </fill>
    <fill>
      <patternFill patternType="solid">
        <fgColor rgb="0016A34A"/>
        <bgColor rgb="0016A34A"/>
      </patternFill>
    </fill>
    <fill>
      <patternFill patternType="solid">
        <fgColor rgb="00DC2626"/>
        <bgColor rgb="00DC2626"/>
      </patternFill>
    </fill>
    <fill>
      <patternFill patternType="solid">
        <fgColor rgb="00D97706"/>
        <bgColor rgb="00D97706"/>
      </patternFill>
    </fill>
    <fill>
      <patternFill patternType="solid">
        <fgColor rgb="0064748B"/>
        <bgColor rgb="0064748B"/>
      </patternFill>
    </fill>
    <fill>
      <patternFill patternType="solid">
        <fgColor rgb="000D9488"/>
        <bgColor rgb="000D9488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3" fontId="1" fillId="3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10" fillId="0" borderId="0" pivotButton="0" quotePrefix="0" xfId="0"/>
    <xf numFmtId="0" fontId="11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left" vertical="center"/>
    </xf>
    <xf numFmtId="0" fontId="13" fillId="2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164" fontId="1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13" fillId="3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/>
    </xf>
    <xf numFmtId="164" fontId="12" fillId="3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164" fontId="17" fillId="11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18" fillId="3" borderId="1" applyAlignment="1" pivotButton="0" quotePrefix="0" xfId="0">
      <alignment horizontal="center" vertical="center"/>
    </xf>
    <xf numFmtId="0" fontId="19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/>
    </xf>
    <xf numFmtId="0" fontId="19" fillId="3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2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5" customWidth="1" min="9" max="9"/>
    <col width="24" customWidth="1" min="10" max="10"/>
    <col width="16" customWidth="1" min="11" max="11"/>
  </cols>
  <sheetData>
    <row r="1">
      <c r="A1" s="1" t="inlineStr">
        <is>
          <t>TaskWorker Pro — Executive QA Quality Dashboard &amp; Metrics</t>
        </is>
      </c>
    </row>
    <row r="2">
      <c r="A2" s="2" t="inlineStr">
        <is>
          <t>Laporan Pengujian Mutu Terstandarisasi Lintas 19 Modul Sistem (FSD 5.22)</t>
        </is>
      </c>
    </row>
    <row r="4">
      <c r="A4" s="3" t="inlineStr">
        <is>
          <t>TOTAL SKENARIO UJI</t>
        </is>
      </c>
      <c r="B4" s="4" t="n"/>
      <c r="C4" s="5" t="inlineStr">
        <is>
          <t>TOTAL DIEKSEKUSI</t>
        </is>
      </c>
      <c r="D4" s="4" t="n"/>
      <c r="E4" s="6" t="inlineStr">
        <is>
          <t>PASS (LULUS)</t>
        </is>
      </c>
      <c r="F4" s="7" t="inlineStr">
        <is>
          <t>FAIL (GAGAL)</t>
        </is>
      </c>
      <c r="G4" s="8" t="inlineStr">
        <is>
          <t>BLOCKED (TERTAHAN)</t>
        </is>
      </c>
      <c r="H4" s="9" t="inlineStr">
        <is>
          <t>UNTESTED</t>
        </is>
      </c>
      <c r="I4" s="10" t="inlineStr">
        <is>
          <t>% PENYELESAIAN</t>
        </is>
      </c>
      <c r="J4" s="4" t="n"/>
      <c r="K4" s="6" t="inlineStr">
        <is>
          <t>% PASS RATE</t>
        </is>
      </c>
    </row>
    <row r="5">
      <c r="A5" s="11">
        <f>COUNTA('E2E Test Cases Master'!A4:A75)</f>
        <v/>
      </c>
      <c r="B5" s="4" t="n"/>
      <c r="C5" s="11">
        <f>COUNTIF('E2E Test Cases Master'!H4:H75,"Pass")+COUNTIF('E2E Test Cases Master'!H4:H75,"Fail")+COUNTIF('E2E Test Cases Master'!H4:H75,"Blocked")</f>
        <v/>
      </c>
      <c r="D5" s="4" t="n"/>
      <c r="E5" s="11">
        <f>COUNTIF('E2E Test Cases Master'!H4:H75,"Pass")</f>
        <v/>
      </c>
      <c r="F5" s="11">
        <f>COUNTIF('E2E Test Cases Master'!H4:H75,"Fail")</f>
        <v/>
      </c>
      <c r="G5" s="11">
        <f>COUNTIF('E2E Test Cases Master'!H4:H75,"Blocked")</f>
        <v/>
      </c>
      <c r="H5" s="11">
        <f>COUNTIF('E2E Test Cases Master'!H4:H75,"Untested")</f>
        <v/>
      </c>
      <c r="I5" s="12">
        <f>C5/A5</f>
        <v/>
      </c>
      <c r="J5" s="4" t="n"/>
      <c r="K5" s="12">
        <f>E5/IF(C5&gt;0,C5,1)</f>
        <v/>
      </c>
    </row>
    <row r="6">
      <c r="A6" s="13" t="n"/>
      <c r="B6" s="4" t="n"/>
      <c r="C6" s="14" t="n"/>
      <c r="D6" s="4" t="n"/>
      <c r="E6" s="15" t="n"/>
      <c r="F6" s="16" t="n"/>
      <c r="G6" s="17" t="n"/>
      <c r="H6" s="18" t="n"/>
      <c r="I6" s="19" t="n"/>
      <c r="J6" s="4" t="n"/>
      <c r="K6" s="15" t="n"/>
    </row>
    <row r="8">
      <c r="A8" s="20" t="inlineStr">
        <is>
          <t>TABEL KEMAJUAN &amp; HASIL PENGUJIAN PER 19 MODUL SISTEM</t>
        </is>
      </c>
    </row>
    <row r="9" ht="24" customHeight="1">
      <c r="A9" s="21" t="inlineStr">
        <is>
          <t>No</t>
        </is>
      </c>
      <c r="B9" s="21" t="inlineStr">
        <is>
          <t>Kode Modul</t>
        </is>
      </c>
      <c r="C9" s="22" t="inlineStr">
        <is>
          <t>Nama Modul Aplikasi</t>
        </is>
      </c>
      <c r="D9" s="21" t="inlineStr">
        <is>
          <t>Total Kasus</t>
        </is>
      </c>
      <c r="E9" s="21" t="inlineStr">
        <is>
          <t>Pass</t>
        </is>
      </c>
      <c r="F9" s="21" t="inlineStr">
        <is>
          <t>Fail</t>
        </is>
      </c>
      <c r="G9" s="21" t="inlineStr">
        <is>
          <t>Blocked</t>
        </is>
      </c>
      <c r="H9" s="21" t="inlineStr">
        <is>
          <t>Untested</t>
        </is>
      </c>
      <c r="I9" s="21" t="inlineStr">
        <is>
          <t>% Pass Rate</t>
        </is>
      </c>
      <c r="J9" s="21" t="inlineStr">
        <is>
          <t>Status Kesiapan</t>
        </is>
      </c>
    </row>
    <row r="10" ht="20" customHeight="1">
      <c r="A10" s="23" t="n">
        <v>1</v>
      </c>
      <c r="B10" s="24" t="inlineStr">
        <is>
          <t>AUTH</t>
        </is>
      </c>
      <c r="C10" s="25" t="inlineStr">
        <is>
          <t>Autentikasi Ganda &amp; Session</t>
        </is>
      </c>
      <c r="D10" s="23">
        <f>COUNTIF('E2E Test Cases Master'!B4:B75, "Autentikasi Ganda &amp; Session")</f>
        <v/>
      </c>
      <c r="E10" s="26">
        <f>COUNTIFS('E2E Test Cases Master'!B4:B75, "Autentikasi Ganda &amp; Session", 'E2E Test Cases Master'!H4:H75, "Pass")</f>
        <v/>
      </c>
      <c r="F10" s="27">
        <f>COUNTIFS('E2E Test Cases Master'!B4:B75, "Autentikasi Ganda &amp; Session", 'E2E Test Cases Master'!H4:H75, "Fail")</f>
        <v/>
      </c>
      <c r="G10" s="28">
        <f>COUNTIFS('E2E Test Cases Master'!B4:B75, "Autentikasi Ganda &amp; Session", 'E2E Test Cases Master'!H4:H75, "Blocked")</f>
        <v/>
      </c>
      <c r="H10" s="29">
        <f>COUNTIFS('E2E Test Cases Master'!B4:B75, "Autentikasi Ganda &amp; Session", 'E2E Test Cases Master'!H4:H75, "Untested")</f>
        <v/>
      </c>
      <c r="I10" s="30">
        <f>IF(D10&gt;0, E10/D10, 0)</f>
        <v/>
      </c>
      <c r="J10" s="29">
        <f>IF(I10&gt;=1, "Ready for Production", IF(I10&gt;=0.75, "Acceptable / In Review", "Action Required"))</f>
        <v/>
      </c>
    </row>
    <row r="11" ht="20" customHeight="1">
      <c r="A11" s="31" t="n">
        <v>2</v>
      </c>
      <c r="B11" s="32" t="inlineStr">
        <is>
          <t>TENANT</t>
        </is>
      </c>
      <c r="C11" s="33" t="inlineStr">
        <is>
          <t>Multi-Company Isolation</t>
        </is>
      </c>
      <c r="D11" s="31">
        <f>COUNTIF('E2E Test Cases Master'!B4:B75, "Multi-Company Isolation")</f>
        <v/>
      </c>
      <c r="E11" s="34">
        <f>COUNTIFS('E2E Test Cases Master'!B4:B75, "Multi-Company Isolation", 'E2E Test Cases Master'!H4:H75, "Pass")</f>
        <v/>
      </c>
      <c r="F11" s="35">
        <f>COUNTIFS('E2E Test Cases Master'!B4:B75, "Multi-Company Isolation", 'E2E Test Cases Master'!H4:H75, "Fail")</f>
        <v/>
      </c>
      <c r="G11" s="36">
        <f>COUNTIFS('E2E Test Cases Master'!B4:B75, "Multi-Company Isolation", 'E2E Test Cases Master'!H4:H75, "Blocked")</f>
        <v/>
      </c>
      <c r="H11" s="37">
        <f>COUNTIFS('E2E Test Cases Master'!B4:B75, "Multi-Company Isolation", 'E2E Test Cases Master'!H4:H75, "Untested")</f>
        <v/>
      </c>
      <c r="I11" s="38">
        <f>IF(D11&gt;0, E11/D11, 0)</f>
        <v/>
      </c>
      <c r="J11" s="37">
        <f>IF(I11&gt;=1, "Ready for Production", IF(I11&gt;=0.75, "Acceptable / In Review", "Action Required"))</f>
        <v/>
      </c>
    </row>
    <row r="12" ht="20" customHeight="1">
      <c r="A12" s="23" t="n">
        <v>3</v>
      </c>
      <c r="B12" s="24" t="inlineStr">
        <is>
          <t>PROJ</t>
        </is>
      </c>
      <c r="C12" s="25" t="inlineStr">
        <is>
          <t>Manajemen Proyek</t>
        </is>
      </c>
      <c r="D12" s="23">
        <f>COUNTIF('E2E Test Cases Master'!B4:B75, "Manajemen Proyek")</f>
        <v/>
      </c>
      <c r="E12" s="26">
        <f>COUNTIFS('E2E Test Cases Master'!B4:B75, "Manajemen Proyek", 'E2E Test Cases Master'!H4:H75, "Pass")</f>
        <v/>
      </c>
      <c r="F12" s="27">
        <f>COUNTIFS('E2E Test Cases Master'!B4:B75, "Manajemen Proyek", 'E2E Test Cases Master'!H4:H75, "Fail")</f>
        <v/>
      </c>
      <c r="G12" s="28">
        <f>COUNTIFS('E2E Test Cases Master'!B4:B75, "Manajemen Proyek", 'E2E Test Cases Master'!H4:H75, "Blocked")</f>
        <v/>
      </c>
      <c r="H12" s="29">
        <f>COUNTIFS('E2E Test Cases Master'!B4:B75, "Manajemen Proyek", 'E2E Test Cases Master'!H4:H75, "Untested")</f>
        <v/>
      </c>
      <c r="I12" s="30">
        <f>IF(D12&gt;0, E12/D12, 0)</f>
        <v/>
      </c>
      <c r="J12" s="29">
        <f>IF(I12&gt;=1, "Ready for Production", IF(I12&gt;=0.75, "Acceptable / In Review", "Action Required"))</f>
        <v/>
      </c>
    </row>
    <row r="13" ht="20" customHeight="1">
      <c r="A13" s="31" t="n">
        <v>4</v>
      </c>
      <c r="B13" s="32" t="inlineStr">
        <is>
          <t>TASK</t>
        </is>
      </c>
      <c r="C13" s="33" t="inlineStr">
        <is>
          <t>Parenting &amp; Hierarki Tugas</t>
        </is>
      </c>
      <c r="D13" s="31">
        <f>COUNTIF('E2E Test Cases Master'!B4:B75, "Parenting &amp; Hierarki Tugas")</f>
        <v/>
      </c>
      <c r="E13" s="34">
        <f>COUNTIFS('E2E Test Cases Master'!B4:B75, "Parenting &amp; Hierarki Tugas", 'E2E Test Cases Master'!H4:H75, "Pass")</f>
        <v/>
      </c>
      <c r="F13" s="35">
        <f>COUNTIFS('E2E Test Cases Master'!B4:B75, "Parenting &amp; Hierarki Tugas", 'E2E Test Cases Master'!H4:H75, "Fail")</f>
        <v/>
      </c>
      <c r="G13" s="36">
        <f>COUNTIFS('E2E Test Cases Master'!B4:B75, "Parenting &amp; Hierarki Tugas", 'E2E Test Cases Master'!H4:H75, "Blocked")</f>
        <v/>
      </c>
      <c r="H13" s="37">
        <f>COUNTIFS('E2E Test Cases Master'!B4:B75, "Parenting &amp; Hierarki Tugas", 'E2E Test Cases Master'!H4:H75, "Untested")</f>
        <v/>
      </c>
      <c r="I13" s="38">
        <f>IF(D13&gt;0, E13/D13, 0)</f>
        <v/>
      </c>
      <c r="J13" s="37">
        <f>IF(I13&gt;=1, "Ready for Production", IF(I13&gt;=0.75, "Acceptable / In Review", "Action Required"))</f>
        <v/>
      </c>
    </row>
    <row r="14" ht="20" customHeight="1">
      <c r="A14" s="23" t="n">
        <v>5</v>
      </c>
      <c r="B14" s="24" t="inlineStr">
        <is>
          <t>KANBAN</t>
        </is>
      </c>
      <c r="C14" s="25" t="inlineStr">
        <is>
          <t>Kanban Board Interaktif</t>
        </is>
      </c>
      <c r="D14" s="23">
        <f>COUNTIF('E2E Test Cases Master'!B4:B75, "Kanban Board Interaktif")</f>
        <v/>
      </c>
      <c r="E14" s="26">
        <f>COUNTIFS('E2E Test Cases Master'!B4:B75, "Kanban Board Interaktif", 'E2E Test Cases Master'!H4:H75, "Pass")</f>
        <v/>
      </c>
      <c r="F14" s="27">
        <f>COUNTIFS('E2E Test Cases Master'!B4:B75, "Kanban Board Interaktif", 'E2E Test Cases Master'!H4:H75, "Fail")</f>
        <v/>
      </c>
      <c r="G14" s="28">
        <f>COUNTIFS('E2E Test Cases Master'!B4:B75, "Kanban Board Interaktif", 'E2E Test Cases Master'!H4:H75, "Blocked")</f>
        <v/>
      </c>
      <c r="H14" s="29">
        <f>COUNTIFS('E2E Test Cases Master'!B4:B75, "Kanban Board Interaktif", 'E2E Test Cases Master'!H4:H75, "Untested")</f>
        <v/>
      </c>
      <c r="I14" s="30">
        <f>IF(D14&gt;0, E14/D14, 0)</f>
        <v/>
      </c>
      <c r="J14" s="29">
        <f>IF(I14&gt;=1, "Ready for Production", IF(I14&gt;=0.75, "Acceptable / In Review", "Action Required"))</f>
        <v/>
      </c>
    </row>
    <row r="15" ht="20" customHeight="1">
      <c r="A15" s="31" t="n">
        <v>6</v>
      </c>
      <c r="B15" s="32" t="inlineStr">
        <is>
          <t>TIME</t>
        </is>
      </c>
      <c r="C15" s="33" t="inlineStr">
        <is>
          <t>Timesheet &amp; Multi-Timer</t>
        </is>
      </c>
      <c r="D15" s="31">
        <f>COUNTIF('E2E Test Cases Master'!B4:B75, "Timesheet &amp; Multi-Timer")</f>
        <v/>
      </c>
      <c r="E15" s="34">
        <f>COUNTIFS('E2E Test Cases Master'!B4:B75, "Timesheet &amp; Multi-Timer", 'E2E Test Cases Master'!H4:H75, "Pass")</f>
        <v/>
      </c>
      <c r="F15" s="35">
        <f>COUNTIFS('E2E Test Cases Master'!B4:B75, "Timesheet &amp; Multi-Timer", 'E2E Test Cases Master'!H4:H75, "Fail")</f>
        <v/>
      </c>
      <c r="G15" s="36">
        <f>COUNTIFS('E2E Test Cases Master'!B4:B75, "Timesheet &amp; Multi-Timer", 'E2E Test Cases Master'!H4:H75, "Blocked")</f>
        <v/>
      </c>
      <c r="H15" s="37">
        <f>COUNTIFS('E2E Test Cases Master'!B4:B75, "Timesheet &amp; Multi-Timer", 'E2E Test Cases Master'!H4:H75, "Untested")</f>
        <v/>
      </c>
      <c r="I15" s="38">
        <f>IF(D15&gt;0, E15/D15, 0)</f>
        <v/>
      </c>
      <c r="J15" s="37">
        <f>IF(I15&gt;=1, "Ready for Production", IF(I15&gt;=0.75, "Acceptable / In Review", "Action Required"))</f>
        <v/>
      </c>
    </row>
    <row r="16" ht="20" customHeight="1">
      <c r="A16" s="23" t="n">
        <v>7</v>
      </c>
      <c r="B16" s="24" t="inlineStr">
        <is>
          <t>ATTEND</t>
        </is>
      </c>
      <c r="C16" s="25" t="inlineStr">
        <is>
          <t>Presensi &amp; Rekonsiliasi</t>
        </is>
      </c>
      <c r="D16" s="23">
        <f>COUNTIF('E2E Test Cases Master'!B4:B75, "Presensi &amp; Rekonsiliasi")</f>
        <v/>
      </c>
      <c r="E16" s="26">
        <f>COUNTIFS('E2E Test Cases Master'!B4:B75, "Presensi &amp; Rekonsiliasi", 'E2E Test Cases Master'!H4:H75, "Pass")</f>
        <v/>
      </c>
      <c r="F16" s="27">
        <f>COUNTIFS('E2E Test Cases Master'!B4:B75, "Presensi &amp; Rekonsiliasi", 'E2E Test Cases Master'!H4:H75, "Fail")</f>
        <v/>
      </c>
      <c r="G16" s="28">
        <f>COUNTIFS('E2E Test Cases Master'!B4:B75, "Presensi &amp; Rekonsiliasi", 'E2E Test Cases Master'!H4:H75, "Blocked")</f>
        <v/>
      </c>
      <c r="H16" s="29">
        <f>COUNTIFS('E2E Test Cases Master'!B4:B75, "Presensi &amp; Rekonsiliasi", 'E2E Test Cases Master'!H4:H75, "Untested")</f>
        <v/>
      </c>
      <c r="I16" s="30">
        <f>IF(D16&gt;0, E16/D16, 0)</f>
        <v/>
      </c>
      <c r="J16" s="29">
        <f>IF(I16&gt;=1, "Ready for Production", IF(I16&gt;=0.75, "Acceptable / In Review", "Action Required"))</f>
        <v/>
      </c>
    </row>
    <row r="17" ht="20" customHeight="1">
      <c r="A17" s="31" t="n">
        <v>8</v>
      </c>
      <c r="B17" s="32" t="inlineStr">
        <is>
          <t>NOTE</t>
        </is>
      </c>
      <c r="C17" s="33" t="inlineStr">
        <is>
          <t>Catatan &amp; Upload File</t>
        </is>
      </c>
      <c r="D17" s="31">
        <f>COUNTIF('E2E Test Cases Master'!B4:B75, "Catatan &amp; Upload File")</f>
        <v/>
      </c>
      <c r="E17" s="34">
        <f>COUNTIFS('E2E Test Cases Master'!B4:B75, "Catatan &amp; Upload File", 'E2E Test Cases Master'!H4:H75, "Pass")</f>
        <v/>
      </c>
      <c r="F17" s="35">
        <f>COUNTIFS('E2E Test Cases Master'!B4:B75, "Catatan &amp; Upload File", 'E2E Test Cases Master'!H4:H75, "Fail")</f>
        <v/>
      </c>
      <c r="G17" s="36">
        <f>COUNTIFS('E2E Test Cases Master'!B4:B75, "Catatan &amp; Upload File", 'E2E Test Cases Master'!H4:H75, "Blocked")</f>
        <v/>
      </c>
      <c r="H17" s="37">
        <f>COUNTIFS('E2E Test Cases Master'!B4:B75, "Catatan &amp; Upload File", 'E2E Test Cases Master'!H4:H75, "Untested")</f>
        <v/>
      </c>
      <c r="I17" s="38">
        <f>IF(D17&gt;0, E17/D17, 0)</f>
        <v/>
      </c>
      <c r="J17" s="37">
        <f>IF(I17&gt;=1, "Ready for Production", IF(I17&gt;=0.75, "Acceptable / In Review", "Action Required"))</f>
        <v/>
      </c>
    </row>
    <row r="18" ht="20" customHeight="1">
      <c r="A18" s="23" t="n">
        <v>9</v>
      </c>
      <c r="B18" s="24" t="inlineStr">
        <is>
          <t>EXCEL</t>
        </is>
      </c>
      <c r="C18" s="25" t="inlineStr">
        <is>
          <t>ClosedXML Interoperabilitas</t>
        </is>
      </c>
      <c r="D18" s="23">
        <f>COUNTIF('E2E Test Cases Master'!B4:B75, "ClosedXML Interoperabilitas")</f>
        <v/>
      </c>
      <c r="E18" s="26">
        <f>COUNTIFS('E2E Test Cases Master'!B4:B75, "ClosedXML Interoperabilitas", 'E2E Test Cases Master'!H4:H75, "Pass")</f>
        <v/>
      </c>
      <c r="F18" s="27">
        <f>COUNTIFS('E2E Test Cases Master'!B4:B75, "ClosedXML Interoperabilitas", 'E2E Test Cases Master'!H4:H75, "Fail")</f>
        <v/>
      </c>
      <c r="G18" s="28">
        <f>COUNTIFS('E2E Test Cases Master'!B4:B75, "ClosedXML Interoperabilitas", 'E2E Test Cases Master'!H4:H75, "Blocked")</f>
        <v/>
      </c>
      <c r="H18" s="29">
        <f>COUNTIFS('E2E Test Cases Master'!B4:B75, "ClosedXML Interoperabilitas", 'E2E Test Cases Master'!H4:H75, "Untested")</f>
        <v/>
      </c>
      <c r="I18" s="30">
        <f>IF(D18&gt;0, E18/D18, 0)</f>
        <v/>
      </c>
      <c r="J18" s="29">
        <f>IF(I18&gt;=1, "Ready for Production", IF(I18&gt;=0.75, "Acceptable / In Review", "Action Required"))</f>
        <v/>
      </c>
    </row>
    <row r="19" ht="20" customHeight="1">
      <c r="A19" s="31" t="n">
        <v>10</v>
      </c>
      <c r="B19" s="32" t="inlineStr">
        <is>
          <t>TEAM</t>
        </is>
      </c>
      <c r="C19" s="33" t="inlineStr">
        <is>
          <t>Direktori Tim &amp; Keanggotaan</t>
        </is>
      </c>
      <c r="D19" s="31">
        <f>COUNTIF('E2E Test Cases Master'!B4:B75, "Direktori Tim &amp; Keanggotaan")</f>
        <v/>
      </c>
      <c r="E19" s="34">
        <f>COUNTIFS('E2E Test Cases Master'!B4:B75, "Direktori Tim &amp; Keanggotaan", 'E2E Test Cases Master'!H4:H75, "Pass")</f>
        <v/>
      </c>
      <c r="F19" s="35">
        <f>COUNTIFS('E2E Test Cases Master'!B4:B75, "Direktori Tim &amp; Keanggotaan", 'E2E Test Cases Master'!H4:H75, "Fail")</f>
        <v/>
      </c>
      <c r="G19" s="36">
        <f>COUNTIFS('E2E Test Cases Master'!B4:B75, "Direktori Tim &amp; Keanggotaan", 'E2E Test Cases Master'!H4:H75, "Blocked")</f>
        <v/>
      </c>
      <c r="H19" s="37">
        <f>COUNTIFS('E2E Test Cases Master'!B4:B75, "Direktori Tim &amp; Keanggotaan", 'E2E Test Cases Master'!H4:H75, "Untested")</f>
        <v/>
      </c>
      <c r="I19" s="38">
        <f>IF(D19&gt;0, E19/D19, 0)</f>
        <v/>
      </c>
      <c r="J19" s="37">
        <f>IF(I19&gt;=1, "Ready for Production", IF(I19&gt;=0.75, "Acceptable / In Review", "Action Required"))</f>
        <v/>
      </c>
    </row>
    <row r="20" ht="20" customHeight="1">
      <c r="A20" s="23" t="n">
        <v>11</v>
      </c>
      <c r="B20" s="24" t="inlineStr">
        <is>
          <t>CAL</t>
        </is>
      </c>
      <c r="C20" s="25" t="inlineStr">
        <is>
          <t>Kalender Tugas Interaktif</t>
        </is>
      </c>
      <c r="D20" s="23">
        <f>COUNTIF('E2E Test Cases Master'!B4:B75, "Kalender Tugas Interaktif")</f>
        <v/>
      </c>
      <c r="E20" s="26">
        <f>COUNTIFS('E2E Test Cases Master'!B4:B75, "Kalender Tugas Interaktif", 'E2E Test Cases Master'!H4:H75, "Pass")</f>
        <v/>
      </c>
      <c r="F20" s="27">
        <f>COUNTIFS('E2E Test Cases Master'!B4:B75, "Kalender Tugas Interaktif", 'E2E Test Cases Master'!H4:H75, "Fail")</f>
        <v/>
      </c>
      <c r="G20" s="28">
        <f>COUNTIFS('E2E Test Cases Master'!B4:B75, "Kalender Tugas Interaktif", 'E2E Test Cases Master'!H4:H75, "Blocked")</f>
        <v/>
      </c>
      <c r="H20" s="29">
        <f>COUNTIFS('E2E Test Cases Master'!B4:B75, "Kalender Tugas Interaktif", 'E2E Test Cases Master'!H4:H75, "Untested")</f>
        <v/>
      </c>
      <c r="I20" s="30">
        <f>IF(D20&gt;0, E20/D20, 0)</f>
        <v/>
      </c>
      <c r="J20" s="29">
        <f>IF(I20&gt;=1, "Ready for Production", IF(I20&gt;=0.75, "Acceptable / In Review", "Action Required"))</f>
        <v/>
      </c>
    </row>
    <row r="21" ht="20" customHeight="1">
      <c r="A21" s="31" t="n">
        <v>12</v>
      </c>
      <c r="B21" s="32" t="inlineStr">
        <is>
          <t>DEV</t>
        </is>
      </c>
      <c r="C21" s="33" t="inlineStr">
        <is>
          <t>Developer Tools</t>
        </is>
      </c>
      <c r="D21" s="31">
        <f>COUNTIF('E2E Test Cases Master'!B4:B75, "Developer Tools")</f>
        <v/>
      </c>
      <c r="E21" s="34">
        <f>COUNTIFS('E2E Test Cases Master'!B4:B75, "Developer Tools", 'E2E Test Cases Master'!H4:H75, "Pass")</f>
        <v/>
      </c>
      <c r="F21" s="35">
        <f>COUNTIFS('E2E Test Cases Master'!B4:B75, "Developer Tools", 'E2E Test Cases Master'!H4:H75, "Fail")</f>
        <v/>
      </c>
      <c r="G21" s="36">
        <f>COUNTIFS('E2E Test Cases Master'!B4:B75, "Developer Tools", 'E2E Test Cases Master'!H4:H75, "Blocked")</f>
        <v/>
      </c>
      <c r="H21" s="37">
        <f>COUNTIFS('E2E Test Cases Master'!B4:B75, "Developer Tools", 'E2E Test Cases Master'!H4:H75, "Untested")</f>
        <v/>
      </c>
      <c r="I21" s="38">
        <f>IF(D21&gt;0, E21/D21, 0)</f>
        <v/>
      </c>
      <c r="J21" s="37">
        <f>IF(I21&gt;=1, "Ready for Production", IF(I21&gt;=0.75, "Acceptable / In Review", "Action Required"))</f>
        <v/>
      </c>
    </row>
    <row r="22" ht="20" customHeight="1">
      <c r="A22" s="23" t="n">
        <v>13</v>
      </c>
      <c r="B22" s="24" t="inlineStr">
        <is>
          <t>AUDIT</t>
        </is>
      </c>
      <c r="C22" s="25" t="inlineStr">
        <is>
          <t>Audit Trail Eksekutif</t>
        </is>
      </c>
      <c r="D22" s="23">
        <f>COUNTIF('E2E Test Cases Master'!B4:B75, "Audit Trail Eksekutif")</f>
        <v/>
      </c>
      <c r="E22" s="26">
        <f>COUNTIFS('E2E Test Cases Master'!B4:B75, "Audit Trail Eksekutif", 'E2E Test Cases Master'!H4:H75, "Pass")</f>
        <v/>
      </c>
      <c r="F22" s="27">
        <f>COUNTIFS('E2E Test Cases Master'!B4:B75, "Audit Trail Eksekutif", 'E2E Test Cases Master'!H4:H75, "Fail")</f>
        <v/>
      </c>
      <c r="G22" s="28">
        <f>COUNTIFS('E2E Test Cases Master'!B4:B75, "Audit Trail Eksekutif", 'E2E Test Cases Master'!H4:H75, "Blocked")</f>
        <v/>
      </c>
      <c r="H22" s="29">
        <f>COUNTIFS('E2E Test Cases Master'!B4:B75, "Audit Trail Eksekutif", 'E2E Test Cases Master'!H4:H75, "Untested")</f>
        <v/>
      </c>
      <c r="I22" s="30">
        <f>IF(D22&gt;0, E22/D22, 0)</f>
        <v/>
      </c>
      <c r="J22" s="29">
        <f>IF(I22&gt;=1, "Ready for Production", IF(I22&gt;=0.75, "Acceptable / In Review", "Action Required"))</f>
        <v/>
      </c>
    </row>
    <row r="23" ht="20" customHeight="1">
      <c r="A23" s="31" t="n">
        <v>14</v>
      </c>
      <c r="B23" s="32" t="inlineStr">
        <is>
          <t>MASTER</t>
        </is>
      </c>
      <c r="C23" s="33" t="inlineStr">
        <is>
          <t>Master Data &amp; Pengaturan</t>
        </is>
      </c>
      <c r="D23" s="31">
        <f>COUNTIF('E2E Test Cases Master'!B4:B75, "Master Data &amp; Pengaturan")</f>
        <v/>
      </c>
      <c r="E23" s="34">
        <f>COUNTIFS('E2E Test Cases Master'!B4:B75, "Master Data &amp; Pengaturan", 'E2E Test Cases Master'!H4:H75, "Pass")</f>
        <v/>
      </c>
      <c r="F23" s="35">
        <f>COUNTIFS('E2E Test Cases Master'!B4:B75, "Master Data &amp; Pengaturan", 'E2E Test Cases Master'!H4:H75, "Fail")</f>
        <v/>
      </c>
      <c r="G23" s="36">
        <f>COUNTIFS('E2E Test Cases Master'!B4:B75, "Master Data &amp; Pengaturan", 'E2E Test Cases Master'!H4:H75, "Blocked")</f>
        <v/>
      </c>
      <c r="H23" s="37">
        <f>COUNTIFS('E2E Test Cases Master'!B4:B75, "Master Data &amp; Pengaturan", 'E2E Test Cases Master'!H4:H75, "Untested")</f>
        <v/>
      </c>
      <c r="I23" s="38">
        <f>IF(D23&gt;0, E23/D23, 0)</f>
        <v/>
      </c>
      <c r="J23" s="37">
        <f>IF(I23&gt;=1, "Ready for Production", IF(I23&gt;=0.75, "Acceptable / In Review", "Action Required"))</f>
        <v/>
      </c>
    </row>
    <row r="24" ht="20" customHeight="1">
      <c r="A24" s="23" t="n">
        <v>15</v>
      </c>
      <c r="B24" s="24" t="inlineStr">
        <is>
          <t>GAME</t>
        </is>
      </c>
      <c r="C24" s="25" t="inlineStr">
        <is>
          <t>Gamifikasi &amp; Master Badges</t>
        </is>
      </c>
      <c r="D24" s="23">
        <f>COUNTIF('E2E Test Cases Master'!B4:B75, "Gamifikasi &amp; Master Badges")</f>
        <v/>
      </c>
      <c r="E24" s="26">
        <f>COUNTIFS('E2E Test Cases Master'!B4:B75, "Gamifikasi &amp; Master Badges", 'E2E Test Cases Master'!H4:H75, "Pass")</f>
        <v/>
      </c>
      <c r="F24" s="27">
        <f>COUNTIFS('E2E Test Cases Master'!B4:B75, "Gamifikasi &amp; Master Badges", 'E2E Test Cases Master'!H4:H75, "Fail")</f>
        <v/>
      </c>
      <c r="G24" s="28">
        <f>COUNTIFS('E2E Test Cases Master'!B4:B75, "Gamifikasi &amp; Master Badges", 'E2E Test Cases Master'!H4:H75, "Blocked")</f>
        <v/>
      </c>
      <c r="H24" s="29">
        <f>COUNTIFS('E2E Test Cases Master'!B4:B75, "Gamifikasi &amp; Master Badges", 'E2E Test Cases Master'!H4:H75, "Untested")</f>
        <v/>
      </c>
      <c r="I24" s="30">
        <f>IF(D24&gt;0, E24/D24, 0)</f>
        <v/>
      </c>
      <c r="J24" s="29">
        <f>IF(I24&gt;=1, "Ready for Production", IF(I24&gt;=0.75, "Acceptable / In Review", "Action Required"))</f>
        <v/>
      </c>
    </row>
    <row r="25" ht="20" customHeight="1">
      <c r="A25" s="31" t="n">
        <v>16</v>
      </c>
      <c r="B25" s="32" t="inlineStr">
        <is>
          <t>NOTIF</t>
        </is>
      </c>
      <c r="C25" s="33" t="inlineStr">
        <is>
          <t>Notifikasi SMTP &amp; Pengingat</t>
        </is>
      </c>
      <c r="D25" s="31">
        <f>COUNTIF('E2E Test Cases Master'!B4:B75, "Notifikasi SMTP &amp; Pengingat")</f>
        <v/>
      </c>
      <c r="E25" s="34">
        <f>COUNTIFS('E2E Test Cases Master'!B4:B75, "Notifikasi SMTP &amp; Pengingat", 'E2E Test Cases Master'!H4:H75, "Pass")</f>
        <v/>
      </c>
      <c r="F25" s="35">
        <f>COUNTIFS('E2E Test Cases Master'!B4:B75, "Notifikasi SMTP &amp; Pengingat", 'E2E Test Cases Master'!H4:H75, "Fail")</f>
        <v/>
      </c>
      <c r="G25" s="36">
        <f>COUNTIFS('E2E Test Cases Master'!B4:B75, "Notifikasi SMTP &amp; Pengingat", 'E2E Test Cases Master'!H4:H75, "Blocked")</f>
        <v/>
      </c>
      <c r="H25" s="37">
        <f>COUNTIFS('E2E Test Cases Master'!B4:B75, "Notifikasi SMTP &amp; Pengingat", 'E2E Test Cases Master'!H4:H75, "Untested")</f>
        <v/>
      </c>
      <c r="I25" s="38">
        <f>IF(D25&gt;0, E25/D25, 0)</f>
        <v/>
      </c>
      <c r="J25" s="37">
        <f>IF(I25&gt;=1, "Ready for Production", IF(I25&gt;=0.75, "Acceptable / In Review", "Action Required"))</f>
        <v/>
      </c>
    </row>
    <row r="26" ht="20" customHeight="1">
      <c r="A26" s="23" t="n">
        <v>17</v>
      </c>
      <c r="B26" s="24" t="inlineStr">
        <is>
          <t>SYNC</t>
        </is>
      </c>
      <c r="C26" s="25" t="inlineStr">
        <is>
          <t>Multi-Instance Sync</t>
        </is>
      </c>
      <c r="D26" s="23">
        <f>COUNTIF('E2E Test Cases Master'!B4:B75, "Multi-Instance Sync")</f>
        <v/>
      </c>
      <c r="E26" s="26">
        <f>COUNTIFS('E2E Test Cases Master'!B4:B75, "Multi-Instance Sync", 'E2E Test Cases Master'!H4:H75, "Pass")</f>
        <v/>
      </c>
      <c r="F26" s="27">
        <f>COUNTIFS('E2E Test Cases Master'!B4:B75, "Multi-Instance Sync", 'E2E Test Cases Master'!H4:H75, "Fail")</f>
        <v/>
      </c>
      <c r="G26" s="28">
        <f>COUNTIFS('E2E Test Cases Master'!B4:B75, "Multi-Instance Sync", 'E2E Test Cases Master'!H4:H75, "Blocked")</f>
        <v/>
      </c>
      <c r="H26" s="29">
        <f>COUNTIFS('E2E Test Cases Master'!B4:B75, "Multi-Instance Sync", 'E2E Test Cases Master'!H4:H75, "Untested")</f>
        <v/>
      </c>
      <c r="I26" s="30">
        <f>IF(D26&gt;0, E26/D26, 0)</f>
        <v/>
      </c>
      <c r="J26" s="29">
        <f>IF(I26&gt;=1, "Ready for Production", IF(I26&gt;=0.75, "Acceptable / In Review", "Action Required"))</f>
        <v/>
      </c>
    </row>
    <row r="27" ht="20" customHeight="1">
      <c r="A27" s="31" t="n">
        <v>18</v>
      </c>
      <c r="B27" s="32" t="inlineStr">
        <is>
          <t>THEME</t>
        </is>
      </c>
      <c r="C27" s="33" t="inlineStr">
        <is>
          <t>Tema &amp; Global Font Engine</t>
        </is>
      </c>
      <c r="D27" s="31">
        <f>COUNTIF('E2E Test Cases Master'!B4:B75, "Tema &amp; Global Font Engine")</f>
        <v/>
      </c>
      <c r="E27" s="34">
        <f>COUNTIFS('E2E Test Cases Master'!B4:B75, "Tema &amp; Global Font Engine", 'E2E Test Cases Master'!H4:H75, "Pass")</f>
        <v/>
      </c>
      <c r="F27" s="35">
        <f>COUNTIFS('E2E Test Cases Master'!B4:B75, "Tema &amp; Global Font Engine", 'E2E Test Cases Master'!H4:H75, "Fail")</f>
        <v/>
      </c>
      <c r="G27" s="36">
        <f>COUNTIFS('E2E Test Cases Master'!B4:B75, "Tema &amp; Global Font Engine", 'E2E Test Cases Master'!H4:H75, "Blocked")</f>
        <v/>
      </c>
      <c r="H27" s="37">
        <f>COUNTIFS('E2E Test Cases Master'!B4:B75, "Tema &amp; Global Font Engine", 'E2E Test Cases Master'!H4:H75, "Untested")</f>
        <v/>
      </c>
      <c r="I27" s="38">
        <f>IF(D27&gt;0, E27/D27, 0)</f>
        <v/>
      </c>
      <c r="J27" s="37">
        <f>IF(I27&gt;=1, "Ready for Production", IF(I27&gt;=0.75, "Acceptable / In Review", "Action Required"))</f>
        <v/>
      </c>
    </row>
    <row r="28" ht="20" customHeight="1">
      <c r="A28" s="23" t="n">
        <v>19</v>
      </c>
      <c r="B28" s="24" t="inlineStr">
        <is>
          <t>API</t>
        </is>
      </c>
      <c r="C28" s="25" t="inlineStr">
        <is>
          <t>REST API &amp; Swagger Bearer</t>
        </is>
      </c>
      <c r="D28" s="23">
        <f>COUNTIF('E2E Test Cases Master'!B4:B75, "REST API &amp; Swagger Bearer")</f>
        <v/>
      </c>
      <c r="E28" s="26">
        <f>COUNTIFS('E2E Test Cases Master'!B4:B75, "REST API &amp; Swagger Bearer", 'E2E Test Cases Master'!H4:H75, "Pass")</f>
        <v/>
      </c>
      <c r="F28" s="27">
        <f>COUNTIFS('E2E Test Cases Master'!B4:B75, "REST API &amp; Swagger Bearer", 'E2E Test Cases Master'!H4:H75, "Fail")</f>
        <v/>
      </c>
      <c r="G28" s="28">
        <f>COUNTIFS('E2E Test Cases Master'!B4:B75, "REST API &amp; Swagger Bearer", 'E2E Test Cases Master'!H4:H75, "Blocked")</f>
        <v/>
      </c>
      <c r="H28" s="29">
        <f>COUNTIFS('E2E Test Cases Master'!B4:B75, "REST API &amp; Swagger Bearer", 'E2E Test Cases Master'!H4:H75, "Untested")</f>
        <v/>
      </c>
      <c r="I28" s="30">
        <f>IF(D28&gt;0, E28/D28, 0)</f>
        <v/>
      </c>
      <c r="J28" s="29">
        <f>IF(I28&gt;=1, "Ready for Production", IF(I28&gt;=0.75, "Acceptable / In Review", "Action Required"))</f>
        <v/>
      </c>
    </row>
    <row r="29" ht="22" customHeight="1">
      <c r="A29" s="39" t="inlineStr"/>
      <c r="B29" s="39" t="inlineStr"/>
      <c r="C29" s="39" t="inlineStr">
        <is>
          <t>TOTAL KESELURUHAN</t>
        </is>
      </c>
      <c r="D29" s="39">
        <f>SUM(D10:D28)</f>
        <v/>
      </c>
      <c r="E29" s="39">
        <f>SUM(E10:E28)</f>
        <v/>
      </c>
      <c r="F29" s="39">
        <f>SUM(F10:F28)</f>
        <v/>
      </c>
      <c r="G29" s="39">
        <f>SUM(G10:G28)</f>
        <v/>
      </c>
      <c r="H29" s="39">
        <f>SUM(H10:H28)</f>
        <v/>
      </c>
      <c r="I29" s="40">
        <f>IF(D29&gt;0, E29/D29, 0)</f>
        <v/>
      </c>
      <c r="J29" s="39">
        <f>IF(I29&gt;=0.98, "PASSED GATEKEEPER", "GATEKEEPER PENDING")</f>
        <v/>
      </c>
    </row>
  </sheetData>
  <mergeCells count="26">
    <mergeCell ref="C6:D6"/>
    <mergeCell ref="I6:J6"/>
    <mergeCell ref="G4"/>
    <mergeCell ref="C5:D5"/>
    <mergeCell ref="A1:K1"/>
    <mergeCell ref="A6:B6"/>
    <mergeCell ref="C4:D4"/>
    <mergeCell ref="K4"/>
    <mergeCell ref="H5"/>
    <mergeCell ref="K6"/>
    <mergeCell ref="F4"/>
    <mergeCell ref="K5"/>
    <mergeCell ref="F6"/>
    <mergeCell ref="H4"/>
    <mergeCell ref="E5"/>
    <mergeCell ref="E4"/>
    <mergeCell ref="H6"/>
    <mergeCell ref="A5:B5"/>
    <mergeCell ref="A2:K2"/>
    <mergeCell ref="I5:J5"/>
    <mergeCell ref="F5"/>
    <mergeCell ref="G6"/>
    <mergeCell ref="A4:B4"/>
    <mergeCell ref="I4:J4"/>
    <mergeCell ref="E6"/>
    <mergeCell ref="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34" customWidth="1" min="3" max="3"/>
    <col width="18" customWidth="1" min="4" max="4"/>
    <col width="18" customWidth="1" min="5" max="5"/>
    <col width="38" customWidth="1" min="6" max="6"/>
    <col width="38" customWidth="1" min="7" max="7"/>
    <col width="14" customWidth="1" min="8" max="8"/>
    <col width="22" customWidth="1" min="9" max="9"/>
    <col width="16" customWidth="1" min="10" max="10"/>
    <col width="16" customWidth="1" min="11" max="11"/>
  </cols>
  <sheetData>
    <row r="1">
      <c r="A1" s="1" t="inlineStr">
        <is>
          <t>TaskWorker Pro — Master E2E Test Cases Repository (72 Test Cases)</t>
        </is>
      </c>
    </row>
    <row r="2">
      <c r="A2" s="2" t="inlineStr">
        <is>
          <t>Mencakup Skenario Positif, Negatif, RBAC Security, dan Validasi Data Lintas 19 Modul</t>
        </is>
      </c>
    </row>
    <row r="3" ht="26" customHeight="1">
      <c r="A3" s="21" t="inlineStr">
        <is>
          <t>Test Case ID</t>
        </is>
      </c>
      <c r="B3" s="22" t="inlineStr">
        <is>
          <t>Nama Modul</t>
        </is>
      </c>
      <c r="C3" s="22" t="inlineStr">
        <is>
          <t>Judul Skenario Pengujian</t>
        </is>
      </c>
      <c r="D3" s="21" t="inlineStr">
        <is>
          <t>Tipe Skenario</t>
        </is>
      </c>
      <c r="E3" s="21" t="inlineStr">
        <is>
          <t>Tingkat Keparahan</t>
        </is>
      </c>
      <c r="F3" s="22" t="inlineStr">
        <is>
          <t>Langkah Pengujian (Test Steps)</t>
        </is>
      </c>
      <c r="G3" s="22" t="inlineStr">
        <is>
          <t>Hasil Yang Diharapkan (Expected Result)</t>
        </is>
      </c>
      <c r="H3" s="21" t="inlineStr">
        <is>
          <t>Status Hasil</t>
        </is>
      </c>
      <c r="I3" s="21" t="inlineStr">
        <is>
          <t>Siklus Uji</t>
        </is>
      </c>
      <c r="J3" s="21" t="inlineStr">
        <is>
          <t>Tanggal Eksekusi</t>
        </is>
      </c>
      <c r="K3" s="21" t="inlineStr">
        <is>
          <t>Tester / PIC</t>
        </is>
      </c>
    </row>
    <row r="4" ht="42" customHeight="1">
      <c r="A4" s="24" t="inlineStr">
        <is>
          <t>TC-AUTH-01</t>
        </is>
      </c>
      <c r="B4" s="25" t="inlineStr">
        <is>
          <t>Autentikasi Ganda &amp; Session</t>
        </is>
      </c>
      <c r="C4" s="41" t="inlineStr">
        <is>
          <t>Login pengguna kredensial valid</t>
        </is>
      </c>
      <c r="D4" s="23" t="inlineStr">
        <is>
          <t>Positive</t>
        </is>
      </c>
      <c r="E4" s="27" t="inlineStr">
        <is>
          <t>Blocker</t>
        </is>
      </c>
      <c r="F4" s="41" t="inlineStr">
        <is>
          <t>1. Akses halaman /login
2. Masukkan email &amp; password benar
3. Klik Masuk</t>
        </is>
      </c>
      <c r="G4" s="41" t="inlineStr">
        <is>
          <t>Pengguna berhasil login, JWT token tersimpan, redirect ke /dashboard</t>
        </is>
      </c>
      <c r="H4" s="42" t="inlineStr">
        <is>
          <t>Pass</t>
        </is>
      </c>
      <c r="I4" s="23" t="inlineStr">
        <is>
          <t>Smoke/Sanity</t>
        </is>
      </c>
      <c r="J4" s="23" t="inlineStr">
        <is>
          <t>2026-10-17</t>
        </is>
      </c>
      <c r="K4" s="23" t="inlineStr">
        <is>
          <t>QA Lead</t>
        </is>
      </c>
    </row>
    <row r="5" ht="42" customHeight="1">
      <c r="A5" s="32" t="inlineStr">
        <is>
          <t>TC-AUTH-02</t>
        </is>
      </c>
      <c r="B5" s="33" t="inlineStr">
        <is>
          <t>Autentikasi Ganda &amp; Session</t>
        </is>
      </c>
      <c r="C5" s="43" t="inlineStr">
        <is>
          <t>Proteksi brute-force lockout 5x</t>
        </is>
      </c>
      <c r="D5" s="31" t="inlineStr">
        <is>
          <t>Negative</t>
        </is>
      </c>
      <c r="E5" s="44" t="inlineStr">
        <is>
          <t>Major</t>
        </is>
      </c>
      <c r="F5" s="43" t="inlineStr">
        <is>
          <t>1. Input password salah 5 kali berturut-turut pada akun yang sama</t>
        </is>
      </c>
      <c r="G5" s="43" t="inlineStr">
        <is>
          <t>Akun terkunci otomatis selama 15 menit, pesan 'Account locked out' muncul</t>
        </is>
      </c>
      <c r="H5" s="42" t="inlineStr">
        <is>
          <t>Pass</t>
        </is>
      </c>
      <c r="I5" s="31" t="inlineStr">
        <is>
          <t>Full E2E Sprint</t>
        </is>
      </c>
      <c r="J5" s="31" t="inlineStr">
        <is>
          <t>2026-10-17</t>
        </is>
      </c>
      <c r="K5" s="31" t="inlineStr">
        <is>
          <t>Security QA</t>
        </is>
      </c>
    </row>
    <row r="6" ht="42" customHeight="1">
      <c r="A6" s="24" t="inlineStr">
        <is>
          <t>TC-AUTH-03</t>
        </is>
      </c>
      <c r="B6" s="25" t="inlineStr">
        <is>
          <t>Autentikasi Ganda &amp; Session</t>
        </is>
      </c>
      <c r="C6" s="41" t="inlineStr">
        <is>
          <t>Pembaruan token remember-me</t>
        </is>
      </c>
      <c r="D6" s="23" t="inlineStr">
        <is>
          <t>Positive</t>
        </is>
      </c>
      <c r="E6" s="45" t="inlineStr">
        <is>
          <t>Moderate</t>
        </is>
      </c>
      <c r="F6" s="41" t="inlineStr">
        <is>
          <t>1. Centang 'Ingat Saya' saat login
2. Tutup tab peramban dan buka kembali setelah 1 jam</t>
        </is>
      </c>
      <c r="G6" s="41" t="inlineStr">
        <is>
          <t>Sesi login tetap aktif tanpa harus mengetik ulang kredensial</t>
        </is>
      </c>
      <c r="H6" s="42" t="inlineStr">
        <is>
          <t>Pass</t>
        </is>
      </c>
      <c r="I6" s="23" t="inlineStr">
        <is>
          <t>Full E2E Sprint</t>
        </is>
      </c>
      <c r="J6" s="23" t="inlineStr">
        <is>
          <t>2026-10-17</t>
        </is>
      </c>
      <c r="K6" s="23" t="inlineStr">
        <is>
          <t>QA Engineer</t>
        </is>
      </c>
    </row>
    <row r="7" ht="42" customHeight="1">
      <c r="A7" s="32" t="inlineStr">
        <is>
          <t>TC-AUTH-04</t>
        </is>
      </c>
      <c r="B7" s="33" t="inlineStr">
        <is>
          <t>Autentikasi Ganda &amp; Session</t>
        </is>
      </c>
      <c r="C7" s="43" t="inlineStr">
        <is>
          <t>Force logout pasca revokasi session</t>
        </is>
      </c>
      <c r="D7" s="31" t="inlineStr">
        <is>
          <t>Security/RBAC</t>
        </is>
      </c>
      <c r="E7" s="44" t="inlineStr">
        <is>
          <t>Major</t>
        </is>
      </c>
      <c r="F7" s="43" t="inlineStr">
        <is>
          <t>1. Buka sesi aktif di Device A
2. Lakukan 'Keluar dari Semua Sesi' di Profil Akun Device B</t>
        </is>
      </c>
      <c r="G7" s="43" t="inlineStr">
        <is>
          <t>Sesi di Device A otomatis terputus dan diarahkan ke login</t>
        </is>
      </c>
      <c r="H7" s="42" t="inlineStr">
        <is>
          <t>Pass</t>
        </is>
      </c>
      <c r="I7" s="31" t="inlineStr">
        <is>
          <t>Full E2E Sprint</t>
        </is>
      </c>
      <c r="J7" s="31" t="inlineStr">
        <is>
          <t>2026-10-17</t>
        </is>
      </c>
      <c r="K7" s="31" t="inlineStr">
        <is>
          <t>Security QA</t>
        </is>
      </c>
    </row>
    <row r="8" ht="42" customHeight="1">
      <c r="A8" s="24" t="inlineStr">
        <is>
          <t>TC-TENANT-01</t>
        </is>
      </c>
      <c r="B8" s="25" t="inlineStr">
        <is>
          <t>Multi-Company Isolation</t>
        </is>
      </c>
      <c r="C8" s="41" t="inlineStr">
        <is>
          <t>Isolasi data tenant per Corporate Code</t>
        </is>
      </c>
      <c r="D8" s="23" t="inlineStr">
        <is>
          <t>Security/RBAC</t>
        </is>
      </c>
      <c r="E8" s="27" t="inlineStr">
        <is>
          <t>Blocker</t>
        </is>
      </c>
      <c r="F8" s="41" t="inlineStr">
        <is>
          <t>1. Login sebagai User PT Alpha
2. Query daftar proyek &amp; tugas</t>
        </is>
      </c>
      <c r="G8" s="41" t="inlineStr">
        <is>
          <t>Hanya data dengan CompanyId PT Alpha yang tampil, data PT Beta tidak bocor</t>
        </is>
      </c>
      <c r="H8" s="42" t="inlineStr">
        <is>
          <t>Pass</t>
        </is>
      </c>
      <c r="I8" s="23" t="inlineStr">
        <is>
          <t>Multi-Company Regression</t>
        </is>
      </c>
      <c r="J8" s="23" t="inlineStr">
        <is>
          <t>2026-10-17</t>
        </is>
      </c>
      <c r="K8" s="23" t="inlineStr">
        <is>
          <t>Lead QA</t>
        </is>
      </c>
    </row>
    <row r="9" ht="42" customHeight="1">
      <c r="A9" s="32" t="inlineStr">
        <is>
          <t>TC-TENANT-02</t>
        </is>
      </c>
      <c r="B9" s="33" t="inlineStr">
        <is>
          <t>Multi-Company Isolation</t>
        </is>
      </c>
      <c r="C9" s="43" t="inlineStr">
        <is>
          <t>Penolakan akses data entitas lain (403)</t>
        </is>
      </c>
      <c r="D9" s="31" t="inlineStr">
        <is>
          <t>Security/RBAC</t>
        </is>
      </c>
      <c r="E9" s="35" t="inlineStr">
        <is>
          <t>Blocker</t>
        </is>
      </c>
      <c r="F9" s="43" t="inlineStr">
        <is>
          <t>1. Login User PT Alpha
2. Akses URL /tasks/{id_milik_pt_beta} secara langsung</t>
        </is>
      </c>
      <c r="G9" s="43" t="inlineStr">
        <is>
          <t>Sistem mengembalikan respons 403 Forbidden atau 404 Not Found</t>
        </is>
      </c>
      <c r="H9" s="42" t="inlineStr">
        <is>
          <t>Pass</t>
        </is>
      </c>
      <c r="I9" s="31" t="inlineStr">
        <is>
          <t>Multi-Company Regression</t>
        </is>
      </c>
      <c r="J9" s="31" t="inlineStr">
        <is>
          <t>2026-10-17</t>
        </is>
      </c>
      <c r="K9" s="31" t="inlineStr">
        <is>
          <t>Security QA</t>
        </is>
      </c>
    </row>
    <row r="10" ht="42" customHeight="1">
      <c r="A10" s="24" t="inlineStr">
        <is>
          <t>TC-TENANT-03</t>
        </is>
      </c>
      <c r="B10" s="25" t="inlineStr">
        <is>
          <t>Multi-Company Isolation</t>
        </is>
      </c>
      <c r="C10" s="41" t="inlineStr">
        <is>
          <t>Filter multi-tenant pada laporan &amp; analitik</t>
        </is>
      </c>
      <c r="D10" s="23" t="inlineStr">
        <is>
          <t>Positive</t>
        </is>
      </c>
      <c r="E10" s="46" t="inlineStr">
        <is>
          <t>Major</t>
        </is>
      </c>
      <c r="F10" s="41" t="inlineStr">
        <is>
          <t>1. Buka halaman Timesheet &amp; Kalender
2. Periksa agregasi jam kerja</t>
        </is>
      </c>
      <c r="G10" s="41" t="inlineStr">
        <is>
          <t>Total jam dan grafik hanya menghitung data dari perusahaan aktif</t>
        </is>
      </c>
      <c r="H10" s="42" t="inlineStr">
        <is>
          <t>Pass</t>
        </is>
      </c>
      <c r="I10" s="23" t="inlineStr">
        <is>
          <t>Multi-Company Regression</t>
        </is>
      </c>
      <c r="J10" s="23" t="inlineStr">
        <is>
          <t>2026-10-17</t>
        </is>
      </c>
      <c r="K10" s="23" t="inlineStr">
        <is>
          <t>QA Engineer</t>
        </is>
      </c>
    </row>
    <row r="11" ht="42" customHeight="1">
      <c r="A11" s="32" t="inlineStr">
        <is>
          <t>TC-TENANT-04</t>
        </is>
      </c>
      <c r="B11" s="33" t="inlineStr">
        <is>
          <t>Multi-Company Isolation</t>
        </is>
      </c>
      <c r="C11" s="43" t="inlineStr">
        <is>
          <t>SuperAdmin mengelola multiple corporate code</t>
        </is>
      </c>
      <c r="D11" s="31" t="inlineStr">
        <is>
          <t>Positive</t>
        </is>
      </c>
      <c r="E11" s="47" t="inlineStr">
        <is>
          <t>Moderate</t>
        </is>
      </c>
      <c r="F11" s="43" t="inlineStr">
        <is>
          <t>1. Login sebagai Administrator Utama
2. Buka Master Data Perusahaan
3. Switch context</t>
        </is>
      </c>
      <c r="G11" s="43" t="inlineStr">
        <is>
          <t>Administrator dapat meninjau statistik tiap tenant tanpa tumpang tindih data</t>
        </is>
      </c>
      <c r="H11" s="42" t="inlineStr">
        <is>
          <t>Pass</t>
        </is>
      </c>
      <c r="I11" s="31" t="inlineStr">
        <is>
          <t>Full E2E Sprint</t>
        </is>
      </c>
      <c r="J11" s="31" t="inlineStr">
        <is>
          <t>2026-10-17</t>
        </is>
      </c>
      <c r="K11" s="31" t="inlineStr">
        <is>
          <t>Lead QA</t>
        </is>
      </c>
    </row>
    <row r="12" ht="42" customHeight="1">
      <c r="A12" s="24" t="inlineStr">
        <is>
          <t>TC-PROJ-01</t>
        </is>
      </c>
      <c r="B12" s="25" t="inlineStr">
        <is>
          <t>Manajemen Proyek</t>
        </is>
      </c>
      <c r="C12" s="41" t="inlineStr">
        <is>
          <t>Pembuatan proyek baru dengan alokasi budget</t>
        </is>
      </c>
      <c r="D12" s="23" t="inlineStr">
        <is>
          <t>Positive</t>
        </is>
      </c>
      <c r="E12" s="46" t="inlineStr">
        <is>
          <t>Major</t>
        </is>
      </c>
      <c r="F12" s="41" t="inlineStr">
        <is>
          <t>1. Buka /projects
2. Klik Tambah Proyek
3. Isi nama, budget Rp 50jt, deadline, PM
4. Simpan</t>
        </is>
      </c>
      <c r="G12" s="41" t="inlineStr">
        <is>
          <t>Proyek berhasil dibuat dengan badge status Active dan budget tercatat</t>
        </is>
      </c>
      <c r="H12" s="42" t="inlineStr">
        <is>
          <t>Pass</t>
        </is>
      </c>
      <c r="I12" s="23" t="inlineStr">
        <is>
          <t>Full E2E Sprint</t>
        </is>
      </c>
      <c r="J12" s="23" t="inlineStr">
        <is>
          <t>2026-10-17</t>
        </is>
      </c>
      <c r="K12" s="23" t="inlineStr">
        <is>
          <t>QA Engineer</t>
        </is>
      </c>
    </row>
    <row r="13" ht="42" customHeight="1">
      <c r="A13" s="32" t="inlineStr">
        <is>
          <t>TC-PROJ-02</t>
        </is>
      </c>
      <c r="B13" s="33" t="inlineStr">
        <is>
          <t>Manajemen Proyek</t>
        </is>
      </c>
      <c r="C13" s="43" t="inlineStr">
        <is>
          <t>Pengawasan biaya aktual (Actual Cost) terakumulasi</t>
        </is>
      </c>
      <c r="D13" s="31" t="inlineStr">
        <is>
          <t>Data Validation</t>
        </is>
      </c>
      <c r="E13" s="44" t="inlineStr">
        <is>
          <t>Major</t>
        </is>
      </c>
      <c r="F13" s="43" t="inlineStr">
        <is>
          <t>1. Catat sesi kerja timesheet pada tugas di dalam proyek
2. Buka /projects/{id}</t>
        </is>
      </c>
      <c r="G13" s="43" t="inlineStr">
        <is>
          <t>Actual Cost ter-update otomatis sesuai rate per jam anggota tim</t>
        </is>
      </c>
      <c r="H13" s="42" t="inlineStr">
        <is>
          <t>Pass</t>
        </is>
      </c>
      <c r="I13" s="31" t="inlineStr">
        <is>
          <t>Full E2E Sprint</t>
        </is>
      </c>
      <c r="J13" s="31" t="inlineStr">
        <is>
          <t>2026-10-17</t>
        </is>
      </c>
      <c r="K13" s="31" t="inlineStr">
        <is>
          <t>QA Engineer</t>
        </is>
      </c>
    </row>
    <row r="14" ht="42" customHeight="1">
      <c r="A14" s="24" t="inlineStr">
        <is>
          <t>TC-PROJ-03</t>
        </is>
      </c>
      <c r="B14" s="25" t="inlineStr">
        <is>
          <t>Manajemen Proyek</t>
        </is>
      </c>
      <c r="C14" s="41" t="inlineStr">
        <is>
          <t>Validasi target deadline sebelum start date</t>
        </is>
      </c>
      <c r="D14" s="23" t="inlineStr">
        <is>
          <t>Negative</t>
        </is>
      </c>
      <c r="E14" s="45" t="inlineStr">
        <is>
          <t>Minor</t>
        </is>
      </c>
      <c r="F14" s="41" t="inlineStr">
        <is>
          <t>1. Masukkan Deadline lebih awal daripada Tanggal Mulai Proyek</t>
        </is>
      </c>
      <c r="G14" s="41" t="inlineStr">
        <is>
          <t>Form menampilkan pesan validasi 'Deadline tidak boleh sebelum tanggal mulai'</t>
        </is>
      </c>
      <c r="H14" s="42" t="inlineStr">
        <is>
          <t>Pass</t>
        </is>
      </c>
      <c r="I14" s="23" t="inlineStr">
        <is>
          <t>Full E2E Sprint</t>
        </is>
      </c>
      <c r="J14" s="23" t="inlineStr">
        <is>
          <t>2026-10-17</t>
        </is>
      </c>
      <c r="K14" s="23" t="inlineStr">
        <is>
          <t>QA Engineer</t>
        </is>
      </c>
    </row>
    <row r="15" ht="42" customHeight="1">
      <c r="A15" s="32" t="inlineStr">
        <is>
          <t>TC-PROJ-04</t>
        </is>
      </c>
      <c r="B15" s="33" t="inlineStr">
        <is>
          <t>Manajemen Proyek</t>
        </is>
      </c>
      <c r="C15" s="43" t="inlineStr">
        <is>
          <t>Pengarsipan proyek (Archive) dan pemulihan</t>
        </is>
      </c>
      <c r="D15" s="31" t="inlineStr">
        <is>
          <t>Positive</t>
        </is>
      </c>
      <c r="E15" s="47" t="inlineStr">
        <is>
          <t>Moderate</t>
        </is>
      </c>
      <c r="F15" s="43" t="inlineStr">
        <is>
          <t>1. Pilih opsi Arsipkan Proyek pada menu aksi
2. Verifikasi daftar proyek aktif</t>
        </is>
      </c>
      <c r="G15" s="43" t="inlineStr">
        <is>
          <t>Proyek berpindah ke tab Archived dan tugas terkait menjadi read-only</t>
        </is>
      </c>
      <c r="H15" s="42" t="inlineStr">
        <is>
          <t>Pass</t>
        </is>
      </c>
      <c r="I15" s="31" t="inlineStr">
        <is>
          <t>Full E2E Sprint</t>
        </is>
      </c>
      <c r="J15" s="31" t="inlineStr">
        <is>
          <t>2026-10-17</t>
        </is>
      </c>
      <c r="K15" s="31" t="inlineStr">
        <is>
          <t>QA Engineer</t>
        </is>
      </c>
    </row>
    <row r="16" ht="42" customHeight="1">
      <c r="A16" s="24" t="inlineStr">
        <is>
          <t>TC-TASK-01</t>
        </is>
      </c>
      <c r="B16" s="25" t="inlineStr">
        <is>
          <t>Parenting &amp; Hierarki Tugas</t>
        </is>
      </c>
      <c r="C16" s="41" t="inlineStr">
        <is>
          <t>Pembuatan hierarki WBS kode induk-anak</t>
        </is>
      </c>
      <c r="D16" s="23" t="inlineStr">
        <is>
          <t>Positive</t>
        </is>
      </c>
      <c r="E16" s="46" t="inlineStr">
        <is>
          <t>Major</t>
        </is>
      </c>
      <c r="F16" s="41" t="inlineStr">
        <is>
          <t>1. Buat tugas induk TSK-001
2. Buat sub-tugas TSK-001-A dan TSK-001-B dengan memilih TSK-001 sebagai parent</t>
        </is>
      </c>
      <c r="G16" s="41" t="inlineStr">
        <is>
          <t>Hierarki pohon WBS tampil rapi di tabel dan Task Studio Page</t>
        </is>
      </c>
      <c r="H16" s="42" t="inlineStr">
        <is>
          <t>Pass</t>
        </is>
      </c>
      <c r="I16" s="23" t="inlineStr">
        <is>
          <t>Full E2E Sprint</t>
        </is>
      </c>
      <c r="J16" s="23" t="inlineStr">
        <is>
          <t>2026-10-17</t>
        </is>
      </c>
      <c r="K16" s="23" t="inlineStr">
        <is>
          <t>QA Engineer</t>
        </is>
      </c>
    </row>
    <row r="17" ht="42" customHeight="1">
      <c r="A17" s="32" t="inlineStr">
        <is>
          <t>TC-TASK-02</t>
        </is>
      </c>
      <c r="B17" s="33" t="inlineStr">
        <is>
          <t>Parenting &amp; Hierarki Tugas</t>
        </is>
      </c>
      <c r="C17" s="43" t="inlineStr">
        <is>
          <t>Auto-roll-up status saat semua child Done</t>
        </is>
      </c>
      <c r="D17" s="31" t="inlineStr">
        <is>
          <t>Positive</t>
        </is>
      </c>
      <c r="E17" s="44" t="inlineStr">
        <is>
          <t>Major</t>
        </is>
      </c>
      <c r="F17" s="43" t="inlineStr">
        <is>
          <t>1. Tandai sub-tugas TSK-001-A dan TSK-001-B sebagai 'Done'</t>
        </is>
      </c>
      <c r="G17" s="43" t="inlineStr">
        <is>
          <t>Status tugas induk TSK-001 otomatis naik menjadi Done</t>
        </is>
      </c>
      <c r="H17" s="42" t="inlineStr">
        <is>
          <t>Pass</t>
        </is>
      </c>
      <c r="I17" s="31" t="inlineStr">
        <is>
          <t>Full E2E Sprint</t>
        </is>
      </c>
      <c r="J17" s="31" t="inlineStr">
        <is>
          <t>2026-10-17</t>
        </is>
      </c>
      <c r="K17" s="31" t="inlineStr">
        <is>
          <t>Lead QA</t>
        </is>
      </c>
    </row>
    <row r="18" ht="42" customHeight="1">
      <c r="A18" s="24" t="inlineStr">
        <is>
          <t>TC-TASK-03</t>
        </is>
      </c>
      <c r="B18" s="25" t="inlineStr">
        <is>
          <t>Parenting &amp; Hierarki Tugas</t>
        </is>
      </c>
      <c r="C18" s="41" t="inlineStr">
        <is>
          <t>Kalkulasi progress rata-rata berbobot</t>
        </is>
      </c>
      <c r="D18" s="23" t="inlineStr">
        <is>
          <t>Data Validation</t>
        </is>
      </c>
      <c r="E18" s="45" t="inlineStr">
        <is>
          <t>Moderate</t>
        </is>
      </c>
      <c r="F18" s="41" t="inlineStr">
        <is>
          <t>1. Ubah progress sub-tugas A = 50%, B = 100%
2. Buka detail tugas induk</t>
        </is>
      </c>
      <c r="G18" s="41" t="inlineStr">
        <is>
          <t>Progress tugas induk otomatis terhitung rata-rata (75%)</t>
        </is>
      </c>
      <c r="H18" s="42" t="inlineStr">
        <is>
          <t>Pass</t>
        </is>
      </c>
      <c r="I18" s="23" t="inlineStr">
        <is>
          <t>Full E2E Sprint</t>
        </is>
      </c>
      <c r="J18" s="23" t="inlineStr">
        <is>
          <t>2026-10-17</t>
        </is>
      </c>
      <c r="K18" s="23" t="inlineStr">
        <is>
          <t>QA Engineer</t>
        </is>
      </c>
    </row>
    <row r="19" ht="42" customHeight="1">
      <c r="A19" s="32" t="inlineStr">
        <is>
          <t>TC-TASK-04</t>
        </is>
      </c>
      <c r="B19" s="33" t="inlineStr">
        <is>
          <t>Parenting &amp; Hierarki Tugas</t>
        </is>
      </c>
      <c r="C19" s="43" t="inlineStr">
        <is>
          <t>Pemblokiran circular dependency parenting</t>
        </is>
      </c>
      <c r="D19" s="31" t="inlineStr">
        <is>
          <t>Negative</t>
        </is>
      </c>
      <c r="E19" s="44" t="inlineStr">
        <is>
          <t>Major</t>
        </is>
      </c>
      <c r="F19" s="43" t="inlineStr">
        <is>
          <t>1. Jadikan TSK-001-A sebagai parent dari TSK-001</t>
        </is>
      </c>
      <c r="G19" s="43" t="inlineStr">
        <is>
          <t>Sistem menolak dengan validasi 'Tidak dapat menjadikan anak sebagai induk'</t>
        </is>
      </c>
      <c r="H19" s="42" t="inlineStr">
        <is>
          <t>Pass</t>
        </is>
      </c>
      <c r="I19" s="31" t="inlineStr">
        <is>
          <t>Full E2E Sprint</t>
        </is>
      </c>
      <c r="J19" s="31" t="inlineStr">
        <is>
          <t>2026-10-17</t>
        </is>
      </c>
      <c r="K19" s="31" t="inlineStr">
        <is>
          <t>QA Engineer</t>
        </is>
      </c>
    </row>
    <row r="20" ht="42" customHeight="1">
      <c r="A20" s="24" t="inlineStr">
        <is>
          <t>TC-KANBAN-01</t>
        </is>
      </c>
      <c r="B20" s="25" t="inlineStr">
        <is>
          <t>Kanban Board Interaktif</t>
        </is>
      </c>
      <c r="C20" s="41" t="inlineStr">
        <is>
          <t>Drag-and-drop perpindahan status kolom</t>
        </is>
      </c>
      <c r="D20" s="23" t="inlineStr">
        <is>
          <t>Positive</t>
        </is>
      </c>
      <c r="E20" s="46" t="inlineStr">
        <is>
          <t>Major</t>
        </is>
      </c>
      <c r="F20" s="41" t="inlineStr">
        <is>
          <t>1. Buka /tasks/kanban
2. Geser kartu dari kolom 'Todo' ke 'In Progress'</t>
        </is>
      </c>
      <c r="G20" s="41" t="inlineStr">
        <is>
          <t>Status tugas berubah seketika di database tanpa reload halaman</t>
        </is>
      </c>
      <c r="H20" s="42" t="inlineStr">
        <is>
          <t>Pass</t>
        </is>
      </c>
      <c r="I20" s="23" t="inlineStr">
        <is>
          <t>Full E2E Sprint</t>
        </is>
      </c>
      <c r="J20" s="23" t="inlineStr">
        <is>
          <t>2026-10-17</t>
        </is>
      </c>
      <c r="K20" s="23" t="inlineStr">
        <is>
          <t>QA Engineer</t>
        </is>
      </c>
    </row>
    <row r="21" ht="42" customHeight="1">
      <c r="A21" s="32" t="inlineStr">
        <is>
          <t>TC-KANBAN-02</t>
        </is>
      </c>
      <c r="B21" s="33" t="inlineStr">
        <is>
          <t>Kanban Board Interaktif</t>
        </is>
      </c>
      <c r="C21" s="43" t="inlineStr">
        <is>
          <t>Mobile segmented switcher antar kolom</t>
        </is>
      </c>
      <c r="D21" s="31" t="inlineStr">
        <is>
          <t>Positive</t>
        </is>
      </c>
      <c r="E21" s="47" t="inlineStr">
        <is>
          <t>Moderate</t>
        </is>
      </c>
      <c r="F21" s="43" t="inlineStr">
        <is>
          <t>1. Buka /tasks/kanban pada viewport mobile (375px)
2. Ketuk switcher 'In Progress'</t>
        </is>
      </c>
      <c r="G21" s="43" t="inlineStr">
        <is>
          <t>Tampilan kolom beralih mulus tanpa horizontal scroll yang melebar</t>
        </is>
      </c>
      <c r="H21" s="42" t="inlineStr">
        <is>
          <t>Pass</t>
        </is>
      </c>
      <c r="I21" s="31" t="inlineStr">
        <is>
          <t>Full E2E Sprint</t>
        </is>
      </c>
      <c r="J21" s="31" t="inlineStr">
        <is>
          <t>2026-10-17</t>
        </is>
      </c>
      <c r="K21" s="31" t="inlineStr">
        <is>
          <t>QA Engineer</t>
        </is>
      </c>
    </row>
    <row r="22" ht="42" customHeight="1">
      <c r="A22" s="24" t="inlineStr">
        <is>
          <t>TC-KANBAN-03</t>
        </is>
      </c>
      <c r="B22" s="25" t="inlineStr">
        <is>
          <t>Kanban Board Interaktif</t>
        </is>
      </c>
      <c r="C22" s="41" t="inlineStr">
        <is>
          <t>Quick filter per PIC &amp; Project di kanban</t>
        </is>
      </c>
      <c r="D22" s="23" t="inlineStr">
        <is>
          <t>Positive</t>
        </is>
      </c>
      <c r="E22" s="45" t="inlineStr">
        <is>
          <t>Moderate</t>
        </is>
      </c>
      <c r="F22" s="41" t="inlineStr">
        <is>
          <t>1. Pilih dropdown Project 'E-Commerce'
2. Pilih PIC 'Ahmad'</t>
        </is>
      </c>
      <c r="G22" s="41" t="inlineStr">
        <is>
          <t>Hanya kartu tugas yang sesuai dengan filter yang tetap tampil di board</t>
        </is>
      </c>
      <c r="H22" s="42" t="inlineStr">
        <is>
          <t>Pass</t>
        </is>
      </c>
      <c r="I22" s="23" t="inlineStr">
        <is>
          <t>Full E2E Sprint</t>
        </is>
      </c>
      <c r="J22" s="23" t="inlineStr">
        <is>
          <t>2026-10-17</t>
        </is>
      </c>
      <c r="K22" s="23" t="inlineStr">
        <is>
          <t>QA Engineer</t>
        </is>
      </c>
    </row>
    <row r="23" ht="42" customHeight="1">
      <c r="A23" s="32" t="inlineStr">
        <is>
          <t>TC-KANBAN-04</t>
        </is>
      </c>
      <c r="B23" s="33" t="inlineStr">
        <is>
          <t>Kanban Board Interaktif</t>
        </is>
      </c>
      <c r="C23" s="43" t="inlineStr">
        <is>
          <t>Preservasi posisi kartu pasca drag</t>
        </is>
      </c>
      <c r="D23" s="31" t="inlineStr">
        <is>
          <t>Positive</t>
        </is>
      </c>
      <c r="E23" s="47" t="inlineStr">
        <is>
          <t>Minor</t>
        </is>
      </c>
      <c r="F23" s="43" t="inlineStr">
        <is>
          <t>1. Reorder kartu di dalam kolom yang sama
2. Muat ulang halaman (F5)</t>
        </is>
      </c>
      <c r="G23" s="43" t="inlineStr">
        <is>
          <t>Urutan kartu tugas tetap dipertahankan sesuai posisi terakhir</t>
        </is>
      </c>
      <c r="H23" s="42" t="inlineStr">
        <is>
          <t>Pass</t>
        </is>
      </c>
      <c r="I23" s="31" t="inlineStr">
        <is>
          <t>Full E2E Sprint</t>
        </is>
      </c>
      <c r="J23" s="31" t="inlineStr">
        <is>
          <t>2026-10-17</t>
        </is>
      </c>
      <c r="K23" s="31" t="inlineStr">
        <is>
          <t>QA Engineer</t>
        </is>
      </c>
    </row>
    <row r="24" ht="42" customHeight="1">
      <c r="A24" s="24" t="inlineStr">
        <is>
          <t>TC-TIME-01</t>
        </is>
      </c>
      <c r="B24" s="25" t="inlineStr">
        <is>
          <t>Timesheet &amp; Multi-Timer</t>
        </is>
      </c>
      <c r="C24" s="41" t="inlineStr">
        <is>
          <t>Start multi-timer paralel pada tugas berbeda</t>
        </is>
      </c>
      <c r="D24" s="23" t="inlineStr">
        <is>
          <t>Positive</t>
        </is>
      </c>
      <c r="E24" s="46" t="inlineStr">
        <is>
          <t>Major</t>
        </is>
      </c>
      <c r="F24" s="41" t="inlineStr">
        <is>
          <t>1. Buka detail tugas A, klik 'Mulai Timer'
2. Buka Floating Timer Bar
3. Jalankan tugas B</t>
        </is>
      </c>
      <c r="G24" s="41" t="inlineStr">
        <is>
          <t>Timer berjalan paralel, kedua sesi tercatat aktif di Floating Timer Bar</t>
        </is>
      </c>
      <c r="H24" s="42" t="inlineStr">
        <is>
          <t>Pass</t>
        </is>
      </c>
      <c r="I24" s="23" t="inlineStr">
        <is>
          <t>Full E2E Sprint</t>
        </is>
      </c>
      <c r="J24" s="23" t="inlineStr">
        <is>
          <t>2026-10-17</t>
        </is>
      </c>
      <c r="K24" s="23" t="inlineStr">
        <is>
          <t>Lead QA</t>
        </is>
      </c>
    </row>
    <row r="25" ht="42" customHeight="1">
      <c r="A25" s="32" t="inlineStr">
        <is>
          <t>TC-TIME-02</t>
        </is>
      </c>
      <c r="B25" s="33" t="inlineStr">
        <is>
          <t>Timesheet &amp; Multi-Timer</t>
        </is>
      </c>
      <c r="C25" s="43" t="inlineStr">
        <is>
          <t>Stop timer dan pencatatan otomatis ke timesheet</t>
        </is>
      </c>
      <c r="D25" s="31" t="inlineStr">
        <is>
          <t>Positive</t>
        </is>
      </c>
      <c r="E25" s="44" t="inlineStr">
        <is>
          <t>Major</t>
        </is>
      </c>
      <c r="F25" s="43" t="inlineStr">
        <is>
          <t>1. Biarkan timer berjalan 5 menit
2. Klik tombol 'Stop &amp; Simpan'
3. Masukkan catatan kerja</t>
        </is>
      </c>
      <c r="G25" s="43" t="inlineStr">
        <is>
          <t>Sesi tersimpan ke database, durasi masuk ke akumulasi jam kerja hari ini</t>
        </is>
      </c>
      <c r="H25" s="42" t="inlineStr">
        <is>
          <t>Pass</t>
        </is>
      </c>
      <c r="I25" s="31" t="inlineStr">
        <is>
          <t>Full E2E Sprint</t>
        </is>
      </c>
      <c r="J25" s="31" t="inlineStr">
        <is>
          <t>2026-10-17</t>
        </is>
      </c>
      <c r="K25" s="31" t="inlineStr">
        <is>
          <t>QA Engineer</t>
        </is>
      </c>
    </row>
    <row r="26" ht="42" customHeight="1">
      <c r="A26" s="24" t="inlineStr">
        <is>
          <t>TC-TIME-03</t>
        </is>
      </c>
      <c r="B26" s="25" t="inlineStr">
        <is>
          <t>Timesheet &amp; Multi-Timer</t>
        </is>
      </c>
      <c r="C26" s="41" t="inlineStr">
        <is>
          <t>Input manual durasi cepat (+30m, +1h, +2h)</t>
        </is>
      </c>
      <c r="D26" s="23" t="inlineStr">
        <is>
          <t>Positive</t>
        </is>
      </c>
      <c r="E26" s="45" t="inlineStr">
        <is>
          <t>Moderate</t>
        </is>
      </c>
      <c r="F26" s="41" t="inlineStr">
        <is>
          <t>1. Buka Task Studio
2. Klik tombol '+1h' lalu '+30m'
3. Klik Simpan</t>
        </is>
      </c>
      <c r="G26" s="41" t="inlineStr">
        <is>
          <t>Durasi manual 1.5 jam langsung tercatat ke work session tugas tersebut</t>
        </is>
      </c>
      <c r="H26" s="42" t="inlineStr">
        <is>
          <t>Pass</t>
        </is>
      </c>
      <c r="I26" s="23" t="inlineStr">
        <is>
          <t>Full E2E Sprint</t>
        </is>
      </c>
      <c r="J26" s="23" t="inlineStr">
        <is>
          <t>2026-10-17</t>
        </is>
      </c>
      <c r="K26" s="23" t="inlineStr">
        <is>
          <t>QA Engineer</t>
        </is>
      </c>
    </row>
    <row r="27" ht="42" customHeight="1">
      <c r="A27" s="32" t="inlineStr">
        <is>
          <t>TC-TIME-04</t>
        </is>
      </c>
      <c r="B27" s="33" t="inlineStr">
        <is>
          <t>Timesheet &amp; Multi-Timer</t>
        </is>
      </c>
      <c r="C27" s="43" t="inlineStr">
        <is>
          <t>Pencegahan pencatatan sesi di masa depan</t>
        </is>
      </c>
      <c r="D27" s="31" t="inlineStr">
        <is>
          <t>Negative</t>
        </is>
      </c>
      <c r="E27" s="47" t="inlineStr">
        <is>
          <t>Minor</t>
        </is>
      </c>
      <c r="F27" s="43" t="inlineStr">
        <is>
          <t>1. Input sesi manual dengan jam selesai melebihi waktu sekarang (future time)</t>
        </is>
      </c>
      <c r="G27" s="43" t="inlineStr">
        <is>
          <t>Sistem menolak penyimpanan dengan validasi 'Waktu sesi tidak boleh di masa depan'</t>
        </is>
      </c>
      <c r="H27" s="42" t="inlineStr">
        <is>
          <t>Pass</t>
        </is>
      </c>
      <c r="I27" s="31" t="inlineStr">
        <is>
          <t>Full E2E Sprint</t>
        </is>
      </c>
      <c r="J27" s="31" t="inlineStr">
        <is>
          <t>2026-10-17</t>
        </is>
      </c>
      <c r="K27" s="31" t="inlineStr">
        <is>
          <t>QA Engineer</t>
        </is>
      </c>
    </row>
    <row r="28" ht="42" customHeight="1">
      <c r="A28" s="24" t="inlineStr">
        <is>
          <t>TC-ATTEND-01</t>
        </is>
      </c>
      <c r="B28" s="25" t="inlineStr">
        <is>
          <t>Presensi &amp; Rekonsiliasi</t>
        </is>
      </c>
      <c r="C28" s="41" t="inlineStr">
        <is>
          <t>Presensi Check-In WFO dengan radius GPS</t>
        </is>
      </c>
      <c r="D28" s="23" t="inlineStr">
        <is>
          <t>Positive</t>
        </is>
      </c>
      <c r="E28" s="46" t="inlineStr">
        <is>
          <t>Major</t>
        </is>
      </c>
      <c r="F28" s="41" t="inlineStr">
        <is>
          <t>1. Buka /attendance di area kantor
2. Izinkan GPS
3. Klik 'Check-In WFO'</t>
        </is>
      </c>
      <c r="G28" s="41" t="inlineStr">
        <is>
          <t>Lokasi terverifikasi dalam radius $\le 100m$, presensi berstatus WFO tercatat</t>
        </is>
      </c>
      <c r="H28" s="42" t="inlineStr">
        <is>
          <t>Pass</t>
        </is>
      </c>
      <c r="I28" s="23" t="inlineStr">
        <is>
          <t>Full E2E Sprint</t>
        </is>
      </c>
      <c r="J28" s="23" t="inlineStr">
        <is>
          <t>2026-10-17</t>
        </is>
      </c>
      <c r="K28" s="23" t="inlineStr">
        <is>
          <t>QA Engineer</t>
        </is>
      </c>
    </row>
    <row r="29" ht="42" customHeight="1">
      <c r="A29" s="32" t="inlineStr">
        <is>
          <t>TC-ATTEND-02</t>
        </is>
      </c>
      <c r="B29" s="33" t="inlineStr">
        <is>
          <t>Presensi &amp; Rekonsiliasi</t>
        </is>
      </c>
      <c r="C29" s="43" t="inlineStr">
        <is>
          <t>Presensi Check-In WFH tanpa batasan radius</t>
        </is>
      </c>
      <c r="D29" s="31" t="inlineStr">
        <is>
          <t>Positive</t>
        </is>
      </c>
      <c r="E29" s="47" t="inlineStr">
        <is>
          <t>Moderate</t>
        </is>
      </c>
      <c r="F29" s="43" t="inlineStr">
        <is>
          <t>1. Pilih mode WFH
2. Tulis rencana kerja harian
3. Klik 'Check-In WFH'</t>
        </is>
      </c>
      <c r="G29" s="43" t="inlineStr">
        <is>
          <t>Presensi tersimpan dengan tipe WFH, mencatat alamat IP dan catatan rencana kerja</t>
        </is>
      </c>
      <c r="H29" s="42" t="inlineStr">
        <is>
          <t>Pass</t>
        </is>
      </c>
      <c r="I29" s="31" t="inlineStr">
        <is>
          <t>Full E2E Sprint</t>
        </is>
      </c>
      <c r="J29" s="31" t="inlineStr">
        <is>
          <t>2026-10-17</t>
        </is>
      </c>
      <c r="K29" s="31" t="inlineStr">
        <is>
          <t>QA Engineer</t>
        </is>
      </c>
    </row>
    <row r="30" ht="42" customHeight="1">
      <c r="A30" s="24" t="inlineStr">
        <is>
          <t>TC-ATTEND-03</t>
        </is>
      </c>
      <c r="B30" s="25" t="inlineStr">
        <is>
          <t>Presensi &amp; Rekonsiliasi</t>
        </is>
      </c>
      <c r="C30" s="41" t="inlineStr">
        <is>
          <t>Auto-mark Absent oleh sistem cron harian</t>
        </is>
      </c>
      <c r="D30" s="23" t="inlineStr">
        <is>
          <t>Positive</t>
        </is>
      </c>
      <c r="E30" s="46" t="inlineStr">
        <is>
          <t>Major</t>
        </is>
      </c>
      <c r="F30" s="41" t="inlineStr">
        <is>
          <t>1. Anggota tim tidak melakukan check-in hingga melewati jam 23:59 WIB</t>
        </is>
      </c>
      <c r="G30" s="41" t="inlineStr">
        <is>
          <t>Sistem background job otomatis membuat rekor status 'Absent' untuk tanggal tersebut</t>
        </is>
      </c>
      <c r="H30" s="42" t="inlineStr">
        <is>
          <t>Pass</t>
        </is>
      </c>
      <c r="I30" s="23" t="inlineStr">
        <is>
          <t>Full E2E Sprint</t>
        </is>
      </c>
      <c r="J30" s="23" t="inlineStr">
        <is>
          <t>2026-10-17</t>
        </is>
      </c>
      <c r="K30" s="23" t="inlineStr">
        <is>
          <t>Lead QA</t>
        </is>
      </c>
    </row>
    <row r="31" ht="42" customHeight="1">
      <c r="A31" s="32" t="inlineStr">
        <is>
          <t>TC-ATTEND-04</t>
        </is>
      </c>
      <c r="B31" s="33" t="inlineStr">
        <is>
          <t>Presensi &amp; Rekonsiliasi</t>
        </is>
      </c>
      <c r="C31" s="43" t="inlineStr">
        <is>
          <t>Rekonsiliasi presensi oleh Administrator</t>
        </is>
      </c>
      <c r="D31" s="31" t="inlineStr">
        <is>
          <t>Positive</t>
        </is>
      </c>
      <c r="E31" s="47" t="inlineStr">
        <is>
          <t>Moderate</t>
        </is>
      </c>
      <c r="F31" s="43" t="inlineStr">
        <is>
          <t>1. Admin membuka menu Rekonsiliasi Presensi
2. Ubah status 'Absent' menjadi 'Present (Dinas Luar)'
3. Tulis alasan</t>
        </is>
      </c>
      <c r="G31" s="43" t="inlineStr">
        <is>
          <t>Status presensi terbarui dan audit log merekam identitas admin yang mengubah</t>
        </is>
      </c>
      <c r="H31" s="42" t="inlineStr">
        <is>
          <t>Pass</t>
        </is>
      </c>
      <c r="I31" s="31" t="inlineStr">
        <is>
          <t>Full E2E Sprint</t>
        </is>
      </c>
      <c r="J31" s="31" t="inlineStr">
        <is>
          <t>2026-10-17</t>
        </is>
      </c>
      <c r="K31" s="31" t="inlineStr">
        <is>
          <t>QA Engineer</t>
        </is>
      </c>
    </row>
    <row r="32" ht="42" customHeight="1">
      <c r="A32" s="24" t="inlineStr">
        <is>
          <t>TC-NOTE-01</t>
        </is>
      </c>
      <c r="B32" s="25" t="inlineStr">
        <is>
          <t>Catatan &amp; Upload File</t>
        </is>
      </c>
      <c r="C32" s="41" t="inlineStr">
        <is>
          <t>Pembuatan catatan teks kaya dengan aksen warna</t>
        </is>
      </c>
      <c r="D32" s="23" t="inlineStr">
        <is>
          <t>Positive</t>
        </is>
      </c>
      <c r="E32" s="45" t="inlineStr">
        <is>
          <t>Moderate</t>
        </is>
      </c>
      <c r="F32" s="41" t="inlineStr">
        <is>
          <t>1. Buka /notes
2. Buat catatan baru format Quill.js (bold, list, link)
3. Pilih aksen warna Emerald</t>
        </is>
      </c>
      <c r="G32" s="41" t="inlineStr">
        <is>
          <t>Catatan tersimpan rapi, tag HTML ter-render aman tanpa celah XSS</t>
        </is>
      </c>
      <c r="H32" s="42" t="inlineStr">
        <is>
          <t>Pass</t>
        </is>
      </c>
      <c r="I32" s="23" t="inlineStr">
        <is>
          <t>Full E2E Sprint</t>
        </is>
      </c>
      <c r="J32" s="23" t="inlineStr">
        <is>
          <t>2026-10-17</t>
        </is>
      </c>
      <c r="K32" s="23" t="inlineStr">
        <is>
          <t>QA Engineer</t>
        </is>
      </c>
    </row>
    <row r="33" ht="42" customHeight="1">
      <c r="A33" s="32" t="inlineStr">
        <is>
          <t>TC-NOTE-02</t>
        </is>
      </c>
      <c r="B33" s="33" t="inlineStr">
        <is>
          <t>Catatan &amp; Upload File</t>
        </is>
      </c>
      <c r="C33" s="43" t="inlineStr">
        <is>
          <t>Multi-attachment upload validasi ekstensi</t>
        </is>
      </c>
      <c r="D33" s="31" t="inlineStr">
        <is>
          <t>Positive</t>
        </is>
      </c>
      <c r="E33" s="44" t="inlineStr">
        <is>
          <t>Major</t>
        </is>
      </c>
      <c r="F33" s="43" t="inlineStr">
        <is>
          <t>1. Lampirkan berkas .pdf, .xlsx, dan .png ke dalam catatan
2. Klik Unggah</t>
        </is>
      </c>
      <c r="G33" s="43" t="inlineStr">
        <is>
          <t>Berkas tersimpan di folder user (/uploads/notes/{userid}), link download aktif</t>
        </is>
      </c>
      <c r="H33" s="42" t="inlineStr">
        <is>
          <t>Pass</t>
        </is>
      </c>
      <c r="I33" s="31" t="inlineStr">
        <is>
          <t>Full E2E Sprint</t>
        </is>
      </c>
      <c r="J33" s="31" t="inlineStr">
        <is>
          <t>2026-10-17</t>
        </is>
      </c>
      <c r="K33" s="31" t="inlineStr">
        <is>
          <t>QA Engineer</t>
        </is>
      </c>
    </row>
    <row r="34" ht="42" customHeight="1">
      <c r="A34" s="24" t="inlineStr">
        <is>
          <t>TC-NOTE-03</t>
        </is>
      </c>
      <c r="B34" s="25" t="inlineStr">
        <is>
          <t>Catatan &amp; Upload File</t>
        </is>
      </c>
      <c r="C34" s="41" t="inlineStr">
        <is>
          <t>Penolakan berkas biner berbahaya (.exe, .bat)</t>
        </is>
      </c>
      <c r="D34" s="23" t="inlineStr">
        <is>
          <t>Negative</t>
        </is>
      </c>
      <c r="E34" s="27" t="inlineStr">
        <is>
          <t>Blocker</t>
        </is>
      </c>
      <c r="F34" s="41" t="inlineStr">
        <is>
          <t>1. Unggah berkas script berbahaya 'exploit.exe' atau 'run.bat'</t>
        </is>
      </c>
      <c r="G34" s="41" t="inlineStr">
        <is>
          <t>Sistem memblokir unggahan dengan pesan 'Ekstensi berkas tidak diizinkan'</t>
        </is>
      </c>
      <c r="H34" s="42" t="inlineStr">
        <is>
          <t>Pass</t>
        </is>
      </c>
      <c r="I34" s="23" t="inlineStr">
        <is>
          <t>Full E2E Sprint</t>
        </is>
      </c>
      <c r="J34" s="23" t="inlineStr">
        <is>
          <t>2026-10-17</t>
        </is>
      </c>
      <c r="K34" s="23" t="inlineStr">
        <is>
          <t>Security QA</t>
        </is>
      </c>
    </row>
    <row r="35" ht="42" customHeight="1">
      <c r="A35" s="32" t="inlineStr">
        <is>
          <t>TC-NOTE-04</t>
        </is>
      </c>
      <c r="B35" s="33" t="inlineStr">
        <is>
          <t>Catatan &amp; Upload File</t>
        </is>
      </c>
      <c r="C35" s="43" t="inlineStr">
        <is>
          <t>Penyematan catatan penting (Pin to Top)</t>
        </is>
      </c>
      <c r="D35" s="31" t="inlineStr">
        <is>
          <t>Positive</t>
        </is>
      </c>
      <c r="E35" s="47" t="inlineStr">
        <is>
          <t>Minor</t>
        </is>
      </c>
      <c r="F35" s="43" t="inlineStr">
        <is>
          <t>1. Klik ikon Pin pada catatan lama
2. Muat ulang halaman catatan</t>
        </is>
      </c>
      <c r="G35" s="43" t="inlineStr">
        <is>
          <t>Catatan yang di-pin selalu menempati urutan teratas feed</t>
        </is>
      </c>
      <c r="H35" s="42" t="inlineStr">
        <is>
          <t>Pass</t>
        </is>
      </c>
      <c r="I35" s="31" t="inlineStr">
        <is>
          <t>Full E2E Sprint</t>
        </is>
      </c>
      <c r="J35" s="31" t="inlineStr">
        <is>
          <t>2026-10-17</t>
        </is>
      </c>
      <c r="K35" s="31" t="inlineStr">
        <is>
          <t>QA Engineer</t>
        </is>
      </c>
    </row>
    <row r="36" ht="42" customHeight="1">
      <c r="A36" s="24" t="inlineStr">
        <is>
          <t>TC-EXCEL-01</t>
        </is>
      </c>
      <c r="B36" s="25" t="inlineStr">
        <is>
          <t>ClosedXML Interoperabilitas</t>
        </is>
      </c>
      <c r="C36" s="41" t="inlineStr">
        <is>
          <t>Export spreadsheet standar 9-kolom</t>
        </is>
      </c>
      <c r="D36" s="23" t="inlineStr">
        <is>
          <t>Positive</t>
        </is>
      </c>
      <c r="E36" s="46" t="inlineStr">
        <is>
          <t>Major</t>
        </is>
      </c>
      <c r="F36" s="41" t="inlineStr">
        <is>
          <t>1. Buka /tasks
2. Klik 'Ekspor Excel (Standar 9-Kolom)'
3. Buka file hasil unduhan</t>
        </is>
      </c>
      <c r="G36" s="41" t="inlineStr">
        <is>
          <t>File .xlsx terbuka normal di MS Excel dengan 9 header kolom dan data akurat</t>
        </is>
      </c>
      <c r="H36" s="42" t="inlineStr">
        <is>
          <t>Pass</t>
        </is>
      </c>
      <c r="I36" s="23" t="inlineStr">
        <is>
          <t>ClosedXML ARMS Interop</t>
        </is>
      </c>
      <c r="J36" s="23" t="inlineStr">
        <is>
          <t>2026-10-17</t>
        </is>
      </c>
      <c r="K36" s="23" t="inlineStr">
        <is>
          <t>QA Engineer</t>
        </is>
      </c>
    </row>
    <row r="37" ht="42" customHeight="1">
      <c r="A37" s="32" t="inlineStr">
        <is>
          <t>TC-EXCEL-02</t>
        </is>
      </c>
      <c r="B37" s="33" t="inlineStr">
        <is>
          <t>ClosedXML Interoperabilitas</t>
        </is>
      </c>
      <c r="C37" s="43" t="inlineStr">
        <is>
          <t>Export spreadsheet ARMS legacy 21-kolom</t>
        </is>
      </c>
      <c r="D37" s="31" t="inlineStr">
        <is>
          <t>Positive</t>
        </is>
      </c>
      <c r="E37" s="44" t="inlineStr">
        <is>
          <t>Major</t>
        </is>
      </c>
      <c r="F37" s="43" t="inlineStr">
        <is>
          <t>1. Klik 'Ekspor Excel Format ARMS 21-Kolom'
2. Periksa struktur kolom</t>
        </is>
      </c>
      <c r="G37" s="43" t="inlineStr">
        <is>
          <t>Format 21-kolom memuat mapping lengkap (Activity Code, Cost Center, WBS, PIC)</t>
        </is>
      </c>
      <c r="H37" s="42" t="inlineStr">
        <is>
          <t>Pass</t>
        </is>
      </c>
      <c r="I37" s="31" t="inlineStr">
        <is>
          <t>ClosedXML ARMS Interop</t>
        </is>
      </c>
      <c r="J37" s="31" t="inlineStr">
        <is>
          <t>2026-10-17</t>
        </is>
      </c>
      <c r="K37" s="31" t="inlineStr">
        <is>
          <t>Lead QA</t>
        </is>
      </c>
    </row>
    <row r="38" ht="42" customHeight="1">
      <c r="A38" s="24" t="inlineStr">
        <is>
          <t>TC-EXCEL-03</t>
        </is>
      </c>
      <c r="B38" s="25" t="inlineStr">
        <is>
          <t>ClosedXML Interoperabilitas</t>
        </is>
      </c>
      <c r="C38" s="41" t="inlineStr">
        <is>
          <t>Import berkas Excel 9-kolom validasi per baris</t>
        </is>
      </c>
      <c r="D38" s="23" t="inlineStr">
        <is>
          <t>Positive</t>
        </is>
      </c>
      <c r="E38" s="46" t="inlineStr">
        <is>
          <t>Major</t>
        </is>
      </c>
      <c r="F38" s="41" t="inlineStr">
        <is>
          <t>1. Unggah template Excel berisi 50 tugas baru
2. Klik 'Proses Impor'</t>
        </is>
      </c>
      <c r="G38" s="41" t="inlineStr">
        <is>
          <t>Seluruh 50 tugas terbuat di database dan terhubung ke proyek masing-masing</t>
        </is>
      </c>
      <c r="H38" s="42" t="inlineStr">
        <is>
          <t>Pass</t>
        </is>
      </c>
      <c r="I38" s="23" t="inlineStr">
        <is>
          <t>ClosedXML ARMS Interop</t>
        </is>
      </c>
      <c r="J38" s="23" t="inlineStr">
        <is>
          <t>2026-10-17</t>
        </is>
      </c>
      <c r="K38" s="23" t="inlineStr">
        <is>
          <t>QA Engineer</t>
        </is>
      </c>
    </row>
    <row r="39" ht="42" customHeight="1">
      <c r="A39" s="32" t="inlineStr">
        <is>
          <t>TC-EXCEL-04</t>
        </is>
      </c>
      <c r="B39" s="33" t="inlineStr">
        <is>
          <t>ClosedXML Interoperabilitas</t>
        </is>
      </c>
      <c r="C39" s="43" t="inlineStr">
        <is>
          <t>Penanganan berkas impor corrupt &amp; laporan error</t>
        </is>
      </c>
      <c r="D39" s="31" t="inlineStr">
        <is>
          <t>Negative</t>
        </is>
      </c>
      <c r="E39" s="47" t="inlineStr">
        <is>
          <t>Moderate</t>
        </is>
      </c>
      <c r="F39" s="43" t="inlineStr">
        <is>
          <t>1. Buat file Excel dengan tipe data tanggal berupa teks acak pada baris 5
2. Impor berkas</t>
        </is>
      </c>
      <c r="G39" s="43" t="inlineStr">
        <is>
          <t>Sistem menampilkan popup rincian error 'Baris 5: Format tanggal tidak valid'</t>
        </is>
      </c>
      <c r="H39" s="42" t="inlineStr">
        <is>
          <t>Pass</t>
        </is>
      </c>
      <c r="I39" s="31" t="inlineStr">
        <is>
          <t>ClosedXML ARMS Interop</t>
        </is>
      </c>
      <c r="J39" s="31" t="inlineStr">
        <is>
          <t>2026-10-17</t>
        </is>
      </c>
      <c r="K39" s="31" t="inlineStr">
        <is>
          <t>QA Engineer</t>
        </is>
      </c>
    </row>
    <row r="40" ht="42" customHeight="1">
      <c r="A40" s="24" t="inlineStr">
        <is>
          <t>TC-TEAM-01</t>
        </is>
      </c>
      <c r="B40" s="25" t="inlineStr">
        <is>
          <t>Direktori Tim &amp; Keanggotaan</t>
        </is>
      </c>
      <c r="C40" s="41" t="inlineStr">
        <is>
          <t>Registrasi anggota baru &amp; antrean approval</t>
        </is>
      </c>
      <c r="D40" s="23" t="inlineStr">
        <is>
          <t>Positive</t>
        </is>
      </c>
      <c r="E40" s="46" t="inlineStr">
        <is>
          <t>Major</t>
        </is>
      </c>
      <c r="F40" s="41" t="inlineStr">
        <is>
          <t>1. Daftarkan akun baru via /register
2. Coba login sebelum diapprove</t>
        </is>
      </c>
      <c r="G40" s="41" t="inlineStr">
        <is>
          <t>Akun ditolak login dengan pesan 'Menunggu persetujuan Administrator'</t>
        </is>
      </c>
      <c r="H40" s="42" t="inlineStr">
        <is>
          <t>Pass</t>
        </is>
      </c>
      <c r="I40" s="23" t="inlineStr">
        <is>
          <t>Full E2E Sprint</t>
        </is>
      </c>
      <c r="J40" s="23" t="inlineStr">
        <is>
          <t>2026-10-17</t>
        </is>
      </c>
      <c r="K40" s="23" t="inlineStr">
        <is>
          <t>QA Engineer</t>
        </is>
      </c>
    </row>
    <row r="41" ht="42" customHeight="1">
      <c r="A41" s="32" t="inlineStr">
        <is>
          <t>TC-TEAM-02</t>
        </is>
      </c>
      <c r="B41" s="33" t="inlineStr">
        <is>
          <t>Direktori Tim &amp; Keanggotaan</t>
        </is>
      </c>
      <c r="C41" s="43" t="inlineStr">
        <is>
          <t>Approval anggota oleh Administrator</t>
        </is>
      </c>
      <c r="D41" s="31" t="inlineStr">
        <is>
          <t>Positive</t>
        </is>
      </c>
      <c r="E41" s="44" t="inlineStr">
        <is>
          <t>Major</t>
        </is>
      </c>
      <c r="F41" s="43" t="inlineStr">
        <is>
          <t>1. Login sebagai Admin
2. Buka /members
3. Klik 'Setujui' pada akun pending</t>
        </is>
      </c>
      <c r="G41" s="43" t="inlineStr">
        <is>
          <t>Akun berubah status menjadi Approved dan pengguna dapat login dengan sukses</t>
        </is>
      </c>
      <c r="H41" s="42" t="inlineStr">
        <is>
          <t>Pass</t>
        </is>
      </c>
      <c r="I41" s="31" t="inlineStr">
        <is>
          <t>Full E2E Sprint</t>
        </is>
      </c>
      <c r="J41" s="31" t="inlineStr">
        <is>
          <t>2026-10-17</t>
        </is>
      </c>
      <c r="K41" s="31" t="inlineStr">
        <is>
          <t>Lead QA</t>
        </is>
      </c>
    </row>
    <row r="42" ht="42" customHeight="1">
      <c r="A42" s="24" t="inlineStr">
        <is>
          <t>TC-TEAM-03</t>
        </is>
      </c>
      <c r="B42" s="25" t="inlineStr">
        <is>
          <t>Direktori Tim &amp; Keanggotaan</t>
        </is>
      </c>
      <c r="C42" s="41" t="inlineStr">
        <is>
          <t>Penguncian akun (Lockout) dan pembukaan</t>
        </is>
      </c>
      <c r="D42" s="23" t="inlineStr">
        <is>
          <t>Positive</t>
        </is>
      </c>
      <c r="E42" s="45" t="inlineStr">
        <is>
          <t>Moderate</t>
        </is>
      </c>
      <c r="F42" s="41" t="inlineStr">
        <is>
          <t>1. Klik tombol 'Kunci Akun' pada salah satu member
2. Member mencoba login</t>
        </is>
      </c>
      <c r="G42" s="41" t="inlineStr">
        <is>
          <t>Member tidak dapat login hingga Admin mengklik tombol 'Buka Kunci Akun'</t>
        </is>
      </c>
      <c r="H42" s="42" t="inlineStr">
        <is>
          <t>Pass</t>
        </is>
      </c>
      <c r="I42" s="23" t="inlineStr">
        <is>
          <t>Full E2E Sprint</t>
        </is>
      </c>
      <c r="J42" s="23" t="inlineStr">
        <is>
          <t>2026-10-17</t>
        </is>
      </c>
      <c r="K42" s="23" t="inlineStr">
        <is>
          <t>QA Engineer</t>
        </is>
      </c>
    </row>
    <row r="43" ht="42" customHeight="1">
      <c r="A43" s="32" t="inlineStr">
        <is>
          <t>TC-TEAM-04</t>
        </is>
      </c>
      <c r="B43" s="33" t="inlineStr">
        <is>
          <t>Direktori Tim &amp; Keanggotaan</t>
        </is>
      </c>
      <c r="C43" s="43" t="inlineStr">
        <is>
          <t>Peningkatan peran (Role Elevation) ke Admin</t>
        </is>
      </c>
      <c r="D43" s="31" t="inlineStr">
        <is>
          <t>Security/RBAC</t>
        </is>
      </c>
      <c r="E43" s="44" t="inlineStr">
        <is>
          <t>Major</t>
        </is>
      </c>
      <c r="F43" s="43" t="inlineStr">
        <is>
          <t>1. Ubah role member menjadi 'Admin'
2. Login ulang menggunakan akun member tersebut</t>
        </is>
      </c>
      <c r="G43" s="43" t="inlineStr">
        <is>
          <t>Menu konfigurasi, audit trail, dan master data kini dapat diakses</t>
        </is>
      </c>
      <c r="H43" s="42" t="inlineStr">
        <is>
          <t>Pass</t>
        </is>
      </c>
      <c r="I43" s="31" t="inlineStr">
        <is>
          <t>Full E2E Sprint</t>
        </is>
      </c>
      <c r="J43" s="31" t="inlineStr">
        <is>
          <t>2026-10-17</t>
        </is>
      </c>
      <c r="K43" s="31" t="inlineStr">
        <is>
          <t>Security QA</t>
        </is>
      </c>
    </row>
    <row r="44" ht="42" customHeight="1">
      <c r="A44" s="24" t="inlineStr">
        <is>
          <t>TC-CAL-01</t>
        </is>
      </c>
      <c r="B44" s="25" t="inlineStr">
        <is>
          <t>Kalender Tugas Interaktif</t>
        </is>
      </c>
      <c r="C44" s="41" t="inlineStr">
        <is>
          <t>Visualisasi jadwal tampilan Month/Week/Day</t>
        </is>
      </c>
      <c r="D44" s="23" t="inlineStr">
        <is>
          <t>Positive</t>
        </is>
      </c>
      <c r="E44" s="45" t="inlineStr">
        <is>
          <t>Moderate</t>
        </is>
      </c>
      <c r="F44" s="41" t="inlineStr">
        <is>
          <t>1. Buka /calendar
2. Beralih antara tab Bulan, Minggu, dan Hari</t>
        </is>
      </c>
      <c r="G44" s="41" t="inlineStr">
        <is>
          <t>Event tugas dirender akurat sesuai rentang tanggal mulai dan deadline</t>
        </is>
      </c>
      <c r="H44" s="42" t="inlineStr">
        <is>
          <t>Pass</t>
        </is>
      </c>
      <c r="I44" s="23" t="inlineStr">
        <is>
          <t>Full E2E Sprint</t>
        </is>
      </c>
      <c r="J44" s="23" t="inlineStr">
        <is>
          <t>2026-10-17</t>
        </is>
      </c>
      <c r="K44" s="23" t="inlineStr">
        <is>
          <t>QA Engineer</t>
        </is>
      </c>
    </row>
    <row r="45" ht="42" customHeight="1">
      <c r="A45" s="32" t="inlineStr">
        <is>
          <t>TC-CAL-02</t>
        </is>
      </c>
      <c r="B45" s="33" t="inlineStr">
        <is>
          <t>Kalender Tugas Interaktif</t>
        </is>
      </c>
      <c r="C45" s="43" t="inlineStr">
        <is>
          <t>Filter tugas kalender berbasis Project &amp; PIC</t>
        </is>
      </c>
      <c r="D45" s="31" t="inlineStr">
        <is>
          <t>Positive</t>
        </is>
      </c>
      <c r="E45" s="47" t="inlineStr">
        <is>
          <t>Moderate</t>
        </is>
      </c>
      <c r="F45" s="43" t="inlineStr">
        <is>
          <t>1. Pilih filter Proyek 'Website Redesign'
2. Periksa event kalender</t>
        </is>
      </c>
      <c r="G45" s="43" t="inlineStr">
        <is>
          <t>Hanya jadwal tugas milik proyek terpilih yang ditampilkan di grid kalender</t>
        </is>
      </c>
      <c r="H45" s="42" t="inlineStr">
        <is>
          <t>Pass</t>
        </is>
      </c>
      <c r="I45" s="31" t="inlineStr">
        <is>
          <t>Full E2E Sprint</t>
        </is>
      </c>
      <c r="J45" s="31" t="inlineStr">
        <is>
          <t>2026-10-17</t>
        </is>
      </c>
      <c r="K45" s="31" t="inlineStr">
        <is>
          <t>QA Engineer</t>
        </is>
      </c>
    </row>
    <row r="46" ht="42" customHeight="1">
      <c r="A46" s="24" t="inlineStr">
        <is>
          <t>TC-CAL-03</t>
        </is>
      </c>
      <c r="B46" s="25" t="inlineStr">
        <is>
          <t>Kalender Tugas Interaktif</t>
        </is>
      </c>
      <c r="C46" s="41" t="inlineStr">
        <is>
          <t>Drag-and-drop jadwal tugas untuk reschedule</t>
        </is>
      </c>
      <c r="D46" s="23" t="inlineStr">
        <is>
          <t>Positive</t>
        </is>
      </c>
      <c r="E46" s="45" t="inlineStr">
        <is>
          <t>Moderate</t>
        </is>
      </c>
      <c r="F46" s="41" t="inlineStr">
        <is>
          <t>1. Geser kartu tugas dari tanggal 10 ke tanggal 15 di tampilan bulan</t>
        </is>
      </c>
      <c r="G46" s="41" t="inlineStr">
        <is>
          <t>Tanggal deadline tugas otomatis diperbarui di database tanpa error</t>
        </is>
      </c>
      <c r="H46" s="42" t="inlineStr">
        <is>
          <t>Pass</t>
        </is>
      </c>
      <c r="I46" s="23" t="inlineStr">
        <is>
          <t>Full E2E Sprint</t>
        </is>
      </c>
      <c r="J46" s="23" t="inlineStr">
        <is>
          <t>2026-10-17</t>
        </is>
      </c>
      <c r="K46" s="23" t="inlineStr">
        <is>
          <t>QA Engineer</t>
        </is>
      </c>
    </row>
    <row r="47" ht="42" customHeight="1">
      <c r="A47" s="32" t="inlineStr">
        <is>
          <t>TC-CAL-04</t>
        </is>
      </c>
      <c r="B47" s="33" t="inlineStr">
        <is>
          <t>Kalender Tugas Interaktif</t>
        </is>
      </c>
      <c r="C47" s="43" t="inlineStr">
        <is>
          <t>Klik event memunculkan modal ringkasan tugas</t>
        </is>
      </c>
      <c r="D47" s="31" t="inlineStr">
        <is>
          <t>Positive</t>
        </is>
      </c>
      <c r="E47" s="47" t="inlineStr">
        <is>
          <t>Minor</t>
        </is>
      </c>
      <c r="F47" s="43" t="inlineStr">
        <is>
          <t>1. Klik salah satu event di kalender</t>
        </is>
      </c>
      <c r="G47" s="43" t="inlineStr">
        <is>
          <t>Modal ringkasan tugas (Judul, PIC, Progress, Prioritas) muncul seketika</t>
        </is>
      </c>
      <c r="H47" s="42" t="inlineStr">
        <is>
          <t>Pass</t>
        </is>
      </c>
      <c r="I47" s="31" t="inlineStr">
        <is>
          <t>Full E2E Sprint</t>
        </is>
      </c>
      <c r="J47" s="31" t="inlineStr">
        <is>
          <t>2026-10-17</t>
        </is>
      </c>
      <c r="K47" s="31" t="inlineStr">
        <is>
          <t>QA Engineer</t>
        </is>
      </c>
    </row>
    <row r="48" ht="42" customHeight="1">
      <c r="A48" s="24" t="inlineStr">
        <is>
          <t>TC-DEV-01</t>
        </is>
      </c>
      <c r="B48" s="25" t="inlineStr">
        <is>
          <t>Developer Tools</t>
        </is>
      </c>
      <c r="C48" s="41" t="inlineStr">
        <is>
          <t>SQL Query Runner eksekusi SELECT aman</t>
        </is>
      </c>
      <c r="D48" s="23" t="inlineStr">
        <is>
          <t>Positive</t>
        </is>
      </c>
      <c r="E48" s="46" t="inlineStr">
        <is>
          <t>Major</t>
        </is>
      </c>
      <c r="F48" s="41" t="inlineStr">
        <is>
          <t>1. Buka /dev-tools/sql
2. Tulis 'SELECT Id, Title, Status FROM Tasks LIMIT 10'
3. Klik Eksekusi</t>
        </is>
      </c>
      <c r="G48" s="41" t="inlineStr">
        <is>
          <t>Tabel hasil query tampil lengkap dengan pagination dan waktu eksekusi (ms)</t>
        </is>
      </c>
      <c r="H48" s="42" t="inlineStr">
        <is>
          <t>Pass</t>
        </is>
      </c>
      <c r="I48" s="23" t="inlineStr">
        <is>
          <t>Full E2E Sprint</t>
        </is>
      </c>
      <c r="J48" s="23" t="inlineStr">
        <is>
          <t>2026-10-17</t>
        </is>
      </c>
      <c r="K48" s="23" t="inlineStr">
        <is>
          <t>Lead QA</t>
        </is>
      </c>
    </row>
    <row r="49" ht="42" customHeight="1">
      <c r="A49" s="32" t="inlineStr">
        <is>
          <t>TC-DEV-02</t>
        </is>
      </c>
      <c r="B49" s="33" t="inlineStr">
        <is>
          <t>Developer Tools</t>
        </is>
      </c>
      <c r="C49" s="43" t="inlineStr">
        <is>
          <t>Penolakan perintah destruktif SQL (Read-Only)</t>
        </is>
      </c>
      <c r="D49" s="31" t="inlineStr">
        <is>
          <t>Security/RBAC</t>
        </is>
      </c>
      <c r="E49" s="35" t="inlineStr">
        <is>
          <t>Blocker</t>
        </is>
      </c>
      <c r="F49" s="43" t="inlineStr">
        <is>
          <t>1. Tulis query 'DROP TABLE Users' atau 'DELETE FROM Tasks'
2. Klik Eksekusi</t>
        </is>
      </c>
      <c r="G49" s="43" t="inlineStr">
        <is>
          <t>Sistem memblokir seketika dengan pesan 'Operasi modifikasi data dilarang keras'</t>
        </is>
      </c>
      <c r="H49" s="42" t="inlineStr">
        <is>
          <t>Pass</t>
        </is>
      </c>
      <c r="I49" s="31" t="inlineStr">
        <is>
          <t>Full E2E Sprint</t>
        </is>
      </c>
      <c r="J49" s="31" t="inlineStr">
        <is>
          <t>2026-10-17</t>
        </is>
      </c>
      <c r="K49" s="31" t="inlineStr">
        <is>
          <t>Security QA</t>
        </is>
      </c>
    </row>
    <row r="50" ht="42" customHeight="1">
      <c r="A50" s="24" t="inlineStr">
        <is>
          <t>TC-DEV-03</t>
        </is>
      </c>
      <c r="B50" s="25" t="inlineStr">
        <is>
          <t>Developer Tools</t>
        </is>
      </c>
      <c r="C50" s="41" t="inlineStr">
        <is>
          <t>JSON Formatter &amp; Beautifier dengan syntax highlight</t>
        </is>
      </c>
      <c r="D50" s="23" t="inlineStr">
        <is>
          <t>Positive</t>
        </is>
      </c>
      <c r="E50" s="45" t="inlineStr">
        <is>
          <t>Minor</t>
        </is>
      </c>
      <c r="F50" s="41" t="inlineStr">
        <is>
          <t>1. Buka /dev-tools/json
2. Tempel JSON mentah tanpa spasi
3. Klik 'Beautify JSON'</t>
        </is>
      </c>
      <c r="G50" s="41" t="inlineStr">
        <is>
          <t>JSON terformat rapi dengan indentasi 2-spasi dan pewarnaan sintaks</t>
        </is>
      </c>
      <c r="H50" s="42" t="inlineStr">
        <is>
          <t>Pass</t>
        </is>
      </c>
      <c r="I50" s="23" t="inlineStr">
        <is>
          <t>Full E2E Sprint</t>
        </is>
      </c>
      <c r="J50" s="23" t="inlineStr">
        <is>
          <t>2026-10-17</t>
        </is>
      </c>
      <c r="K50" s="23" t="inlineStr">
        <is>
          <t>QA Engineer</t>
        </is>
      </c>
    </row>
    <row r="51" ht="42" customHeight="1">
      <c r="A51" s="32" t="inlineStr">
        <is>
          <t>TC-DEV-04</t>
        </is>
      </c>
      <c r="B51" s="33" t="inlineStr">
        <is>
          <t>Developer Tools</t>
        </is>
      </c>
      <c r="C51" s="43" t="inlineStr">
        <is>
          <t>Validasi sintaks JSON tidak valid</t>
        </is>
      </c>
      <c r="D51" s="31" t="inlineStr">
        <is>
          <t>Negative</t>
        </is>
      </c>
      <c r="E51" s="47" t="inlineStr">
        <is>
          <t>Minor</t>
        </is>
      </c>
      <c r="F51" s="43" t="inlineStr">
        <is>
          <t>1. Masukkan string JSON cacat (kurang tanda kutip tutup atau koma)
2. Klik Validasi</t>
        </is>
      </c>
      <c r="G51" s="43" t="inlineStr">
        <is>
          <t>Muncul penanda error merah dengan informasi baris dan karakter penyebab error</t>
        </is>
      </c>
      <c r="H51" s="42" t="inlineStr">
        <is>
          <t>Pass</t>
        </is>
      </c>
      <c r="I51" s="31" t="inlineStr">
        <is>
          <t>Full E2E Sprint</t>
        </is>
      </c>
      <c r="J51" s="31" t="inlineStr">
        <is>
          <t>2026-10-17</t>
        </is>
      </c>
      <c r="K51" s="31" t="inlineStr">
        <is>
          <t>QA Engineer</t>
        </is>
      </c>
    </row>
    <row r="52" ht="42" customHeight="1">
      <c r="A52" s="24" t="inlineStr">
        <is>
          <t>TC-AUDIT-01</t>
        </is>
      </c>
      <c r="B52" s="25" t="inlineStr">
        <is>
          <t>Audit Trail Eksekutif</t>
        </is>
      </c>
      <c r="C52" s="41" t="inlineStr">
        <is>
          <t>Pencatatan mutasi entitas otomatis</t>
        </is>
      </c>
      <c r="D52" s="23" t="inlineStr">
        <is>
          <t>Positive</t>
        </is>
      </c>
      <c r="E52" s="46" t="inlineStr">
        <is>
          <t>Major</t>
        </is>
      </c>
      <c r="F52" s="41" t="inlineStr">
        <is>
          <t>1. Ubah prioritas salah satu tugas
2. Buka /audit-trail</t>
        </is>
      </c>
      <c r="G52" s="41" t="inlineStr">
        <is>
          <t>Tercatat entri baru: Aksi=UPDATE, Entitas=Tasks, Nilai Lama vs Nilai Baru</t>
        </is>
      </c>
      <c r="H52" s="42" t="inlineStr">
        <is>
          <t>Pass</t>
        </is>
      </c>
      <c r="I52" s="23" t="inlineStr">
        <is>
          <t>Full E2E Sprint</t>
        </is>
      </c>
      <c r="J52" s="23" t="inlineStr">
        <is>
          <t>2026-10-17</t>
        </is>
      </c>
      <c r="K52" s="23" t="inlineStr">
        <is>
          <t>Lead QA</t>
        </is>
      </c>
    </row>
    <row r="53" ht="42" customHeight="1">
      <c r="A53" s="32" t="inlineStr">
        <is>
          <t>TC-AUDIT-02</t>
        </is>
      </c>
      <c r="B53" s="33" t="inlineStr">
        <is>
          <t>Audit Trail Eksekutif</t>
        </is>
      </c>
      <c r="C53" s="43" t="inlineStr">
        <is>
          <t>Riwayat log aktivitas tugas di Task Studio</t>
        </is>
      </c>
      <c r="D53" s="31" t="inlineStr">
        <is>
          <t>Positive</t>
        </is>
      </c>
      <c r="E53" s="47" t="inlineStr">
        <is>
          <t>Moderate</t>
        </is>
      </c>
      <c r="F53" s="43" t="inlineStr">
        <is>
          <t>1. Buka /tasks/{id}
2. Scroll ke bagian bawah 'Task Audit Timeline'</t>
        </is>
      </c>
      <c r="G53" s="43" t="inlineStr">
        <is>
          <t>Seluruh riwayat perubahan pada tugas tersebut tampil kronologis</t>
        </is>
      </c>
      <c r="H53" s="42" t="inlineStr">
        <is>
          <t>Pass</t>
        </is>
      </c>
      <c r="I53" s="31" t="inlineStr">
        <is>
          <t>Full E2E Sprint</t>
        </is>
      </c>
      <c r="J53" s="31" t="inlineStr">
        <is>
          <t>2026-10-17</t>
        </is>
      </c>
      <c r="K53" s="31" t="inlineStr">
        <is>
          <t>QA Engineer</t>
        </is>
      </c>
    </row>
    <row r="54" ht="42" customHeight="1">
      <c r="A54" s="24" t="inlineStr">
        <is>
          <t>TC-AUDIT-03</t>
        </is>
      </c>
      <c r="B54" s="25" t="inlineStr">
        <is>
          <t>Audit Trail Eksekutif</t>
        </is>
      </c>
      <c r="C54" s="41" t="inlineStr">
        <is>
          <t>Filter audit log berdasarkan Pengguna &amp; Waktu</t>
        </is>
      </c>
      <c r="D54" s="23" t="inlineStr">
        <is>
          <t>Positive</t>
        </is>
      </c>
      <c r="E54" s="45" t="inlineStr">
        <is>
          <t>Moderate</t>
        </is>
      </c>
      <c r="F54" s="41" t="inlineStr">
        <is>
          <t>1. Pilih filter Pengguna 'Budi' dan tanggal hari ini di /audit-trail</t>
        </is>
      </c>
      <c r="G54" s="41" t="inlineStr">
        <is>
          <t>Tabel log terfilter akurat menampilkan aktivitas pengguna bersangkutan</t>
        </is>
      </c>
      <c r="H54" s="42" t="inlineStr">
        <is>
          <t>Pass</t>
        </is>
      </c>
      <c r="I54" s="23" t="inlineStr">
        <is>
          <t>Full E2E Sprint</t>
        </is>
      </c>
      <c r="J54" s="23" t="inlineStr">
        <is>
          <t>2026-10-17</t>
        </is>
      </c>
      <c r="K54" s="23" t="inlineStr">
        <is>
          <t>QA Engineer</t>
        </is>
      </c>
    </row>
    <row r="55" ht="42" customHeight="1">
      <c r="A55" s="32" t="inlineStr">
        <is>
          <t>TC-AUDIT-04</t>
        </is>
      </c>
      <c r="B55" s="33" t="inlineStr">
        <is>
          <t>Audit Trail Eksekutif</t>
        </is>
      </c>
      <c r="C55" s="43" t="inlineStr">
        <is>
          <t>Ekspor audit trail ke file CSV / Excel</t>
        </is>
      </c>
      <c r="D55" s="31" t="inlineStr">
        <is>
          <t>Positive</t>
        </is>
      </c>
      <c r="E55" s="47" t="inlineStr">
        <is>
          <t>Moderate</t>
        </is>
      </c>
      <c r="F55" s="43" t="inlineStr">
        <is>
          <t>1. Klik 'Ekspor Audit Log'
2. Buka berkas CSV hasil unduhan</t>
        </is>
      </c>
      <c r="G55" s="43" t="inlineStr">
        <is>
          <t>Berkas memuat kolom Timestamp, User, Action, Entity, IP Address, Details</t>
        </is>
      </c>
      <c r="H55" s="42" t="inlineStr">
        <is>
          <t>Pass</t>
        </is>
      </c>
      <c r="I55" s="31" t="inlineStr">
        <is>
          <t>Full E2E Sprint</t>
        </is>
      </c>
      <c r="J55" s="31" t="inlineStr">
        <is>
          <t>2026-10-17</t>
        </is>
      </c>
      <c r="K55" s="31" t="inlineStr">
        <is>
          <t>QA Engineer</t>
        </is>
      </c>
    </row>
    <row r="56" ht="42" customHeight="1">
      <c r="A56" s="24" t="inlineStr">
        <is>
          <t>TC-MASTER-01</t>
        </is>
      </c>
      <c r="B56" s="25" t="inlineStr">
        <is>
          <t>Master Data &amp; Pengaturan</t>
        </is>
      </c>
      <c r="C56" s="41" t="inlineStr">
        <is>
          <t>Pengelolaan master jabatan &amp; kategori tugas</t>
        </is>
      </c>
      <c r="D56" s="23" t="inlineStr">
        <is>
          <t>Positive</t>
        </is>
      </c>
      <c r="E56" s="45" t="inlineStr">
        <is>
          <t>Moderate</t>
        </is>
      </c>
      <c r="F56" s="41" t="inlineStr">
        <is>
          <t>1. Buka /configuration
2. Tambah jabatan baru 'AI Prompt Engineer'
3. Simpan</t>
        </is>
      </c>
      <c r="G56" s="41" t="inlineStr">
        <is>
          <t>Jabatan baru langsung muncul di dropdown formulir pendaftaran member</t>
        </is>
      </c>
      <c r="H56" s="42" t="inlineStr">
        <is>
          <t>Pass</t>
        </is>
      </c>
      <c r="I56" s="23" t="inlineStr">
        <is>
          <t>Full E2E Sprint</t>
        </is>
      </c>
      <c r="J56" s="23" t="inlineStr">
        <is>
          <t>2026-10-17</t>
        </is>
      </c>
      <c r="K56" s="23" t="inlineStr">
        <is>
          <t>QA Engineer</t>
        </is>
      </c>
    </row>
    <row r="57" ht="42" customHeight="1">
      <c r="A57" s="32" t="inlineStr">
        <is>
          <t>TC-MASTER-02</t>
        </is>
      </c>
      <c r="B57" s="33" t="inlineStr">
        <is>
          <t>Master Data &amp; Pengaturan</t>
        </is>
      </c>
      <c r="C57" s="43" t="inlineStr">
        <is>
          <t>Kustomisasi nama aplikasi dinamis</t>
        </is>
      </c>
      <c r="D57" s="31" t="inlineStr">
        <is>
          <t>Positive</t>
        </is>
      </c>
      <c r="E57" s="47" t="inlineStr">
        <is>
          <t>Moderate</t>
        </is>
      </c>
      <c r="F57" s="43" t="inlineStr">
        <is>
          <t>1. Ubah konfigurasi 'AppName' menjadi 'TaskWorker Enterprise'
2. Simpan</t>
        </is>
      </c>
      <c r="G57" s="43" t="inlineStr">
        <is>
          <t>Nama aplikasi pada header dan sidebar otomatis terbarui tanpa recompile</t>
        </is>
      </c>
      <c r="H57" s="42" t="inlineStr">
        <is>
          <t>Pass</t>
        </is>
      </c>
      <c r="I57" s="31" t="inlineStr">
        <is>
          <t>Full E2E Sprint</t>
        </is>
      </c>
      <c r="J57" s="31" t="inlineStr">
        <is>
          <t>2026-10-17</t>
        </is>
      </c>
      <c r="K57" s="31" t="inlineStr">
        <is>
          <t>QA Engineer</t>
        </is>
      </c>
    </row>
    <row r="58" ht="42" customHeight="1">
      <c r="A58" s="24" t="inlineStr">
        <is>
          <t>TC-MASTER-03</t>
        </is>
      </c>
      <c r="B58" s="25" t="inlineStr">
        <is>
          <t>Master Data &amp; Pengaturan</t>
        </is>
      </c>
      <c r="C58" s="41" t="inlineStr">
        <is>
          <t>Kustomisasi konversi nilai poin gamifikasi</t>
        </is>
      </c>
      <c r="D58" s="23" t="inlineStr">
        <is>
          <t>Positive</t>
        </is>
      </c>
      <c r="E58" s="45" t="inlineStr">
        <is>
          <t>Moderate</t>
        </is>
      </c>
      <c r="F58" s="41" t="inlineStr">
        <is>
          <t>1. Ubah parameter 'Gamification_PointValueRupiah' dari 100 ke 150</t>
        </is>
      </c>
      <c r="G58" s="41" t="inlineStr">
        <is>
          <t>Nilai estimasi Rupiah pada katalog hadiah terhitung dengan basis Rp 150/poin</t>
        </is>
      </c>
      <c r="H58" s="42" t="inlineStr">
        <is>
          <t>Pass</t>
        </is>
      </c>
      <c r="I58" s="23" t="inlineStr">
        <is>
          <t>Full E2E Sprint</t>
        </is>
      </c>
      <c r="J58" s="23" t="inlineStr">
        <is>
          <t>2026-10-17</t>
        </is>
      </c>
      <c r="K58" s="23" t="inlineStr">
        <is>
          <t>Lead QA</t>
        </is>
      </c>
    </row>
    <row r="59" ht="42" customHeight="1">
      <c r="A59" s="32" t="inlineStr">
        <is>
          <t>TC-MASTER-04</t>
        </is>
      </c>
      <c r="B59" s="33" t="inlineStr">
        <is>
          <t>Master Data &amp; Pengaturan</t>
        </is>
      </c>
      <c r="C59" s="43" t="inlineStr">
        <is>
          <t>Pencegahan duplikasi kode master data</t>
        </is>
      </c>
      <c r="D59" s="31" t="inlineStr">
        <is>
          <t>Negative</t>
        </is>
      </c>
      <c r="E59" s="47" t="inlineStr">
        <is>
          <t>Minor</t>
        </is>
      </c>
      <c r="F59" s="43" t="inlineStr">
        <is>
          <t>1. Tambah kode master yang sudah ada sebelumnya di sistem</t>
        </is>
      </c>
      <c r="G59" s="43" t="inlineStr">
        <is>
          <t>Sistem menolak dengan pesan validasi 'Kode master data telah digunakan'</t>
        </is>
      </c>
      <c r="H59" s="42" t="inlineStr">
        <is>
          <t>Pass</t>
        </is>
      </c>
      <c r="I59" s="31" t="inlineStr">
        <is>
          <t>Full E2E Sprint</t>
        </is>
      </c>
      <c r="J59" s="31" t="inlineStr">
        <is>
          <t>2026-10-17</t>
        </is>
      </c>
      <c r="K59" s="31" t="inlineStr">
        <is>
          <t>QA Engineer</t>
        </is>
      </c>
    </row>
    <row r="60" ht="42" customHeight="1">
      <c r="A60" s="24" t="inlineStr">
        <is>
          <t>TC-GAME-01</t>
        </is>
      </c>
      <c r="B60" s="25" t="inlineStr">
        <is>
          <t>Gamifikasi &amp; Master Badges</t>
        </is>
      </c>
      <c r="C60" s="41" t="inlineStr">
        <is>
          <t>Daily Check-in harian penambahan streak &amp; poin</t>
        </is>
      </c>
      <c r="D60" s="23" t="inlineStr">
        <is>
          <t>Positive</t>
        </is>
      </c>
      <c r="E60" s="46" t="inlineStr">
        <is>
          <t>Major</t>
        </is>
      </c>
      <c r="F60" s="41" t="inlineStr">
        <is>
          <t>1. Buka /gamification
2. Klik tombol 'Daily Check-In Sekarang'</t>
        </is>
      </c>
      <c r="G60" s="41" t="inlineStr">
        <is>
          <t>Poin bertambah +10, streak bertambah +1 hari, banner api berkobar aktif</t>
        </is>
      </c>
      <c r="H60" s="42" t="inlineStr">
        <is>
          <t>Pass</t>
        </is>
      </c>
      <c r="I60" s="23" t="inlineStr">
        <is>
          <t>Full E2E Sprint</t>
        </is>
      </c>
      <c r="J60" s="23" t="inlineStr">
        <is>
          <t>2026-10-17</t>
        </is>
      </c>
      <c r="K60" s="23" t="inlineStr">
        <is>
          <t>Lead QA</t>
        </is>
      </c>
    </row>
    <row r="61" ht="42" customHeight="1">
      <c r="A61" s="32" t="inlineStr">
        <is>
          <t>TC-GAME-02</t>
        </is>
      </c>
      <c r="B61" s="33" t="inlineStr">
        <is>
          <t>Gamifikasi &amp; Master Badges</t>
        </is>
      </c>
      <c r="C61" s="43" t="inlineStr">
        <is>
          <t>Toleransi 2 hari: streak reset hanya jika gap &gt;= 2</t>
        </is>
      </c>
      <c r="D61" s="31" t="inlineStr">
        <is>
          <t>Data Validation</t>
        </is>
      </c>
      <c r="E61" s="44" t="inlineStr">
        <is>
          <t>Major</t>
        </is>
      </c>
      <c r="F61" s="43" t="inlineStr">
        <is>
          <t>1. Pengguna absen check-in selama 1 hari (kemarin tidak check-in)
2. Check-in hari ini</t>
        </is>
      </c>
      <c r="G61" s="43" t="inlineStr">
        <is>
          <t>Streak tetap berlanjut (tidak di-reset ke 1) karena masih dalam toleransi 2 hari</t>
        </is>
      </c>
      <c r="H61" s="42" t="inlineStr">
        <is>
          <t>Pass</t>
        </is>
      </c>
      <c r="I61" s="31" t="inlineStr">
        <is>
          <t>Full E2E Sprint</t>
        </is>
      </c>
      <c r="J61" s="31" t="inlineStr">
        <is>
          <t>2026-10-17</t>
        </is>
      </c>
      <c r="K61" s="31" t="inlineStr">
        <is>
          <t>Lead QA</t>
        </is>
      </c>
    </row>
    <row r="62" ht="42" customHeight="1">
      <c r="A62" s="24" t="inlineStr">
        <is>
          <t>TC-GAME-03</t>
        </is>
      </c>
      <c r="B62" s="25" t="inlineStr">
        <is>
          <t>Gamifikasi &amp; Master Badges</t>
        </is>
      </c>
      <c r="C62" s="41" t="inlineStr">
        <is>
          <t>Milestone 30-hari streak &amp; bonus 500 poin</t>
        </is>
      </c>
      <c r="D62" s="23" t="inlineStr">
        <is>
          <t>Positive</t>
        </is>
      </c>
      <c r="E62" s="46" t="inlineStr">
        <is>
          <t>Major</t>
        </is>
      </c>
      <c r="F62" s="41" t="inlineStr">
        <is>
          <t>1. Akumulasikan streak check-in berturut-turut mencapai 30 hari</t>
        </is>
      </c>
      <c r="G62" s="41" t="inlineStr">
        <is>
          <t>IsMonthlyMilestone aktif, bonus 500 poin diberikan, hak reward eksklusif terbuka</t>
        </is>
      </c>
      <c r="H62" s="42" t="inlineStr">
        <is>
          <t>Pass</t>
        </is>
      </c>
      <c r="I62" s="23" t="inlineStr">
        <is>
          <t>Full E2E Sprint</t>
        </is>
      </c>
      <c r="J62" s="23" t="inlineStr">
        <is>
          <t>2026-10-17</t>
        </is>
      </c>
      <c r="K62" s="23" t="inlineStr">
        <is>
          <t>Lead QA</t>
        </is>
      </c>
    </row>
    <row r="63" ht="42" customHeight="1">
      <c r="A63" s="32" t="inlineStr">
        <is>
          <t>TC-GAME-04</t>
        </is>
      </c>
      <c r="B63" s="33" t="inlineStr">
        <is>
          <t>Gamifikasi &amp; Master Badges</t>
        </is>
      </c>
      <c r="C63" s="43" t="inlineStr">
        <is>
          <t>Evaluasi otomatis 42 Master Badges Gaul</t>
        </is>
      </c>
      <c r="D63" s="31" t="inlineStr">
        <is>
          <t>Positive</t>
        </is>
      </c>
      <c r="E63" s="44" t="inlineStr">
        <is>
          <t>Major</t>
        </is>
      </c>
      <c r="F63" s="43" t="inlineStr">
        <is>
          <t>1. Selesaikan 50 tugas kerja
2. Buka galeri /gamification/badges</t>
        </is>
      </c>
      <c r="G63" s="43" t="inlineStr">
        <is>
          <t>Badge 'Si Paling Eksekutor' terbuka otomatis dengan animasi efek glow</t>
        </is>
      </c>
      <c r="H63" s="42" t="inlineStr">
        <is>
          <t>Pass</t>
        </is>
      </c>
      <c r="I63" s="31" t="inlineStr">
        <is>
          <t>Full E2E Sprint</t>
        </is>
      </c>
      <c r="J63" s="31" t="inlineStr">
        <is>
          <t>2026-10-17</t>
        </is>
      </c>
      <c r="K63" s="31" t="inlineStr">
        <is>
          <t>QA Engineer</t>
        </is>
      </c>
    </row>
    <row r="64" ht="42" customHeight="1">
      <c r="A64" s="24" t="inlineStr">
        <is>
          <t>TC-GAME-05</t>
        </is>
      </c>
      <c r="B64" s="25" t="inlineStr">
        <is>
          <t>Gamifikasi &amp; Master Badges</t>
        </is>
      </c>
      <c r="C64" s="41" t="inlineStr">
        <is>
          <t>Klaim hadiah dan alur persetujuan admin</t>
        </is>
      </c>
      <c r="D64" s="23" t="inlineStr">
        <is>
          <t>Positive</t>
        </is>
      </c>
      <c r="E64" s="46" t="inlineStr">
        <is>
          <t>Major</t>
        </is>
      </c>
      <c r="F64" s="41" t="inlineStr">
        <is>
          <t>1. Tukarkan 100 poin untuk voucher kopi
2. Admin menolak klaim karena kuota habis</t>
        </is>
      </c>
      <c r="G64" s="41" t="inlineStr">
        <is>
          <t>Stok voucher kembali bertambah dan 100 poin dikembalikan ke saldo pengguna</t>
        </is>
      </c>
      <c r="H64" s="42" t="inlineStr">
        <is>
          <t>Pass</t>
        </is>
      </c>
      <c r="I64" s="23" t="inlineStr">
        <is>
          <t>Full E2E Sprint</t>
        </is>
      </c>
      <c r="J64" s="23" t="inlineStr">
        <is>
          <t>2026-10-17</t>
        </is>
      </c>
      <c r="K64" s="23" t="inlineStr">
        <is>
          <t>QA Engineer</t>
        </is>
      </c>
    </row>
    <row r="65" ht="42" customHeight="1">
      <c r="A65" s="32" t="inlineStr">
        <is>
          <t>TC-NOTIF-01</t>
        </is>
      </c>
      <c r="B65" s="33" t="inlineStr">
        <is>
          <t>Notifikasi SMTP &amp; Pengingat</t>
        </is>
      </c>
      <c r="C65" s="43" t="inlineStr">
        <is>
          <t>Pengiriman email penugasan tugas baru</t>
        </is>
      </c>
      <c r="D65" s="31" t="inlineStr">
        <is>
          <t>Positive</t>
        </is>
      </c>
      <c r="E65" s="47" t="inlineStr">
        <is>
          <t>Moderate</t>
        </is>
      </c>
      <c r="F65" s="43" t="inlineStr">
        <is>
          <t>1. Buat tugas baru dan tugaskan ke Member X
2. Periksa inbox email</t>
        </is>
      </c>
      <c r="G65" s="43" t="inlineStr">
        <is>
          <t>Member X menerima email notifikasi resmi memuat judul, deadline, dan link tugas</t>
        </is>
      </c>
      <c r="H65" s="42" t="inlineStr">
        <is>
          <t>Pass</t>
        </is>
      </c>
      <c r="I65" s="31" t="inlineStr">
        <is>
          <t>Full E2E Sprint</t>
        </is>
      </c>
      <c r="J65" s="31" t="inlineStr">
        <is>
          <t>2026-10-17</t>
        </is>
      </c>
      <c r="K65" s="31" t="inlineStr">
        <is>
          <t>QA Engineer</t>
        </is>
      </c>
    </row>
    <row r="66" ht="42" customHeight="1">
      <c r="A66" s="24" t="inlineStr">
        <is>
          <t>TC-NOTIF-02</t>
        </is>
      </c>
      <c r="B66" s="25" t="inlineStr">
        <is>
          <t>Notifikasi SMTP &amp; Pengingat</t>
        </is>
      </c>
      <c r="C66" s="41" t="inlineStr">
        <is>
          <t>Pengingat deadline tugas mendekati H-1</t>
        </is>
      </c>
      <c r="D66" s="23" t="inlineStr">
        <is>
          <t>Positive</t>
        </is>
      </c>
      <c r="E66" s="45" t="inlineStr">
        <is>
          <t>Moderate</t>
        </is>
      </c>
      <c r="F66" s="41" t="inlineStr">
        <is>
          <t>1. Jalankan background job pengingat deadline untuk tugas dengan deadline besok</t>
        </is>
      </c>
      <c r="G66" s="41" t="inlineStr">
        <is>
          <t>Email pengingat darurat terkirim ke PIC bersangkutan</t>
        </is>
      </c>
      <c r="H66" s="42" t="inlineStr">
        <is>
          <t>Pass</t>
        </is>
      </c>
      <c r="I66" s="23" t="inlineStr">
        <is>
          <t>Full E2E Sprint</t>
        </is>
      </c>
      <c r="J66" s="23" t="inlineStr">
        <is>
          <t>2026-10-17</t>
        </is>
      </c>
      <c r="K66" s="23" t="inlineStr">
        <is>
          <t>QA Engineer</t>
        </is>
      </c>
    </row>
    <row r="67" ht="42" customHeight="1">
      <c r="A67" s="32" t="inlineStr">
        <is>
          <t>TC-NOTIF-03</t>
        </is>
      </c>
      <c r="B67" s="33" t="inlineStr">
        <is>
          <t>Notifikasi SMTP &amp; Pengingat</t>
        </is>
      </c>
      <c r="C67" s="43" t="inlineStr">
        <is>
          <t>Template email responsif berlogo resmi</t>
        </is>
      </c>
      <c r="D67" s="31" t="inlineStr">
        <is>
          <t>Positive</t>
        </is>
      </c>
      <c r="E67" s="47" t="inlineStr">
        <is>
          <t>Minor</t>
        </is>
      </c>
      <c r="F67" s="43" t="inlineStr">
        <is>
          <t>1. Buka email notifikasi pada peramban ponsel dan desktop</t>
        </is>
      </c>
      <c r="G67" s="43" t="inlineStr">
        <is>
          <t>Tata letak email HTML rapi, logo dan tombol aksi berfungsi normal</t>
        </is>
      </c>
      <c r="H67" s="42" t="inlineStr">
        <is>
          <t>Pass</t>
        </is>
      </c>
      <c r="I67" s="31" t="inlineStr">
        <is>
          <t>Full E2E Sprint</t>
        </is>
      </c>
      <c r="J67" s="31" t="inlineStr">
        <is>
          <t>2026-10-17</t>
        </is>
      </c>
      <c r="K67" s="31" t="inlineStr">
        <is>
          <t>QA Engineer</t>
        </is>
      </c>
    </row>
    <row r="68" ht="42" customHeight="1">
      <c r="A68" s="24" t="inlineStr">
        <is>
          <t>TC-SYNC-01</t>
        </is>
      </c>
      <c r="B68" s="25" t="inlineStr">
        <is>
          <t>Multi-Instance Sync</t>
        </is>
      </c>
      <c r="C68" s="41" t="inlineStr">
        <is>
          <t>Pengiriman payload sinkronisasi ke Host Induk</t>
        </is>
      </c>
      <c r="D68" s="23" t="inlineStr">
        <is>
          <t>Positive</t>
        </is>
      </c>
      <c r="E68" s="46" t="inlineStr">
        <is>
          <t>Major</t>
        </is>
      </c>
      <c r="F68" s="41" t="inlineStr">
        <is>
          <t>1. Jalankan sinkronisasi data dari branch node ke Central Host
2. Pantau respons</t>
        </is>
      </c>
      <c r="G68" s="41" t="inlineStr">
        <is>
          <t>Status respons 200 OK, data delta mutasi berhasil direkonsiliasi</t>
        </is>
      </c>
      <c r="H68" s="42" t="inlineStr">
        <is>
          <t>Pass</t>
        </is>
      </c>
      <c r="I68" s="23" t="inlineStr">
        <is>
          <t>Full E2E Sprint</t>
        </is>
      </c>
      <c r="J68" s="23" t="inlineStr">
        <is>
          <t>2026-10-17</t>
        </is>
      </c>
      <c r="K68" s="23" t="inlineStr">
        <is>
          <t>Lead QA</t>
        </is>
      </c>
    </row>
    <row r="69" ht="42" customHeight="1">
      <c r="A69" s="32" t="inlineStr">
        <is>
          <t>TC-SYNC-02</t>
        </is>
      </c>
      <c r="B69" s="33" t="inlineStr">
        <is>
          <t>Multi-Instance Sync</t>
        </is>
      </c>
      <c r="C69" s="43" t="inlineStr">
        <is>
          <t>Autentikasi transfer data dengan Api Secret Key</t>
        </is>
      </c>
      <c r="D69" s="31" t="inlineStr">
        <is>
          <t>Security/RBAC</t>
        </is>
      </c>
      <c r="E69" s="35" t="inlineStr">
        <is>
          <t>Blocker</t>
        </is>
      </c>
      <c r="F69" s="43" t="inlineStr">
        <is>
          <t>1. Kirim payload sync dengan Api Secret Key yang salah atau kosong</t>
        </is>
      </c>
      <c r="G69" s="43" t="inlineStr">
        <is>
          <t>Host Induk menolak request dengan status 401 Unauthorized</t>
        </is>
      </c>
      <c r="H69" s="42" t="inlineStr">
        <is>
          <t>Pass</t>
        </is>
      </c>
      <c r="I69" s="31" t="inlineStr">
        <is>
          <t>Full E2E Sprint</t>
        </is>
      </c>
      <c r="J69" s="31" t="inlineStr">
        <is>
          <t>2026-10-17</t>
        </is>
      </c>
      <c r="K69" s="31" t="inlineStr">
        <is>
          <t>Security QA</t>
        </is>
      </c>
    </row>
    <row r="70" ht="42" customHeight="1">
      <c r="A70" s="24" t="inlineStr">
        <is>
          <t>TC-SYNC-03</t>
        </is>
      </c>
      <c r="B70" s="25" t="inlineStr">
        <is>
          <t>Multi-Instance Sync</t>
        </is>
      </c>
      <c r="C70" s="41" t="inlineStr">
        <is>
          <t>Proteksi Zip-Slip saat ekstraksi berkas lampiran</t>
        </is>
      </c>
      <c r="D70" s="23" t="inlineStr">
        <is>
          <t>Security/RBAC</t>
        </is>
      </c>
      <c r="E70" s="27" t="inlineStr">
        <is>
          <t>Blocker</t>
        </is>
      </c>
      <c r="F70" s="41" t="inlineStr">
        <is>
          <t>1. Kirim payload zip sync berisi entri dengan nama '../../windows/system32/bad.dll'</t>
        </is>
      </c>
      <c r="G70" s="41" t="inlineStr">
        <is>
          <t>Sistem memblokir ekstraksi dan melempar Exception keamanan path traversal</t>
        </is>
      </c>
      <c r="H70" s="42" t="inlineStr">
        <is>
          <t>Pass</t>
        </is>
      </c>
      <c r="I70" s="23" t="inlineStr">
        <is>
          <t>Full E2E Sprint</t>
        </is>
      </c>
      <c r="J70" s="23" t="inlineStr">
        <is>
          <t>2026-10-17</t>
        </is>
      </c>
      <c r="K70" s="23" t="inlineStr">
        <is>
          <t>Security QA</t>
        </is>
      </c>
    </row>
    <row r="71" ht="42" customHeight="1">
      <c r="A71" s="32" t="inlineStr">
        <is>
          <t>TC-SYNC-04</t>
        </is>
      </c>
      <c r="B71" s="33" t="inlineStr">
        <is>
          <t>Multi-Instance Sync</t>
        </is>
      </c>
      <c r="C71" s="43" t="inlineStr">
        <is>
          <t>Health check konektivitas multi-instance host</t>
        </is>
      </c>
      <c r="D71" s="31" t="inlineStr">
        <is>
          <t>Positive</t>
        </is>
      </c>
      <c r="E71" s="47" t="inlineStr">
        <is>
          <t>Moderate</t>
        </is>
      </c>
      <c r="F71" s="43" t="inlineStr">
        <is>
          <t>1. Panggil endpoint /api/sync/health dari node cabang</t>
        </is>
      </c>
      <c r="G71" s="43" t="inlineStr">
        <is>
          <t>Respons status 'Healthy' dengan timestamp latensi di bawah 200ms</t>
        </is>
      </c>
      <c r="H71" s="42" t="inlineStr">
        <is>
          <t>Pass</t>
        </is>
      </c>
      <c r="I71" s="31" t="inlineStr">
        <is>
          <t>Full E2E Sprint</t>
        </is>
      </c>
      <c r="J71" s="31" t="inlineStr">
        <is>
          <t>2026-10-17</t>
        </is>
      </c>
      <c r="K71" s="31" t="inlineStr">
        <is>
          <t>QA Engineer</t>
        </is>
      </c>
    </row>
    <row r="72" ht="42" customHeight="1">
      <c r="A72" s="24" t="inlineStr">
        <is>
          <t>TC-THEME-01</t>
        </is>
      </c>
      <c r="B72" s="25" t="inlineStr">
        <is>
          <t>Tema &amp; Global Font Engine</t>
        </is>
      </c>
      <c r="C72" s="41" t="inlineStr">
        <is>
          <t>Pemilihan 40 tema tampilan dinamis</t>
        </is>
      </c>
      <c r="D72" s="23" t="inlineStr">
        <is>
          <t>Positive</t>
        </is>
      </c>
      <c r="E72" s="45" t="inlineStr">
        <is>
          <t>Minor</t>
        </is>
      </c>
      <c r="F72" s="41" t="inlineStr">
        <is>
          <t>1. Buka Theme Switcher pada Header
2. Pilih tema 'Cyberpunk Neon'</t>
        </is>
      </c>
      <c r="G72" s="41" t="inlineStr">
        <is>
          <t>Seluruh variabel CSS warna (primary, surface, card) berganti seketika</t>
        </is>
      </c>
      <c r="H72" s="42" t="inlineStr">
        <is>
          <t>Pass</t>
        </is>
      </c>
      <c r="I72" s="23" t="inlineStr">
        <is>
          <t>Full E2E Sprint</t>
        </is>
      </c>
      <c r="J72" s="23" t="inlineStr">
        <is>
          <t>2026-10-17</t>
        </is>
      </c>
      <c r="K72" s="23" t="inlineStr">
        <is>
          <t>QA Engineer</t>
        </is>
      </c>
    </row>
    <row r="73" ht="42" customHeight="1">
      <c r="A73" s="32" t="inlineStr">
        <is>
          <t>TC-THEME-02</t>
        </is>
      </c>
      <c r="B73" s="33" t="inlineStr">
        <is>
          <t>Tema &amp; Global Font Engine</t>
        </is>
      </c>
      <c r="C73" s="43" t="inlineStr">
        <is>
          <t>Penggantian font global (5 Google Fonts)</t>
        </is>
      </c>
      <c r="D73" s="31" t="inlineStr">
        <is>
          <t>Positive</t>
        </is>
      </c>
      <c r="E73" s="47" t="inlineStr">
        <is>
          <t>Minor</t>
        </is>
      </c>
      <c r="F73" s="43" t="inlineStr">
        <is>
          <t>1. Buka Font Switcher
2. Pilih font 'Outfit'
3. Muat ulang halaman</t>
        </is>
      </c>
      <c r="G73" s="43" t="inlineStr">
        <is>
          <t>Tipografi aplikasi berubah menjadi Outfit dan preferensi tersimpan di LocalStorage</t>
        </is>
      </c>
      <c r="H73" s="42" t="inlineStr">
        <is>
          <t>Pass</t>
        </is>
      </c>
      <c r="I73" s="31" t="inlineStr">
        <is>
          <t>Full E2E Sprint</t>
        </is>
      </c>
      <c r="J73" s="31" t="inlineStr">
        <is>
          <t>2026-10-17</t>
        </is>
      </c>
      <c r="K73" s="31" t="inlineStr">
        <is>
          <t>QA Engineer</t>
        </is>
      </c>
    </row>
    <row r="74" ht="42" customHeight="1">
      <c r="A74" s="24" t="inlineStr">
        <is>
          <t>TC-THEME-03</t>
        </is>
      </c>
      <c r="B74" s="25" t="inlineStr">
        <is>
          <t>Tema &amp; Global Font Engine</t>
        </is>
      </c>
      <c r="C74" s="41" t="inlineStr">
        <is>
          <t>Beralih antara Mode Terang dan Gelap</t>
        </is>
      </c>
      <c r="D74" s="23" t="inlineStr">
        <is>
          <t>Positive</t>
        </is>
      </c>
      <c r="E74" s="45" t="inlineStr">
        <is>
          <t>Minor</t>
        </is>
      </c>
      <c r="F74" s="41" t="inlineStr">
        <is>
          <t>1. Klik tombol toggle Dark Mode pada navbar</t>
        </is>
      </c>
      <c r="G74" s="41" t="inlineStr">
        <is>
          <t>Kelas 'dark' diterapkan pada elemen &lt;html&gt; dan kontras warna terjaga ramah mata</t>
        </is>
      </c>
      <c r="H74" s="42" t="inlineStr">
        <is>
          <t>Pass</t>
        </is>
      </c>
      <c r="I74" s="23" t="inlineStr">
        <is>
          <t>Full E2E Sprint</t>
        </is>
      </c>
      <c r="J74" s="23" t="inlineStr">
        <is>
          <t>2026-10-17</t>
        </is>
      </c>
      <c r="K74" s="23" t="inlineStr">
        <is>
          <t>QA Engineer</t>
        </is>
      </c>
    </row>
    <row r="75" ht="42" customHeight="1">
      <c r="A75" s="32" t="inlineStr">
        <is>
          <t>TC-API-01</t>
        </is>
      </c>
      <c r="B75" s="33" t="inlineStr">
        <is>
          <t>REST API &amp; Swagger Bearer</t>
        </is>
      </c>
      <c r="C75" s="43" t="inlineStr">
        <is>
          <t>Dokumentasi interaktif Swagger UI</t>
        </is>
      </c>
      <c r="D75" s="31" t="inlineStr">
        <is>
          <t>Positive</t>
        </is>
      </c>
      <c r="E75" s="47" t="inlineStr">
        <is>
          <t>Moderate</t>
        </is>
      </c>
      <c r="F75" s="43" t="inlineStr">
        <is>
          <t>1. Buka /swagger/index.html pada peramban</t>
        </is>
      </c>
      <c r="G75" s="43" t="inlineStr">
        <is>
          <t>Swagger UI memuat seluruh controller dan schema DTO dengan lengkap</t>
        </is>
      </c>
      <c r="H75" s="42" t="inlineStr">
        <is>
          <t>Pass</t>
        </is>
      </c>
      <c r="I75" s="31" t="inlineStr">
        <is>
          <t>Full E2E Sprint</t>
        </is>
      </c>
      <c r="J75" s="31" t="inlineStr">
        <is>
          <t>2026-10-17</t>
        </is>
      </c>
      <c r="K75" s="31" t="inlineStr">
        <is>
          <t>QA Engineer</t>
        </is>
      </c>
    </row>
    <row r="76" ht="42" customHeight="1">
      <c r="A76" s="24" t="inlineStr">
        <is>
          <t>TC-API-02</t>
        </is>
      </c>
      <c r="B76" s="25" t="inlineStr">
        <is>
          <t>REST API &amp; Swagger Bearer</t>
        </is>
      </c>
      <c r="C76" s="41" t="inlineStr">
        <is>
          <t>Otentikasi endpoint API dengan JWT Bearer</t>
        </is>
      </c>
      <c r="D76" s="23" t="inlineStr">
        <is>
          <t>Security/RBAC</t>
        </is>
      </c>
      <c r="E76" s="46" t="inlineStr">
        <is>
          <t>Major</t>
        </is>
      </c>
      <c r="F76" s="41" t="inlineStr">
        <is>
          <t>1. Panggil GET /api/tasks tanpa Bearer Token
2. Panggil kembali dengan token valid</t>
        </is>
      </c>
      <c r="G76" s="41" t="inlineStr">
        <is>
          <t>Panggilan tanpa token menghasilkan 401, dengan token valid menghasilkan 200 OK</t>
        </is>
      </c>
      <c r="H76" s="42" t="inlineStr">
        <is>
          <t>Pass</t>
        </is>
      </c>
      <c r="I76" s="23" t="inlineStr">
        <is>
          <t>Full E2E Sprint</t>
        </is>
      </c>
      <c r="J76" s="23" t="inlineStr">
        <is>
          <t>2026-10-17</t>
        </is>
      </c>
      <c r="K76" s="23" t="inlineStr">
        <is>
          <t>Lead QA</t>
        </is>
      </c>
    </row>
    <row r="77" ht="42" customHeight="1">
      <c r="A77" s="32" t="inlineStr">
        <is>
          <t>TC-API-03</t>
        </is>
      </c>
      <c r="B77" s="33" t="inlineStr">
        <is>
          <t>REST API &amp; Swagger Bearer</t>
        </is>
      </c>
      <c r="C77" s="43" t="inlineStr">
        <is>
          <t>Validasi penanganan payload BadRequest (400)</t>
        </is>
      </c>
      <c r="D77" s="31" t="inlineStr">
        <is>
          <t>Negative</t>
        </is>
      </c>
      <c r="E77" s="47" t="inlineStr">
        <is>
          <t>Moderate</t>
        </is>
      </c>
      <c r="F77" s="43" t="inlineStr">
        <is>
          <t>1. POST /api/tasks dengan field Title kosong</t>
        </is>
      </c>
      <c r="G77" s="43" t="inlineStr">
        <is>
          <t>API merespons 400 Bad Request dengan rincian validation problem details</t>
        </is>
      </c>
      <c r="H77" s="42" t="inlineStr">
        <is>
          <t>Pass</t>
        </is>
      </c>
      <c r="I77" s="31" t="inlineStr">
        <is>
          <t>Full E2E Sprint</t>
        </is>
      </c>
      <c r="J77" s="31" t="inlineStr">
        <is>
          <t>2026-10-17</t>
        </is>
      </c>
      <c r="K77" s="31" t="inlineStr">
        <is>
          <t>QA Engineer</t>
        </is>
      </c>
    </row>
  </sheetData>
  <mergeCells count="2">
    <mergeCell ref="A2:K2"/>
    <mergeCell ref="A1:K1"/>
  </mergeCells>
  <dataValidations count="3">
    <dataValidation sqref="H4:H77" showDropDown="0" showInputMessage="0" showErrorMessage="0" allowBlank="1" type="list">
      <formula1>"Pass,Fail,Blocked,Untested"</formula1>
    </dataValidation>
    <dataValidation sqref="E4:E77" showDropDown="0" showInputMessage="0" showErrorMessage="0" allowBlank="1" type="list">
      <formula1>"Blocker,Major,Moderate,Minor"</formula1>
    </dataValidation>
    <dataValidation sqref="D4:D77" showDropDown="0" showInputMessage="0" showErrorMessage="0" allowBlank="1" type="list">
      <formula1>"Positive,Negative,Security/RBAC,Data Validation"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8" customWidth="1" min="3" max="3"/>
    <col width="32" customWidth="1" min="4" max="4"/>
    <col width="16" customWidth="1" min="5" max="5"/>
    <col width="18" customWidth="1" min="6" max="6"/>
    <col width="20" customWidth="1" min="7" max="7"/>
    <col width="18" customWidth="1" min="8" max="8"/>
  </cols>
  <sheetData>
    <row r="1">
      <c r="A1" s="1" t="inlineStr">
        <is>
          <t>TaskWorker Pro — QA Execution Cycles &amp; Test Runs Schedule</t>
        </is>
      </c>
    </row>
    <row r="2">
      <c r="A2" s="2" t="inlineStr">
        <is>
          <t>Pelacakan Siklus Pengujian Terjadwal Sebelum Deployment Staging &amp; Production</t>
        </is>
      </c>
    </row>
    <row r="3" ht="26" customHeight="1">
      <c r="A3" s="21" t="inlineStr">
        <is>
          <t>Cycle ID</t>
        </is>
      </c>
      <c r="B3" s="22" t="inlineStr">
        <is>
          <t>Nama Siklus Pengujian</t>
        </is>
      </c>
      <c r="C3" s="22" t="inlineStr">
        <is>
          <t>Tujuan Siklus</t>
        </is>
      </c>
      <c r="D3" s="22" t="inlineStr">
        <is>
          <t>Lingkup Modul</t>
        </is>
      </c>
      <c r="E3" s="21" t="inlineStr">
        <is>
          <t>Target Waktu</t>
        </is>
      </c>
      <c r="F3" s="21" t="inlineStr">
        <is>
          <t>Total Test Cases</t>
        </is>
      </c>
      <c r="G3" s="21" t="inlineStr">
        <is>
          <t>Hasil &amp; Pass Rate</t>
        </is>
      </c>
      <c r="H3" s="21" t="inlineStr">
        <is>
          <t>Status Siklus</t>
        </is>
      </c>
    </row>
    <row r="4" ht="28" customHeight="1">
      <c r="A4" s="24" t="inlineStr">
        <is>
          <t>CYC-01</t>
        </is>
      </c>
      <c r="B4" s="25" t="inlineStr">
        <is>
          <t>Smoke &amp; Sanity Testing</t>
        </is>
      </c>
      <c r="C4" s="25" t="inlineStr">
        <is>
          <t>Verifikasi kesehatan build &amp; fungsi vital</t>
        </is>
      </c>
      <c r="D4" s="25" t="inlineStr">
        <is>
          <t>Auth, Health check, Core Layout</t>
        </is>
      </c>
      <c r="E4" s="23" t="inlineStr">
        <is>
          <t>30 Menit</t>
        </is>
      </c>
      <c r="F4" s="23" t="n">
        <v>10</v>
      </c>
      <c r="G4" s="23" t="inlineStr">
        <is>
          <t>10 / 10 (100%)</t>
        </is>
      </c>
      <c r="H4" s="42" t="inlineStr">
        <is>
          <t>Completed</t>
        </is>
      </c>
    </row>
    <row r="5" ht="28" customHeight="1">
      <c r="A5" s="32" t="inlineStr">
        <is>
          <t>CYC-02</t>
        </is>
      </c>
      <c r="B5" s="33" t="inlineStr">
        <is>
          <t>Multi-Company Regression</t>
        </is>
      </c>
      <c r="C5" s="33" t="inlineStr">
        <is>
          <t>Validasi isolasi ketat antar tenant entitas</t>
        </is>
      </c>
      <c r="D5" s="33" t="inlineStr">
        <is>
          <t>Tenant, Project, Task, Attendance</t>
        </is>
      </c>
      <c r="E5" s="31" t="inlineStr">
        <is>
          <t>2 Jam</t>
        </is>
      </c>
      <c r="F5" s="31" t="n">
        <v>14</v>
      </c>
      <c r="G5" s="31" t="inlineStr">
        <is>
          <t>14 / 14 (100%)</t>
        </is>
      </c>
      <c r="H5" s="42" t="inlineStr">
        <is>
          <t>Completed</t>
        </is>
      </c>
    </row>
    <row r="6" ht="28" customHeight="1">
      <c r="A6" s="24" t="inlineStr">
        <is>
          <t>CYC-03</t>
        </is>
      </c>
      <c r="B6" s="25" t="inlineStr">
        <is>
          <t>ClosedXML ARMS Interop</t>
        </is>
      </c>
      <c r="C6" s="25" t="inlineStr">
        <is>
          <t>Validasi integritas impor/ekspor 9 &amp; 21 kolom</t>
        </is>
      </c>
      <c r="D6" s="25" t="inlineStr">
        <is>
          <t>Excel, ClosedXML Engine, Task WBS</t>
        </is>
      </c>
      <c r="E6" s="23" t="inlineStr">
        <is>
          <t>2 Jam</t>
        </is>
      </c>
      <c r="F6" s="23" t="n">
        <v>8</v>
      </c>
      <c r="G6" s="23" t="inlineStr">
        <is>
          <t>8 / 8 (100%)</t>
        </is>
      </c>
      <c r="H6" s="42" t="inlineStr">
        <is>
          <t>Completed</t>
        </is>
      </c>
    </row>
    <row r="7" ht="28" customHeight="1">
      <c r="A7" s="32" t="inlineStr">
        <is>
          <t>CYC-04</t>
        </is>
      </c>
      <c r="B7" s="33" t="inlineStr">
        <is>
          <t>Full E2E Sprint Testing</t>
        </is>
      </c>
      <c r="C7" s="33" t="inlineStr">
        <is>
          <t>Pengujian menyeluruh 19 modul aplikasi</t>
        </is>
      </c>
      <c r="D7" s="33" t="inlineStr">
        <is>
          <t>Seluruh 19 Modul Sistem</t>
        </is>
      </c>
      <c r="E7" s="31" t="inlineStr">
        <is>
          <t>8 Jam</t>
        </is>
      </c>
      <c r="F7" s="31" t="n">
        <v>72</v>
      </c>
      <c r="G7" s="31" t="inlineStr">
        <is>
          <t>72 / 72 (100%)</t>
        </is>
      </c>
      <c r="H7" s="42" t="inlineStr">
        <is>
          <t>Completed</t>
        </is>
      </c>
    </row>
    <row r="8" ht="28" customHeight="1">
      <c r="A8" s="24" t="inlineStr">
        <is>
          <t>CYC-05</t>
        </is>
      </c>
      <c r="B8" s="25" t="inlineStr">
        <is>
          <t>User Acceptance Testing (UAT)</t>
        </is>
      </c>
      <c r="C8" s="25" t="inlineStr">
        <is>
          <t>Verifikasi penerimaan oleh Product Owner</t>
        </is>
      </c>
      <c r="D8" s="25" t="inlineStr">
        <is>
          <t>Alur Kerja Nyata Pengguna</t>
        </is>
      </c>
      <c r="E8" s="23" t="inlineStr">
        <is>
          <t>4 Jam</t>
        </is>
      </c>
      <c r="F8" s="23" t="n">
        <v>25</v>
      </c>
      <c r="G8" s="23" t="inlineStr">
        <is>
          <t>25 / 25 (100%)</t>
        </is>
      </c>
      <c r="H8" s="42" t="inlineStr">
        <is>
          <t>Signed-Off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42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TaskWorker Pro — Comprehensive QA Defect &amp; Issue Tracker</t>
        </is>
      </c>
    </row>
    <row r="2">
      <c r="A2" s="2" t="inlineStr">
        <is>
          <t>Pencatatan Temuan Cacat, Tingkat Keparahan, Penugasan Developer, dan Status Perbaikan</t>
        </is>
      </c>
    </row>
    <row r="3" ht="26" customHeight="1">
      <c r="A3" s="21" t="inlineStr">
        <is>
          <t>Defect ID</t>
        </is>
      </c>
      <c r="B3" s="21" t="inlineStr">
        <is>
          <t>Ref Test Case ID</t>
        </is>
      </c>
      <c r="C3" s="22" t="inlineStr">
        <is>
          <t>Modul Terkait</t>
        </is>
      </c>
      <c r="D3" s="22" t="inlineStr">
        <is>
          <t>Deskripsi Temuan Bug</t>
        </is>
      </c>
      <c r="E3" s="21" t="inlineStr">
        <is>
          <t>Keparahan (Severity)</t>
        </is>
      </c>
      <c r="F3" s="21" t="inlineStr">
        <is>
          <t>Status Bug</t>
        </is>
      </c>
      <c r="G3" s="22" t="inlineStr">
        <is>
          <t>Dilaporkan Oleh</t>
        </is>
      </c>
      <c r="H3" s="22" t="inlineStr">
        <is>
          <t>Ditugaskan Ke</t>
        </is>
      </c>
      <c r="I3" s="21" t="inlineStr">
        <is>
          <t>Tanggal Temuan</t>
        </is>
      </c>
      <c r="J3" s="21" t="inlineStr">
        <is>
          <t>Versi Perbaikan</t>
        </is>
      </c>
    </row>
    <row r="4" ht="26" customHeight="1">
      <c r="A4" s="24" t="inlineStr">
        <is>
          <t>BUG-001</t>
        </is>
      </c>
      <c r="B4" s="23" t="inlineStr">
        <is>
          <t>TC-GAME-02</t>
        </is>
      </c>
      <c r="C4" s="25" t="inlineStr">
        <is>
          <t>Gamifikasi &amp; Master Badges</t>
        </is>
      </c>
      <c r="D4" s="25" t="inlineStr">
        <is>
          <t>Streak check-in sempat reset saat jarak 1.5 hari karena kalkulasi jam zona waktu UTC</t>
        </is>
      </c>
      <c r="E4" s="23" t="inlineStr">
        <is>
          <t>Major</t>
        </is>
      </c>
      <c r="F4" s="42" t="inlineStr">
        <is>
          <t>Resolved</t>
        </is>
      </c>
      <c r="G4" s="25" t="inlineStr">
        <is>
          <t>QA Lead</t>
        </is>
      </c>
      <c r="H4" s="25" t="inlineStr">
        <is>
          <t>Backend Dev</t>
        </is>
      </c>
      <c r="I4" s="23" t="inlineStr">
        <is>
          <t>2026-10-15</t>
        </is>
      </c>
      <c r="J4" s="23" t="inlineStr">
        <is>
          <t>v2.0.1</t>
        </is>
      </c>
    </row>
    <row r="5" ht="26" customHeight="1">
      <c r="A5" s="32" t="inlineStr">
        <is>
          <t>BUG-002</t>
        </is>
      </c>
      <c r="B5" s="31" t="inlineStr">
        <is>
          <t>TC-SYNC-03</t>
        </is>
      </c>
      <c r="C5" s="33" t="inlineStr">
        <is>
          <t>Multi-Instance Sync</t>
        </is>
      </c>
      <c r="D5" s="33" t="inlineStr">
        <is>
          <t>Validasi Zip-Slip path traversal melempar unhandled exception bukan 400 Json</t>
        </is>
      </c>
      <c r="E5" s="31" t="inlineStr">
        <is>
          <t>Blocker</t>
        </is>
      </c>
      <c r="F5" s="42" t="inlineStr">
        <is>
          <t>Resolved</t>
        </is>
      </c>
      <c r="G5" s="33" t="inlineStr">
        <is>
          <t>Security QA</t>
        </is>
      </c>
      <c r="H5" s="33" t="inlineStr">
        <is>
          <t>Core Dev</t>
        </is>
      </c>
      <c r="I5" s="31" t="inlineStr">
        <is>
          <t>2026-10-16</t>
        </is>
      </c>
      <c r="J5" s="31" t="inlineStr">
        <is>
          <t>v2.0.1</t>
        </is>
      </c>
    </row>
    <row r="6" ht="26" customHeight="1">
      <c r="A6" s="24" t="inlineStr">
        <is>
          <t>BUG-003</t>
        </is>
      </c>
      <c r="B6" s="23" t="inlineStr">
        <is>
          <t>TC-EXCEL-02</t>
        </is>
      </c>
      <c r="C6" s="25" t="inlineStr">
        <is>
          <t>ClosedXML Interoperabilitas</t>
        </is>
      </c>
      <c r="D6" s="25" t="inlineStr">
        <is>
          <t>Header kolom ARMS 21 ke-18 terpotong jika nama activity code terlalu panjang</t>
        </is>
      </c>
      <c r="E6" s="23" t="inlineStr">
        <is>
          <t>Moderate</t>
        </is>
      </c>
      <c r="F6" s="42" t="inlineStr">
        <is>
          <t>Resolved</t>
        </is>
      </c>
      <c r="G6" s="25" t="inlineStr">
        <is>
          <t>QA Engineer</t>
        </is>
      </c>
      <c r="H6" s="25" t="inlineStr">
        <is>
          <t>Backend Dev</t>
        </is>
      </c>
      <c r="I6" s="23" t="inlineStr">
        <is>
          <t>2026-10-16</t>
        </is>
      </c>
      <c r="J6" s="23" t="inlineStr">
        <is>
          <t>v2.0.1</t>
        </is>
      </c>
    </row>
    <row r="7" ht="26" customHeight="1">
      <c r="A7" s="32" t="inlineStr">
        <is>
          <t>BUG-004</t>
        </is>
      </c>
      <c r="B7" s="31" t="inlineStr">
        <is>
          <t>TC-THEME-01</t>
        </is>
      </c>
      <c r="C7" s="33" t="inlineStr">
        <is>
          <t>Tema &amp; Global Font Engine</t>
        </is>
      </c>
      <c r="D7" s="33" t="inlineStr">
        <is>
          <t>Animasi transisi font di safari browser mengalami flicker sesaat saat switch</t>
        </is>
      </c>
      <c r="E7" s="31" t="inlineStr">
        <is>
          <t>Minor</t>
        </is>
      </c>
      <c r="F7" s="42" t="inlineStr">
        <is>
          <t>Resolved</t>
        </is>
      </c>
      <c r="G7" s="33" t="inlineStr">
        <is>
          <t>Frontend QA</t>
        </is>
      </c>
      <c r="H7" s="33" t="inlineStr">
        <is>
          <t>UI Dev</t>
        </is>
      </c>
      <c r="I7" s="31" t="inlineStr">
        <is>
          <t>2026-10-17</t>
        </is>
      </c>
      <c r="J7" s="31" t="inlineStr">
        <is>
          <t>v2.0.2</t>
        </is>
      </c>
    </row>
    <row r="8" ht="22" customHeight="1">
      <c r="A8" s="48" t="inlineStr"/>
      <c r="B8" s="48" t="inlineStr"/>
      <c r="C8" s="48" t="inlineStr"/>
      <c r="D8" s="48" t="inlineStr"/>
      <c r="E8" s="48" t="inlineStr"/>
      <c r="F8" s="48" t="inlineStr"/>
      <c r="G8" s="48" t="inlineStr"/>
      <c r="H8" s="48" t="inlineStr"/>
      <c r="I8" s="48" t="inlineStr"/>
      <c r="J8" s="48" t="inlineStr"/>
    </row>
    <row r="9" ht="22" customHeight="1">
      <c r="A9" s="49" t="inlineStr"/>
      <c r="B9" s="49" t="inlineStr"/>
      <c r="C9" s="49" t="inlineStr"/>
      <c r="D9" s="49" t="inlineStr"/>
      <c r="E9" s="49" t="inlineStr"/>
      <c r="F9" s="49" t="inlineStr"/>
      <c r="G9" s="49" t="inlineStr"/>
      <c r="H9" s="49" t="inlineStr"/>
      <c r="I9" s="49" t="inlineStr"/>
      <c r="J9" s="49" t="inlineStr"/>
    </row>
    <row r="10" ht="22" customHeight="1">
      <c r="A10" s="48" t="inlineStr"/>
      <c r="B10" s="48" t="inlineStr"/>
      <c r="C10" s="48" t="inlineStr"/>
      <c r="D10" s="48" t="inlineStr"/>
      <c r="E10" s="48" t="inlineStr"/>
      <c r="F10" s="48" t="inlineStr"/>
      <c r="G10" s="48" t="inlineStr"/>
      <c r="H10" s="48" t="inlineStr"/>
      <c r="I10" s="48" t="inlineStr"/>
      <c r="J10" s="48" t="inlineStr"/>
    </row>
    <row r="11" ht="22" customHeight="1">
      <c r="A11" s="49" t="inlineStr"/>
      <c r="B11" s="49" t="inlineStr"/>
      <c r="C11" s="49" t="inlineStr"/>
      <c r="D11" s="49" t="inlineStr"/>
      <c r="E11" s="49" t="inlineStr"/>
      <c r="F11" s="49" t="inlineStr"/>
      <c r="G11" s="49" t="inlineStr"/>
      <c r="H11" s="49" t="inlineStr"/>
      <c r="I11" s="49" t="inlineStr"/>
      <c r="J11" s="49" t="inlineStr"/>
    </row>
    <row r="12" ht="22" customHeight="1">
      <c r="A12" s="48" t="inlineStr"/>
      <c r="B12" s="48" t="inlineStr"/>
      <c r="C12" s="48" t="inlineStr"/>
      <c r="D12" s="48" t="inlineStr"/>
      <c r="E12" s="48" t="inlineStr"/>
      <c r="F12" s="48" t="inlineStr"/>
      <c r="G12" s="48" t="inlineStr"/>
      <c r="H12" s="48" t="inlineStr"/>
      <c r="I12" s="48" t="inlineStr"/>
      <c r="J12" s="48" t="inlineStr"/>
    </row>
    <row r="13" ht="22" customHeight="1">
      <c r="A13" s="49" t="inlineStr"/>
      <c r="B13" s="49" t="inlineStr"/>
      <c r="C13" s="49" t="inlineStr"/>
      <c r="D13" s="49" t="inlineStr"/>
      <c r="E13" s="49" t="inlineStr"/>
      <c r="F13" s="49" t="inlineStr"/>
      <c r="G13" s="49" t="inlineStr"/>
      <c r="H13" s="49" t="inlineStr"/>
      <c r="I13" s="49" t="inlineStr"/>
      <c r="J13" s="49" t="inlineStr"/>
    </row>
    <row r="14" ht="22" customHeight="1">
      <c r="A14" s="48" t="inlineStr"/>
      <c r="B14" s="48" t="inlineStr"/>
      <c r="C14" s="48" t="inlineStr"/>
      <c r="D14" s="48" t="inlineStr"/>
      <c r="E14" s="48" t="inlineStr"/>
      <c r="F14" s="48" t="inlineStr"/>
      <c r="G14" s="48" t="inlineStr"/>
      <c r="H14" s="48" t="inlineStr"/>
      <c r="I14" s="48" t="inlineStr"/>
      <c r="J14" s="48" t="inlineStr"/>
    </row>
    <row r="15" ht="22" customHeight="1">
      <c r="A15" s="49" t="inlineStr"/>
      <c r="B15" s="49" t="inlineStr"/>
      <c r="C15" s="49" t="inlineStr"/>
      <c r="D15" s="49" t="inlineStr"/>
      <c r="E15" s="49" t="inlineStr"/>
      <c r="F15" s="49" t="inlineStr"/>
      <c r="G15" s="49" t="inlineStr"/>
      <c r="H15" s="49" t="inlineStr"/>
      <c r="I15" s="49" t="inlineStr"/>
      <c r="J15" s="49" t="inlineStr"/>
    </row>
    <row r="16" ht="22" customHeight="1">
      <c r="A16" s="48" t="inlineStr"/>
      <c r="B16" s="48" t="inlineStr"/>
      <c r="C16" s="48" t="inlineStr"/>
      <c r="D16" s="48" t="inlineStr"/>
      <c r="E16" s="48" t="inlineStr"/>
      <c r="F16" s="48" t="inlineStr"/>
      <c r="G16" s="48" t="inlineStr"/>
      <c r="H16" s="48" t="inlineStr"/>
      <c r="I16" s="48" t="inlineStr"/>
      <c r="J16" s="48" t="inlineStr"/>
    </row>
    <row r="17" ht="22" customHeight="1">
      <c r="A17" s="49" t="inlineStr"/>
      <c r="B17" s="49" t="inlineStr"/>
      <c r="C17" s="49" t="inlineStr"/>
      <c r="D17" s="49" t="inlineStr"/>
      <c r="E17" s="49" t="inlineStr"/>
      <c r="F17" s="49" t="inlineStr"/>
      <c r="G17" s="49" t="inlineStr"/>
      <c r="H17" s="49" t="inlineStr"/>
      <c r="I17" s="49" t="inlineStr"/>
      <c r="J17" s="49" t="inlineStr"/>
    </row>
    <row r="18" ht="22" customHeight="1">
      <c r="A18" s="48" t="inlineStr"/>
      <c r="B18" s="48" t="inlineStr"/>
      <c r="C18" s="48" t="inlineStr"/>
      <c r="D18" s="48" t="inlineStr"/>
      <c r="E18" s="48" t="inlineStr"/>
      <c r="F18" s="48" t="inlineStr"/>
      <c r="G18" s="48" t="inlineStr"/>
      <c r="H18" s="48" t="inlineStr"/>
      <c r="I18" s="48" t="inlineStr"/>
      <c r="J18" s="48" t="inlineStr"/>
    </row>
    <row r="19" ht="22" customHeight="1">
      <c r="A19" s="49" t="inlineStr"/>
      <c r="B19" s="49" t="inlineStr"/>
      <c r="C19" s="49" t="inlineStr"/>
      <c r="D19" s="49" t="inlineStr"/>
      <c r="E19" s="49" t="inlineStr"/>
      <c r="F19" s="49" t="inlineStr"/>
      <c r="G19" s="49" t="inlineStr"/>
      <c r="H19" s="49" t="inlineStr"/>
      <c r="I19" s="49" t="inlineStr"/>
      <c r="J19" s="49" t="inlineStr"/>
    </row>
  </sheetData>
  <mergeCells count="2">
    <mergeCell ref="A1:J1"/>
    <mergeCell ref="A2:J2"/>
  </mergeCells>
  <dataValidations count="2">
    <dataValidation sqref="E4:E30" showDropDown="0" showInputMessage="0" showErrorMessage="0" allowBlank="1" type="list">
      <formula1>"Blocker,Major,Moderate,Minor"</formula1>
    </dataValidation>
    <dataValidation sqref="F4:F30" showDropDown="0" showInputMessage="0" showErrorMessage="0" allowBlank="1" type="list">
      <formula1>"Open,In Progress,Resolved,Closed,Reopened"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2026-10-17T09:51:17Z</dcterms:created>
  <dcterms:modified xmlns:dcterms="http://purl.org/dc/terms/" xmlns:xsi="http://www.w3.org/2001/XMLSchema-instance" xsi:type="dcterms:W3CDTF">2026-10-17T09:51:17Z</dcterms:modified>
</cp:coreProperties>
</file>