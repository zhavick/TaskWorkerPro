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codeName="ThisWorkbook"/>
  <mc:AlternateContent xmlns:mc="http://schemas.openxmlformats.org/markup-compatibility/2006">
    <mc:Choice Requires="x15">
      <x15ac:absPath xmlns:x15ac="http://schemas.microsoft.com/office/spreadsheetml/2010/11/ac" url="/Users/mac/Downloads/"/>
    </mc:Choice>
  </mc:AlternateContent>
  <xr:revisionPtr revIDLastSave="0" documentId="13_ncr:1_{46624F75-80A1-2548-9AA2-9FF535E1F7DC}" xr6:coauthVersionLast="47" xr6:coauthVersionMax="47" xr10:uidLastSave="{00000000-0000-0000-0000-000000000000}"/>
  <bookViews>
    <workbookView xWindow="0" yWindow="0" windowWidth="28800" windowHeight="18000" activeTab="3" xr2:uid="{00000000-000D-0000-FFFF-FFFF00000000}"/>
  </bookViews>
  <sheets>
    <sheet name="Lookup" sheetId="1" state="hidden" r:id="rId1"/>
    <sheet name="RealTime_Dashboard" sheetId="2" r:id="rId2"/>
    <sheet name="Master_Data" sheetId="3" state="hidden" r:id="rId3"/>
    <sheet name="Syafix" sheetId="4" r:id="rId4"/>
    <sheet name="Haviz" sheetId="5" r:id="rId5"/>
    <sheet name="Danang" sheetId="6" state="hidden" r:id="rId6"/>
    <sheet name="Atha" sheetId="7" r:id="rId7"/>
    <sheet name="Iqbal" sheetId="8" r:id="rId8"/>
    <sheet name="Glenn" sheetId="9" r:id="rId9"/>
    <sheet name="Heni" sheetId="10" r:id="rId10"/>
    <sheet name="Syifa" sheetId="11" r:id="rId11"/>
    <sheet name="Master_Project_Name" sheetId="12" state="hidden" r:id="rId12"/>
  </sheets>
  <definedNames>
    <definedName name="_xlnm._FilterDatabase" localSheetId="3" hidden="1">Syafix!$A$1:$Y$150</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1" l="1"/>
  <c r="A59" i="9"/>
  <c r="A58" i="9"/>
  <c r="A22" i="11"/>
  <c r="A23" i="11"/>
  <c r="A24" i="11"/>
  <c r="A25" i="11"/>
  <c r="A26" i="11"/>
  <c r="A27" i="11"/>
  <c r="A28" i="11"/>
  <c r="A29" i="11"/>
  <c r="A30" i="11"/>
  <c r="A31" i="11"/>
  <c r="A67" i="7"/>
  <c r="A55" i="9"/>
  <c r="A54" i="9"/>
  <c r="A10"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2" i="10"/>
  <c r="D11" i="2"/>
  <c r="C11" i="2"/>
  <c r="B11" i="2"/>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50" i="9"/>
  <c r="A49" i="9"/>
  <c r="A86" i="4"/>
  <c r="A54" i="7"/>
  <c r="A48" i="9"/>
  <c r="A47" i="9"/>
  <c r="A45" i="9"/>
  <c r="A52" i="7"/>
  <c r="A42" i="9"/>
  <c r="A41" i="9"/>
  <c r="A76" i="4"/>
  <c r="A75" i="4"/>
  <c r="A40" i="9"/>
  <c r="A39" i="9"/>
  <c r="A38" i="9"/>
  <c r="A37" i="9"/>
  <c r="A36" i="9"/>
  <c r="A46" i="7"/>
  <c r="A61" i="4"/>
  <c r="A60" i="4"/>
  <c r="A43" i="7"/>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59" i="10"/>
  <c r="A58" i="10"/>
  <c r="A57" i="10"/>
  <c r="A42" i="10"/>
  <c r="A36" i="10"/>
  <c r="A34" i="10"/>
  <c r="A33" i="10"/>
  <c r="A32" i="10"/>
  <c r="A31" i="10"/>
  <c r="A30" i="10"/>
  <c r="A29" i="10"/>
  <c r="A28" i="10"/>
  <c r="A27" i="10"/>
  <c r="A26" i="10"/>
  <c r="A25" i="10"/>
  <c r="A24" i="10"/>
  <c r="A23" i="10"/>
  <c r="A22" i="10"/>
  <c r="A21" i="10"/>
  <c r="A20" i="10"/>
  <c r="A19" i="10"/>
  <c r="A18" i="10"/>
  <c r="A16" i="10"/>
  <c r="A15" i="10"/>
  <c r="A14" i="10"/>
  <c r="A13" i="10"/>
  <c r="A12" i="10"/>
  <c r="A11" i="10"/>
  <c r="A10" i="10"/>
  <c r="A9" i="10"/>
  <c r="A8" i="10"/>
  <c r="A7" i="10"/>
  <c r="A6" i="10"/>
  <c r="A5" i="10"/>
  <c r="A4" i="10"/>
  <c r="A3" i="10"/>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7" i="9"/>
  <c r="A56" i="9"/>
  <c r="A53" i="9"/>
  <c r="A52" i="9"/>
  <c r="A51" i="9"/>
  <c r="A46" i="9"/>
  <c r="A44" i="9"/>
  <c r="A43"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6" i="7"/>
  <c r="A65" i="7"/>
  <c r="A64" i="7"/>
  <c r="A63" i="7"/>
  <c r="A62" i="7"/>
  <c r="A61" i="7"/>
  <c r="A60" i="7"/>
  <c r="A59" i="7"/>
  <c r="A58" i="7"/>
  <c r="A57" i="7"/>
  <c r="A56" i="7"/>
  <c r="A55" i="7"/>
  <c r="A53" i="7"/>
  <c r="A51" i="7"/>
  <c r="A50" i="7"/>
  <c r="A49" i="7"/>
  <c r="A48" i="7"/>
  <c r="A47" i="7"/>
  <c r="A45" i="7"/>
  <c r="A44"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3" i="5"/>
  <c r="A72" i="5"/>
  <c r="A71" i="5"/>
  <c r="A70" i="5"/>
  <c r="A69" i="5"/>
  <c r="A68" i="5"/>
  <c r="A67" i="5"/>
  <c r="A66" i="5"/>
  <c r="A65" i="5"/>
  <c r="A64" i="5"/>
  <c r="A63" i="5"/>
  <c r="A62" i="5"/>
  <c r="A61" i="5"/>
  <c r="A60" i="5"/>
  <c r="A59" i="5"/>
  <c r="A58" i="5"/>
  <c r="A57" i="5"/>
  <c r="A56" i="5"/>
  <c r="A55" i="5"/>
  <c r="A54" i="5"/>
  <c r="A53" i="5"/>
  <c r="A52" i="5"/>
  <c r="A51" i="5"/>
  <c r="A50" i="5"/>
  <c r="A49" i="5"/>
  <c r="A48" i="5"/>
  <c r="A47"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5" i="4"/>
  <c r="A84" i="4"/>
  <c r="A83" i="4"/>
  <c r="A82" i="4"/>
  <c r="A81" i="4"/>
  <c r="A80" i="4"/>
  <c r="A79" i="4"/>
  <c r="A78" i="4"/>
  <c r="A77" i="4"/>
  <c r="A74" i="4"/>
  <c r="A73" i="4"/>
  <c r="A72" i="4"/>
  <c r="A71" i="4"/>
  <c r="A70" i="4"/>
  <c r="A69" i="4"/>
  <c r="A68" i="4"/>
  <c r="A67" i="4"/>
  <c r="A66" i="4"/>
  <c r="A65" i="4"/>
  <c r="A64" i="4"/>
  <c r="A63" i="4"/>
  <c r="A62"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G1051" i="3"/>
  <c r="E1051" i="3"/>
  <c r="D1051" i="3"/>
  <c r="C1051" i="3"/>
  <c r="H1051" i="3" s="1"/>
  <c r="B1051" i="3"/>
  <c r="A1051" i="3"/>
  <c r="G1050" i="3"/>
  <c r="E1050" i="3"/>
  <c r="D1050" i="3"/>
  <c r="C1050" i="3"/>
  <c r="H1050" i="3" s="1"/>
  <c r="B1050" i="3"/>
  <c r="A1050" i="3"/>
  <c r="G1049" i="3"/>
  <c r="E1049" i="3"/>
  <c r="D1049" i="3"/>
  <c r="C1049" i="3"/>
  <c r="H1049" i="3" s="1"/>
  <c r="B1049" i="3"/>
  <c r="A1049" i="3"/>
  <c r="G1048" i="3"/>
  <c r="E1048" i="3"/>
  <c r="D1048" i="3"/>
  <c r="C1048" i="3"/>
  <c r="H1048" i="3" s="1"/>
  <c r="B1048" i="3"/>
  <c r="A1048" i="3"/>
  <c r="G1047" i="3"/>
  <c r="E1047" i="3"/>
  <c r="D1047" i="3"/>
  <c r="C1047" i="3"/>
  <c r="H1047" i="3" s="1"/>
  <c r="B1047" i="3"/>
  <c r="A1047" i="3"/>
  <c r="G1046" i="3"/>
  <c r="E1046" i="3"/>
  <c r="D1046" i="3"/>
  <c r="C1046" i="3"/>
  <c r="H1046" i="3" s="1"/>
  <c r="B1046" i="3"/>
  <c r="A1046" i="3"/>
  <c r="G1045" i="3"/>
  <c r="E1045" i="3"/>
  <c r="D1045" i="3"/>
  <c r="C1045" i="3"/>
  <c r="H1045" i="3" s="1"/>
  <c r="B1045" i="3"/>
  <c r="A1045" i="3"/>
  <c r="G1044" i="3"/>
  <c r="E1044" i="3"/>
  <c r="D1044" i="3"/>
  <c r="C1044" i="3"/>
  <c r="H1044" i="3" s="1"/>
  <c r="B1044" i="3"/>
  <c r="A1044" i="3"/>
  <c r="G1043" i="3"/>
  <c r="E1043" i="3"/>
  <c r="D1043" i="3"/>
  <c r="C1043" i="3"/>
  <c r="H1043" i="3" s="1"/>
  <c r="B1043" i="3"/>
  <c r="A1043" i="3"/>
  <c r="G1042" i="3"/>
  <c r="E1042" i="3"/>
  <c r="D1042" i="3"/>
  <c r="C1042" i="3"/>
  <c r="H1042" i="3" s="1"/>
  <c r="B1042" i="3"/>
  <c r="A1042" i="3"/>
  <c r="G1041" i="3"/>
  <c r="E1041" i="3"/>
  <c r="D1041" i="3"/>
  <c r="C1041" i="3"/>
  <c r="H1041" i="3" s="1"/>
  <c r="B1041" i="3"/>
  <c r="A1041" i="3"/>
  <c r="G1040" i="3"/>
  <c r="E1040" i="3"/>
  <c r="D1040" i="3"/>
  <c r="C1040" i="3"/>
  <c r="H1040" i="3" s="1"/>
  <c r="B1040" i="3"/>
  <c r="A1040" i="3"/>
  <c r="G1039" i="3"/>
  <c r="E1039" i="3"/>
  <c r="D1039" i="3"/>
  <c r="C1039" i="3"/>
  <c r="H1039" i="3" s="1"/>
  <c r="B1039" i="3"/>
  <c r="A1039" i="3"/>
  <c r="G1038" i="3"/>
  <c r="E1038" i="3"/>
  <c r="D1038" i="3"/>
  <c r="C1038" i="3"/>
  <c r="H1038" i="3" s="1"/>
  <c r="B1038" i="3"/>
  <c r="A1038" i="3"/>
  <c r="G1037" i="3"/>
  <c r="E1037" i="3"/>
  <c r="D1037" i="3"/>
  <c r="C1037" i="3"/>
  <c r="H1037" i="3" s="1"/>
  <c r="B1037" i="3"/>
  <c r="A1037" i="3"/>
  <c r="G1036" i="3"/>
  <c r="E1036" i="3"/>
  <c r="D1036" i="3"/>
  <c r="C1036" i="3"/>
  <c r="H1036" i="3" s="1"/>
  <c r="B1036" i="3"/>
  <c r="A1036" i="3"/>
  <c r="G1035" i="3"/>
  <c r="E1035" i="3"/>
  <c r="D1035" i="3"/>
  <c r="C1035" i="3"/>
  <c r="H1035" i="3" s="1"/>
  <c r="B1035" i="3"/>
  <c r="A1035" i="3"/>
  <c r="G1034" i="3"/>
  <c r="E1034" i="3"/>
  <c r="D1034" i="3"/>
  <c r="C1034" i="3"/>
  <c r="H1034" i="3" s="1"/>
  <c r="B1034" i="3"/>
  <c r="A1034" i="3"/>
  <c r="G1033" i="3"/>
  <c r="E1033" i="3"/>
  <c r="D1033" i="3"/>
  <c r="C1033" i="3"/>
  <c r="H1033" i="3" s="1"/>
  <c r="B1033" i="3"/>
  <c r="A1033" i="3"/>
  <c r="G1032" i="3"/>
  <c r="E1032" i="3"/>
  <c r="D1032" i="3"/>
  <c r="C1032" i="3"/>
  <c r="H1032" i="3" s="1"/>
  <c r="B1032" i="3"/>
  <c r="A1032" i="3"/>
  <c r="G1031" i="3"/>
  <c r="E1031" i="3"/>
  <c r="D1031" i="3"/>
  <c r="C1031" i="3"/>
  <c r="H1031" i="3" s="1"/>
  <c r="B1031" i="3"/>
  <c r="A1031" i="3"/>
  <c r="G1030" i="3"/>
  <c r="E1030" i="3"/>
  <c r="D1030" i="3"/>
  <c r="C1030" i="3"/>
  <c r="H1030" i="3" s="1"/>
  <c r="B1030" i="3"/>
  <c r="A1030" i="3"/>
  <c r="G1029" i="3"/>
  <c r="E1029" i="3"/>
  <c r="D1029" i="3"/>
  <c r="C1029" i="3"/>
  <c r="H1029" i="3" s="1"/>
  <c r="B1029" i="3"/>
  <c r="A1029" i="3"/>
  <c r="G1028" i="3"/>
  <c r="E1028" i="3"/>
  <c r="D1028" i="3"/>
  <c r="C1028" i="3"/>
  <c r="H1028" i="3" s="1"/>
  <c r="B1028" i="3"/>
  <c r="A1028" i="3"/>
  <c r="G1027" i="3"/>
  <c r="E1027" i="3"/>
  <c r="D1027" i="3"/>
  <c r="C1027" i="3"/>
  <c r="H1027" i="3" s="1"/>
  <c r="B1027" i="3"/>
  <c r="A1027" i="3"/>
  <c r="G1026" i="3"/>
  <c r="E1026" i="3"/>
  <c r="D1026" i="3"/>
  <c r="C1026" i="3"/>
  <c r="H1026" i="3" s="1"/>
  <c r="B1026" i="3"/>
  <c r="A1026" i="3"/>
  <c r="G1025" i="3"/>
  <c r="E1025" i="3"/>
  <c r="D1025" i="3"/>
  <c r="C1025" i="3"/>
  <c r="H1025" i="3" s="1"/>
  <c r="B1025" i="3"/>
  <c r="A1025" i="3"/>
  <c r="G1024" i="3"/>
  <c r="E1024" i="3"/>
  <c r="D1024" i="3"/>
  <c r="C1024" i="3"/>
  <c r="H1024" i="3" s="1"/>
  <c r="B1024" i="3"/>
  <c r="A1024" i="3"/>
  <c r="G1023" i="3"/>
  <c r="E1023" i="3"/>
  <c r="D1023" i="3"/>
  <c r="C1023" i="3"/>
  <c r="H1023" i="3" s="1"/>
  <c r="B1023" i="3"/>
  <c r="A1023" i="3"/>
  <c r="G1022" i="3"/>
  <c r="E1022" i="3"/>
  <c r="D1022" i="3"/>
  <c r="C1022" i="3"/>
  <c r="H1022" i="3" s="1"/>
  <c r="B1022" i="3"/>
  <c r="A1022" i="3"/>
  <c r="G1021" i="3"/>
  <c r="E1021" i="3"/>
  <c r="D1021" i="3"/>
  <c r="C1021" i="3"/>
  <c r="H1021" i="3" s="1"/>
  <c r="B1021" i="3"/>
  <c r="A1021" i="3"/>
  <c r="G1020" i="3"/>
  <c r="E1020" i="3"/>
  <c r="D1020" i="3"/>
  <c r="C1020" i="3"/>
  <c r="H1020" i="3" s="1"/>
  <c r="B1020" i="3"/>
  <c r="A1020" i="3"/>
  <c r="G1019" i="3"/>
  <c r="E1019" i="3"/>
  <c r="D1019" i="3"/>
  <c r="C1019" i="3"/>
  <c r="H1019" i="3" s="1"/>
  <c r="B1019" i="3"/>
  <c r="A1019" i="3"/>
  <c r="G1018" i="3"/>
  <c r="E1018" i="3"/>
  <c r="D1018" i="3"/>
  <c r="C1018" i="3"/>
  <c r="H1018" i="3" s="1"/>
  <c r="B1018" i="3"/>
  <c r="A1018" i="3"/>
  <c r="G1017" i="3"/>
  <c r="E1017" i="3"/>
  <c r="D1017" i="3"/>
  <c r="C1017" i="3"/>
  <c r="H1017" i="3" s="1"/>
  <c r="B1017" i="3"/>
  <c r="A1017" i="3"/>
  <c r="G1016" i="3"/>
  <c r="E1016" i="3"/>
  <c r="D1016" i="3"/>
  <c r="C1016" i="3"/>
  <c r="H1016" i="3" s="1"/>
  <c r="B1016" i="3"/>
  <c r="A1016" i="3"/>
  <c r="G1015" i="3"/>
  <c r="E1015" i="3"/>
  <c r="D1015" i="3"/>
  <c r="C1015" i="3"/>
  <c r="H1015" i="3" s="1"/>
  <c r="B1015" i="3"/>
  <c r="A1015" i="3"/>
  <c r="G1014" i="3"/>
  <c r="E1014" i="3"/>
  <c r="D1014" i="3"/>
  <c r="C1014" i="3"/>
  <c r="H1014" i="3" s="1"/>
  <c r="B1014" i="3"/>
  <c r="A1014" i="3"/>
  <c r="G1013" i="3"/>
  <c r="E1013" i="3"/>
  <c r="D1013" i="3"/>
  <c r="C1013" i="3"/>
  <c r="H1013" i="3" s="1"/>
  <c r="B1013" i="3"/>
  <c r="A1013" i="3"/>
  <c r="G1012" i="3"/>
  <c r="E1012" i="3"/>
  <c r="D1012" i="3"/>
  <c r="C1012" i="3"/>
  <c r="H1012" i="3" s="1"/>
  <c r="B1012" i="3"/>
  <c r="A1012" i="3"/>
  <c r="G1011" i="3"/>
  <c r="E1011" i="3"/>
  <c r="D1011" i="3"/>
  <c r="C1011" i="3"/>
  <c r="H1011" i="3" s="1"/>
  <c r="B1011" i="3"/>
  <c r="A1011" i="3"/>
  <c r="G1010" i="3"/>
  <c r="E1010" i="3"/>
  <c r="D1010" i="3"/>
  <c r="C1010" i="3"/>
  <c r="H1010" i="3" s="1"/>
  <c r="B1010" i="3"/>
  <c r="A1010" i="3"/>
  <c r="G1009" i="3"/>
  <c r="E1009" i="3"/>
  <c r="D1009" i="3"/>
  <c r="C1009" i="3"/>
  <c r="H1009" i="3" s="1"/>
  <c r="B1009" i="3"/>
  <c r="A1009" i="3"/>
  <c r="G1008" i="3"/>
  <c r="E1008" i="3"/>
  <c r="D1008" i="3"/>
  <c r="C1008" i="3"/>
  <c r="H1008" i="3" s="1"/>
  <c r="B1008" i="3"/>
  <c r="A1008" i="3"/>
  <c r="G1007" i="3"/>
  <c r="E1007" i="3"/>
  <c r="D1007" i="3"/>
  <c r="C1007" i="3"/>
  <c r="H1007" i="3" s="1"/>
  <c r="B1007" i="3"/>
  <c r="A1007" i="3"/>
  <c r="G1006" i="3"/>
  <c r="E1006" i="3"/>
  <c r="D1006" i="3"/>
  <c r="C1006" i="3"/>
  <c r="H1006" i="3" s="1"/>
  <c r="B1006" i="3"/>
  <c r="A1006" i="3"/>
  <c r="G1005" i="3"/>
  <c r="E1005" i="3"/>
  <c r="D1005" i="3"/>
  <c r="C1005" i="3"/>
  <c r="H1005" i="3" s="1"/>
  <c r="B1005" i="3"/>
  <c r="A1005" i="3"/>
  <c r="G1004" i="3"/>
  <c r="E1004" i="3"/>
  <c r="D1004" i="3"/>
  <c r="C1004" i="3"/>
  <c r="H1004" i="3" s="1"/>
  <c r="B1004" i="3"/>
  <c r="A1004" i="3"/>
  <c r="G1003" i="3"/>
  <c r="E1003" i="3"/>
  <c r="D1003" i="3"/>
  <c r="C1003" i="3"/>
  <c r="H1003" i="3" s="1"/>
  <c r="B1003" i="3"/>
  <c r="A1003" i="3"/>
  <c r="G1002" i="3"/>
  <c r="E1002" i="3"/>
  <c r="D1002" i="3"/>
  <c r="C1002" i="3"/>
  <c r="H1002" i="3" s="1"/>
  <c r="B1002" i="3"/>
  <c r="A1002" i="3"/>
  <c r="G1001" i="3"/>
  <c r="E1001" i="3"/>
  <c r="D1001" i="3"/>
  <c r="C1001" i="3"/>
  <c r="H1001" i="3" s="1"/>
  <c r="B1001" i="3"/>
  <c r="A1001" i="3"/>
  <c r="G1000" i="3"/>
  <c r="E1000" i="3"/>
  <c r="D1000" i="3"/>
  <c r="C1000" i="3"/>
  <c r="H1000" i="3" s="1"/>
  <c r="B1000" i="3"/>
  <c r="A1000" i="3"/>
  <c r="G999" i="3"/>
  <c r="E999" i="3"/>
  <c r="D999" i="3"/>
  <c r="C999" i="3"/>
  <c r="H999" i="3" s="1"/>
  <c r="B999" i="3"/>
  <c r="A999" i="3"/>
  <c r="G998" i="3"/>
  <c r="E998" i="3"/>
  <c r="D998" i="3"/>
  <c r="C998" i="3"/>
  <c r="H998" i="3" s="1"/>
  <c r="B998" i="3"/>
  <c r="A998" i="3"/>
  <c r="G997" i="3"/>
  <c r="E997" i="3"/>
  <c r="D997" i="3"/>
  <c r="C997" i="3"/>
  <c r="H997" i="3" s="1"/>
  <c r="B997" i="3"/>
  <c r="A997" i="3"/>
  <c r="G996" i="3"/>
  <c r="E996" i="3"/>
  <c r="D996" i="3"/>
  <c r="C996" i="3"/>
  <c r="H996" i="3" s="1"/>
  <c r="B996" i="3"/>
  <c r="A996" i="3"/>
  <c r="G995" i="3"/>
  <c r="E995" i="3"/>
  <c r="D995" i="3"/>
  <c r="C995" i="3"/>
  <c r="H995" i="3" s="1"/>
  <c r="B995" i="3"/>
  <c r="A995" i="3"/>
  <c r="G994" i="3"/>
  <c r="E994" i="3"/>
  <c r="D994" i="3"/>
  <c r="C994" i="3"/>
  <c r="H994" i="3" s="1"/>
  <c r="B994" i="3"/>
  <c r="A994" i="3"/>
  <c r="G993" i="3"/>
  <c r="E993" i="3"/>
  <c r="D993" i="3"/>
  <c r="C993" i="3"/>
  <c r="H993" i="3" s="1"/>
  <c r="B993" i="3"/>
  <c r="A993" i="3"/>
  <c r="G992" i="3"/>
  <c r="E992" i="3"/>
  <c r="D992" i="3"/>
  <c r="C992" i="3"/>
  <c r="H992" i="3" s="1"/>
  <c r="B992" i="3"/>
  <c r="A992" i="3"/>
  <c r="G991" i="3"/>
  <c r="E991" i="3"/>
  <c r="D991" i="3"/>
  <c r="C991" i="3"/>
  <c r="H991" i="3" s="1"/>
  <c r="B991" i="3"/>
  <c r="A991" i="3"/>
  <c r="G990" i="3"/>
  <c r="E990" i="3"/>
  <c r="D990" i="3"/>
  <c r="C990" i="3"/>
  <c r="H990" i="3" s="1"/>
  <c r="B990" i="3"/>
  <c r="A990" i="3"/>
  <c r="G989" i="3"/>
  <c r="E989" i="3"/>
  <c r="D989" i="3"/>
  <c r="C989" i="3"/>
  <c r="H989" i="3" s="1"/>
  <c r="B989" i="3"/>
  <c r="A989" i="3"/>
  <c r="G988" i="3"/>
  <c r="E988" i="3"/>
  <c r="D988" i="3"/>
  <c r="C988" i="3"/>
  <c r="H988" i="3" s="1"/>
  <c r="B988" i="3"/>
  <c r="A988" i="3"/>
  <c r="G987" i="3"/>
  <c r="E987" i="3"/>
  <c r="D987" i="3"/>
  <c r="C987" i="3"/>
  <c r="H987" i="3" s="1"/>
  <c r="B987" i="3"/>
  <c r="A987" i="3"/>
  <c r="G986" i="3"/>
  <c r="E986" i="3"/>
  <c r="D986" i="3"/>
  <c r="C986" i="3"/>
  <c r="H986" i="3" s="1"/>
  <c r="B986" i="3"/>
  <c r="A986" i="3"/>
  <c r="G985" i="3"/>
  <c r="E985" i="3"/>
  <c r="D985" i="3"/>
  <c r="C985" i="3"/>
  <c r="H985" i="3" s="1"/>
  <c r="B985" i="3"/>
  <c r="A985" i="3"/>
  <c r="G984" i="3"/>
  <c r="E984" i="3"/>
  <c r="D984" i="3"/>
  <c r="C984" i="3"/>
  <c r="H984" i="3" s="1"/>
  <c r="B984" i="3"/>
  <c r="A984" i="3"/>
  <c r="G983" i="3"/>
  <c r="E983" i="3"/>
  <c r="D983" i="3"/>
  <c r="C983" i="3"/>
  <c r="H983" i="3" s="1"/>
  <c r="B983" i="3"/>
  <c r="A983" i="3"/>
  <c r="G982" i="3"/>
  <c r="E982" i="3"/>
  <c r="D982" i="3"/>
  <c r="C982" i="3"/>
  <c r="H982" i="3" s="1"/>
  <c r="B982" i="3"/>
  <c r="A982" i="3"/>
  <c r="G981" i="3"/>
  <c r="E981" i="3"/>
  <c r="D981" i="3"/>
  <c r="C981" i="3"/>
  <c r="H981" i="3" s="1"/>
  <c r="B981" i="3"/>
  <c r="A981" i="3"/>
  <c r="G980" i="3"/>
  <c r="E980" i="3"/>
  <c r="D980" i="3"/>
  <c r="C980" i="3"/>
  <c r="H980" i="3" s="1"/>
  <c r="B980" i="3"/>
  <c r="A980" i="3"/>
  <c r="G979" i="3"/>
  <c r="E979" i="3"/>
  <c r="D979" i="3"/>
  <c r="C979" i="3"/>
  <c r="H979" i="3" s="1"/>
  <c r="B979" i="3"/>
  <c r="A979" i="3"/>
  <c r="G978" i="3"/>
  <c r="E978" i="3"/>
  <c r="D978" i="3"/>
  <c r="C978" i="3"/>
  <c r="H978" i="3" s="1"/>
  <c r="B978" i="3"/>
  <c r="A978" i="3"/>
  <c r="G977" i="3"/>
  <c r="E977" i="3"/>
  <c r="D977" i="3"/>
  <c r="C977" i="3"/>
  <c r="H977" i="3" s="1"/>
  <c r="B977" i="3"/>
  <c r="A977" i="3"/>
  <c r="G976" i="3"/>
  <c r="E976" i="3"/>
  <c r="D976" i="3"/>
  <c r="C976" i="3"/>
  <c r="H976" i="3" s="1"/>
  <c r="B976" i="3"/>
  <c r="A976" i="3"/>
  <c r="G975" i="3"/>
  <c r="E975" i="3"/>
  <c r="D975" i="3"/>
  <c r="C975" i="3"/>
  <c r="H975" i="3" s="1"/>
  <c r="B975" i="3"/>
  <c r="A975" i="3"/>
  <c r="G974" i="3"/>
  <c r="E974" i="3"/>
  <c r="D974" i="3"/>
  <c r="C974" i="3"/>
  <c r="H974" i="3" s="1"/>
  <c r="B974" i="3"/>
  <c r="A974" i="3"/>
  <c r="G973" i="3"/>
  <c r="E973" i="3"/>
  <c r="D973" i="3"/>
  <c r="C973" i="3"/>
  <c r="H973" i="3" s="1"/>
  <c r="B973" i="3"/>
  <c r="A973" i="3"/>
  <c r="G972" i="3"/>
  <c r="E972" i="3"/>
  <c r="D972" i="3"/>
  <c r="C972" i="3"/>
  <c r="H972" i="3" s="1"/>
  <c r="B972" i="3"/>
  <c r="A972" i="3"/>
  <c r="G971" i="3"/>
  <c r="E971" i="3"/>
  <c r="D971" i="3"/>
  <c r="C971" i="3"/>
  <c r="H971" i="3" s="1"/>
  <c r="B971" i="3"/>
  <c r="A971" i="3"/>
  <c r="G970" i="3"/>
  <c r="E970" i="3"/>
  <c r="D970" i="3"/>
  <c r="C970" i="3"/>
  <c r="H970" i="3" s="1"/>
  <c r="B970" i="3"/>
  <c r="A970" i="3"/>
  <c r="G969" i="3"/>
  <c r="E969" i="3"/>
  <c r="D969" i="3"/>
  <c r="C969" i="3"/>
  <c r="H969" i="3" s="1"/>
  <c r="B969" i="3"/>
  <c r="A969" i="3"/>
  <c r="G968" i="3"/>
  <c r="E968" i="3"/>
  <c r="D968" i="3"/>
  <c r="C968" i="3"/>
  <c r="H968" i="3" s="1"/>
  <c r="B968" i="3"/>
  <c r="A968" i="3"/>
  <c r="G967" i="3"/>
  <c r="E967" i="3"/>
  <c r="D967" i="3"/>
  <c r="C967" i="3"/>
  <c r="H967" i="3" s="1"/>
  <c r="B967" i="3"/>
  <c r="A967" i="3"/>
  <c r="G966" i="3"/>
  <c r="E966" i="3"/>
  <c r="D966" i="3"/>
  <c r="C966" i="3"/>
  <c r="H966" i="3" s="1"/>
  <c r="B966" i="3"/>
  <c r="A966" i="3"/>
  <c r="G965" i="3"/>
  <c r="E965" i="3"/>
  <c r="D965" i="3"/>
  <c r="C965" i="3"/>
  <c r="H965" i="3" s="1"/>
  <c r="B965" i="3"/>
  <c r="A965" i="3"/>
  <c r="G964" i="3"/>
  <c r="E964" i="3"/>
  <c r="D964" i="3"/>
  <c r="C964" i="3"/>
  <c r="H964" i="3" s="1"/>
  <c r="B964" i="3"/>
  <c r="A964" i="3"/>
  <c r="G963" i="3"/>
  <c r="E963" i="3"/>
  <c r="D963" i="3"/>
  <c r="C963" i="3"/>
  <c r="H963" i="3" s="1"/>
  <c r="B963" i="3"/>
  <c r="A963" i="3"/>
  <c r="G962" i="3"/>
  <c r="E962" i="3"/>
  <c r="D962" i="3"/>
  <c r="C962" i="3"/>
  <c r="B962" i="3"/>
  <c r="A962" i="3"/>
  <c r="G961" i="3"/>
  <c r="E961" i="3"/>
  <c r="D961" i="3"/>
  <c r="C961" i="3"/>
  <c r="B961" i="3"/>
  <c r="A961" i="3"/>
  <c r="G960" i="3"/>
  <c r="E960" i="3"/>
  <c r="D960" i="3"/>
  <c r="C960" i="3"/>
  <c r="B960" i="3"/>
  <c r="A960" i="3"/>
  <c r="G959" i="3"/>
  <c r="E959" i="3"/>
  <c r="D959" i="3"/>
  <c r="C959" i="3"/>
  <c r="B959" i="3"/>
  <c r="A959" i="3"/>
  <c r="G958" i="3"/>
  <c r="E958" i="3"/>
  <c r="D958" i="3"/>
  <c r="C958" i="3"/>
  <c r="B958" i="3"/>
  <c r="A958" i="3"/>
  <c r="G957" i="3"/>
  <c r="E957" i="3"/>
  <c r="D957" i="3"/>
  <c r="C957" i="3"/>
  <c r="B957" i="3"/>
  <c r="A957" i="3"/>
  <c r="G956" i="3"/>
  <c r="E956" i="3"/>
  <c r="D956" i="3"/>
  <c r="C956" i="3"/>
  <c r="B956" i="3"/>
  <c r="A956" i="3"/>
  <c r="G955" i="3"/>
  <c r="E955" i="3"/>
  <c r="D955" i="3"/>
  <c r="C955" i="3"/>
  <c r="B955" i="3"/>
  <c r="A955" i="3"/>
  <c r="G954" i="3"/>
  <c r="E954" i="3"/>
  <c r="D954" i="3"/>
  <c r="C954" i="3"/>
  <c r="B954" i="3"/>
  <c r="A954" i="3"/>
  <c r="G953" i="3"/>
  <c r="E953" i="3"/>
  <c r="D953" i="3"/>
  <c r="C953" i="3"/>
  <c r="B953" i="3"/>
  <c r="A953" i="3"/>
  <c r="G952" i="3"/>
  <c r="E952" i="3"/>
  <c r="D952" i="3"/>
  <c r="C952" i="3"/>
  <c r="B952" i="3"/>
  <c r="A952" i="3"/>
  <c r="G951" i="3"/>
  <c r="E951" i="3"/>
  <c r="D951" i="3"/>
  <c r="C951" i="3"/>
  <c r="B951" i="3"/>
  <c r="A951" i="3"/>
  <c r="G950" i="3"/>
  <c r="E950" i="3"/>
  <c r="D950" i="3"/>
  <c r="C950" i="3"/>
  <c r="B950" i="3"/>
  <c r="A950" i="3"/>
  <c r="G949" i="3"/>
  <c r="E949" i="3"/>
  <c r="D949" i="3"/>
  <c r="C949" i="3"/>
  <c r="B949" i="3"/>
  <c r="A949" i="3"/>
  <c r="G948" i="3"/>
  <c r="E948" i="3"/>
  <c r="D948" i="3"/>
  <c r="C948" i="3"/>
  <c r="B948" i="3"/>
  <c r="A948" i="3"/>
  <c r="G947" i="3"/>
  <c r="E947" i="3"/>
  <c r="D947" i="3"/>
  <c r="C947" i="3"/>
  <c r="B947" i="3"/>
  <c r="A947" i="3"/>
  <c r="G946" i="3"/>
  <c r="E946" i="3"/>
  <c r="D946" i="3"/>
  <c r="C946" i="3"/>
  <c r="B946" i="3"/>
  <c r="A946" i="3"/>
  <c r="G945" i="3"/>
  <c r="E945" i="3"/>
  <c r="D945" i="3"/>
  <c r="C945" i="3"/>
  <c r="B945" i="3"/>
  <c r="A945" i="3"/>
  <c r="G944" i="3"/>
  <c r="E944" i="3"/>
  <c r="D944" i="3"/>
  <c r="C944" i="3"/>
  <c r="H944" i="3" s="1"/>
  <c r="B944" i="3"/>
  <c r="A944" i="3"/>
  <c r="G943" i="3"/>
  <c r="E943" i="3"/>
  <c r="D943" i="3"/>
  <c r="C943" i="3"/>
  <c r="B943" i="3"/>
  <c r="A943" i="3"/>
  <c r="G942" i="3"/>
  <c r="E942" i="3"/>
  <c r="D942" i="3"/>
  <c r="C942" i="3"/>
  <c r="B942" i="3"/>
  <c r="A942" i="3"/>
  <c r="G941" i="3"/>
  <c r="E941" i="3"/>
  <c r="D941" i="3"/>
  <c r="C941" i="3"/>
  <c r="B941" i="3"/>
  <c r="A941" i="3"/>
  <c r="G940" i="3"/>
  <c r="E940" i="3"/>
  <c r="D940" i="3"/>
  <c r="C940" i="3"/>
  <c r="B940" i="3"/>
  <c r="A940" i="3"/>
  <c r="G939" i="3"/>
  <c r="E939" i="3"/>
  <c r="D939" i="3"/>
  <c r="C939" i="3"/>
  <c r="B939" i="3"/>
  <c r="A939" i="3"/>
  <c r="G938" i="3"/>
  <c r="E938" i="3"/>
  <c r="D938" i="3"/>
  <c r="C938" i="3"/>
  <c r="B938" i="3"/>
  <c r="A938" i="3"/>
  <c r="G937" i="3"/>
  <c r="E937" i="3"/>
  <c r="D937" i="3"/>
  <c r="C937" i="3"/>
  <c r="B937" i="3"/>
  <c r="A937" i="3"/>
  <c r="G936" i="3"/>
  <c r="E936" i="3"/>
  <c r="D936" i="3"/>
  <c r="C936" i="3"/>
  <c r="B936" i="3"/>
  <c r="A936" i="3"/>
  <c r="G935" i="3"/>
  <c r="E935" i="3"/>
  <c r="D935" i="3"/>
  <c r="C935" i="3"/>
  <c r="B935" i="3"/>
  <c r="A935" i="3"/>
  <c r="G934" i="3"/>
  <c r="E934" i="3"/>
  <c r="D934" i="3"/>
  <c r="C934" i="3"/>
  <c r="B934" i="3"/>
  <c r="A934" i="3"/>
  <c r="G933" i="3"/>
  <c r="E933" i="3"/>
  <c r="D933" i="3"/>
  <c r="C933" i="3"/>
  <c r="B933" i="3"/>
  <c r="A933" i="3"/>
  <c r="G932" i="3"/>
  <c r="E932" i="3"/>
  <c r="D932" i="3"/>
  <c r="C932" i="3"/>
  <c r="B932" i="3"/>
  <c r="A932" i="3"/>
  <c r="G931" i="3"/>
  <c r="E931" i="3"/>
  <c r="D931" i="3"/>
  <c r="C931" i="3"/>
  <c r="B931" i="3"/>
  <c r="A931" i="3"/>
  <c r="G930" i="3"/>
  <c r="E930" i="3"/>
  <c r="D930" i="3"/>
  <c r="C930" i="3"/>
  <c r="B930" i="3"/>
  <c r="A930" i="3"/>
  <c r="G929" i="3"/>
  <c r="E929" i="3"/>
  <c r="D929" i="3"/>
  <c r="C929" i="3"/>
  <c r="B929" i="3"/>
  <c r="A929" i="3"/>
  <c r="G928" i="3"/>
  <c r="E928" i="3"/>
  <c r="D928" i="3"/>
  <c r="C928" i="3"/>
  <c r="B928" i="3"/>
  <c r="A928" i="3"/>
  <c r="G927" i="3"/>
  <c r="E927" i="3"/>
  <c r="D927" i="3"/>
  <c r="C927" i="3"/>
  <c r="B927" i="3"/>
  <c r="A927" i="3"/>
  <c r="G926" i="3"/>
  <c r="E926" i="3"/>
  <c r="D926" i="3"/>
  <c r="C926" i="3"/>
  <c r="B926" i="3"/>
  <c r="A926" i="3"/>
  <c r="G925" i="3"/>
  <c r="E925" i="3"/>
  <c r="D925" i="3"/>
  <c r="C925" i="3"/>
  <c r="B925" i="3"/>
  <c r="A925" i="3"/>
  <c r="G924" i="3"/>
  <c r="E924" i="3"/>
  <c r="D924" i="3"/>
  <c r="C924" i="3"/>
  <c r="B924" i="3"/>
  <c r="A924" i="3"/>
  <c r="G923" i="3"/>
  <c r="E923" i="3"/>
  <c r="D923" i="3"/>
  <c r="C923" i="3"/>
  <c r="B923" i="3"/>
  <c r="A923" i="3"/>
  <c r="G922" i="3"/>
  <c r="E922" i="3"/>
  <c r="D922" i="3"/>
  <c r="C922" i="3"/>
  <c r="B922" i="3"/>
  <c r="A922" i="3"/>
  <c r="G921" i="3"/>
  <c r="E921" i="3"/>
  <c r="D921" i="3"/>
  <c r="C921" i="3"/>
  <c r="B921" i="3"/>
  <c r="A921" i="3"/>
  <c r="G920" i="3"/>
  <c r="E920" i="3"/>
  <c r="D920" i="3"/>
  <c r="C920" i="3"/>
  <c r="B920" i="3"/>
  <c r="A920" i="3"/>
  <c r="G919" i="3"/>
  <c r="E919" i="3"/>
  <c r="D919" i="3"/>
  <c r="C919" i="3"/>
  <c r="B919" i="3"/>
  <c r="A919" i="3"/>
  <c r="G918" i="3"/>
  <c r="E918" i="3"/>
  <c r="D918" i="3"/>
  <c r="C918" i="3"/>
  <c r="B918" i="3"/>
  <c r="A918" i="3"/>
  <c r="G917" i="3"/>
  <c r="E917" i="3"/>
  <c r="D917" i="3"/>
  <c r="C917" i="3"/>
  <c r="B917" i="3"/>
  <c r="A917" i="3"/>
  <c r="G916" i="3"/>
  <c r="E916" i="3"/>
  <c r="D916" i="3"/>
  <c r="C916" i="3"/>
  <c r="B916" i="3"/>
  <c r="A916" i="3"/>
  <c r="G915" i="3"/>
  <c r="E915" i="3"/>
  <c r="D915" i="3"/>
  <c r="C915" i="3"/>
  <c r="B915" i="3"/>
  <c r="A915" i="3"/>
  <c r="G914" i="3"/>
  <c r="E914" i="3"/>
  <c r="D914" i="3"/>
  <c r="C914" i="3"/>
  <c r="B914" i="3"/>
  <c r="A914" i="3"/>
  <c r="G913" i="3"/>
  <c r="E913" i="3"/>
  <c r="D913" i="3"/>
  <c r="C913" i="3"/>
  <c r="B913" i="3"/>
  <c r="A913" i="3"/>
  <c r="G912" i="3"/>
  <c r="E912" i="3"/>
  <c r="D912" i="3"/>
  <c r="C912" i="3"/>
  <c r="B912" i="3"/>
  <c r="A912" i="3"/>
  <c r="G911" i="3"/>
  <c r="E911" i="3"/>
  <c r="D911" i="3"/>
  <c r="C911" i="3"/>
  <c r="B911" i="3"/>
  <c r="A911" i="3"/>
  <c r="G910" i="3"/>
  <c r="E910" i="3"/>
  <c r="D910" i="3"/>
  <c r="C910" i="3"/>
  <c r="B910" i="3"/>
  <c r="A910" i="3"/>
  <c r="G909" i="3"/>
  <c r="E909" i="3"/>
  <c r="D909" i="3"/>
  <c r="C909" i="3"/>
  <c r="B909" i="3"/>
  <c r="A909" i="3"/>
  <c r="G908" i="3"/>
  <c r="E908" i="3"/>
  <c r="D908" i="3"/>
  <c r="C908" i="3"/>
  <c r="B908" i="3"/>
  <c r="A908" i="3"/>
  <c r="G907" i="3"/>
  <c r="E907" i="3"/>
  <c r="D907" i="3"/>
  <c r="C907" i="3"/>
  <c r="B907" i="3"/>
  <c r="A907" i="3"/>
  <c r="G906" i="3"/>
  <c r="E906" i="3"/>
  <c r="D906" i="3"/>
  <c r="C906" i="3"/>
  <c r="B906" i="3"/>
  <c r="A906" i="3"/>
  <c r="G905" i="3"/>
  <c r="E905" i="3"/>
  <c r="D905" i="3"/>
  <c r="C905" i="3"/>
  <c r="B905" i="3"/>
  <c r="A905" i="3"/>
  <c r="G904" i="3"/>
  <c r="E904" i="3"/>
  <c r="D904" i="3"/>
  <c r="C904" i="3"/>
  <c r="B904" i="3"/>
  <c r="A904" i="3"/>
  <c r="G903" i="3"/>
  <c r="E903" i="3"/>
  <c r="D903" i="3"/>
  <c r="C903" i="3"/>
  <c r="B903" i="3"/>
  <c r="A903" i="3"/>
  <c r="G902" i="3"/>
  <c r="E902" i="3"/>
  <c r="D902" i="3"/>
  <c r="C902" i="3"/>
  <c r="B902" i="3"/>
  <c r="A902" i="3"/>
  <c r="G901" i="3"/>
  <c r="E901" i="3"/>
  <c r="D901" i="3"/>
  <c r="C901" i="3"/>
  <c r="H901" i="3" s="1"/>
  <c r="B901" i="3"/>
  <c r="A901" i="3"/>
  <c r="G900" i="3"/>
  <c r="E900" i="3"/>
  <c r="D900" i="3"/>
  <c r="C900" i="3"/>
  <c r="H900" i="3" s="1"/>
  <c r="B900" i="3"/>
  <c r="A900" i="3"/>
  <c r="G899" i="3"/>
  <c r="E899" i="3"/>
  <c r="D899" i="3"/>
  <c r="C899" i="3"/>
  <c r="H899" i="3" s="1"/>
  <c r="B899" i="3"/>
  <c r="A899" i="3"/>
  <c r="G898" i="3"/>
  <c r="E898" i="3"/>
  <c r="D898" i="3"/>
  <c r="C898" i="3"/>
  <c r="H898" i="3" s="1"/>
  <c r="B898" i="3"/>
  <c r="A898" i="3"/>
  <c r="G897" i="3"/>
  <c r="E897" i="3"/>
  <c r="D897" i="3"/>
  <c r="C897" i="3"/>
  <c r="H897" i="3" s="1"/>
  <c r="B897" i="3"/>
  <c r="A897" i="3"/>
  <c r="G896" i="3"/>
  <c r="E896" i="3"/>
  <c r="D896" i="3"/>
  <c r="C896" i="3"/>
  <c r="H896" i="3" s="1"/>
  <c r="B896" i="3"/>
  <c r="A896" i="3"/>
  <c r="G895" i="3"/>
  <c r="E895" i="3"/>
  <c r="D895" i="3"/>
  <c r="C895" i="3"/>
  <c r="H895" i="3" s="1"/>
  <c r="B895" i="3"/>
  <c r="A895" i="3"/>
  <c r="G894" i="3"/>
  <c r="E894" i="3"/>
  <c r="D894" i="3"/>
  <c r="C894" i="3"/>
  <c r="H894" i="3" s="1"/>
  <c r="B894" i="3"/>
  <c r="A894" i="3"/>
  <c r="G893" i="3"/>
  <c r="E893" i="3"/>
  <c r="D893" i="3"/>
  <c r="C893" i="3"/>
  <c r="H893" i="3" s="1"/>
  <c r="B893" i="3"/>
  <c r="A893" i="3"/>
  <c r="G892" i="3"/>
  <c r="E892" i="3"/>
  <c r="D892" i="3"/>
  <c r="C892" i="3"/>
  <c r="H892" i="3" s="1"/>
  <c r="B892" i="3"/>
  <c r="A892" i="3"/>
  <c r="G891" i="3"/>
  <c r="E891" i="3"/>
  <c r="D891" i="3"/>
  <c r="C891" i="3"/>
  <c r="H891" i="3" s="1"/>
  <c r="B891" i="3"/>
  <c r="A891" i="3"/>
  <c r="G890" i="3"/>
  <c r="E890" i="3"/>
  <c r="D890" i="3"/>
  <c r="C890" i="3"/>
  <c r="H890" i="3" s="1"/>
  <c r="B890" i="3"/>
  <c r="A890" i="3"/>
  <c r="G889" i="3"/>
  <c r="E889" i="3"/>
  <c r="D889" i="3"/>
  <c r="C889" i="3"/>
  <c r="H889" i="3" s="1"/>
  <c r="B889" i="3"/>
  <c r="A889" i="3"/>
  <c r="G888" i="3"/>
  <c r="E888" i="3"/>
  <c r="D888" i="3"/>
  <c r="C888" i="3"/>
  <c r="H888" i="3" s="1"/>
  <c r="B888" i="3"/>
  <c r="A888" i="3"/>
  <c r="G887" i="3"/>
  <c r="E887" i="3"/>
  <c r="D887" i="3"/>
  <c r="C887" i="3"/>
  <c r="H887" i="3" s="1"/>
  <c r="B887" i="3"/>
  <c r="A887" i="3"/>
  <c r="G886" i="3"/>
  <c r="E886" i="3"/>
  <c r="D886" i="3"/>
  <c r="C886" i="3"/>
  <c r="H886" i="3" s="1"/>
  <c r="B886" i="3"/>
  <c r="A886" i="3"/>
  <c r="G885" i="3"/>
  <c r="E885" i="3"/>
  <c r="D885" i="3"/>
  <c r="C885" i="3"/>
  <c r="H885" i="3" s="1"/>
  <c r="B885" i="3"/>
  <c r="A885" i="3"/>
  <c r="G884" i="3"/>
  <c r="E884" i="3"/>
  <c r="D884" i="3"/>
  <c r="C884" i="3"/>
  <c r="H884" i="3" s="1"/>
  <c r="B884" i="3"/>
  <c r="A884" i="3"/>
  <c r="G883" i="3"/>
  <c r="E883" i="3"/>
  <c r="D883" i="3"/>
  <c r="C883" i="3"/>
  <c r="H883" i="3" s="1"/>
  <c r="B883" i="3"/>
  <c r="A883" i="3"/>
  <c r="G882" i="3"/>
  <c r="E882" i="3"/>
  <c r="D882" i="3"/>
  <c r="C882" i="3"/>
  <c r="H882" i="3" s="1"/>
  <c r="B882" i="3"/>
  <c r="A882" i="3"/>
  <c r="G881" i="3"/>
  <c r="E881" i="3"/>
  <c r="D881" i="3"/>
  <c r="C881" i="3"/>
  <c r="H881" i="3" s="1"/>
  <c r="B881" i="3"/>
  <c r="A881" i="3"/>
  <c r="G880" i="3"/>
  <c r="E880" i="3"/>
  <c r="D880" i="3"/>
  <c r="C880" i="3"/>
  <c r="H880" i="3" s="1"/>
  <c r="B880" i="3"/>
  <c r="A880" i="3"/>
  <c r="G879" i="3"/>
  <c r="E879" i="3"/>
  <c r="D879" i="3"/>
  <c r="C879" i="3"/>
  <c r="H879" i="3" s="1"/>
  <c r="B879" i="3"/>
  <c r="A879" i="3"/>
  <c r="G878" i="3"/>
  <c r="E878" i="3"/>
  <c r="D878" i="3"/>
  <c r="C878" i="3"/>
  <c r="H878" i="3" s="1"/>
  <c r="B878" i="3"/>
  <c r="A878" i="3"/>
  <c r="G877" i="3"/>
  <c r="E877" i="3"/>
  <c r="D877" i="3"/>
  <c r="C877" i="3"/>
  <c r="H877" i="3" s="1"/>
  <c r="B877" i="3"/>
  <c r="A877" i="3"/>
  <c r="G876" i="3"/>
  <c r="E876" i="3"/>
  <c r="D876" i="3"/>
  <c r="C876" i="3"/>
  <c r="H876" i="3" s="1"/>
  <c r="B876" i="3"/>
  <c r="A876" i="3"/>
  <c r="G875" i="3"/>
  <c r="E875" i="3"/>
  <c r="D875" i="3"/>
  <c r="C875" i="3"/>
  <c r="H875" i="3" s="1"/>
  <c r="B875" i="3"/>
  <c r="A875" i="3"/>
  <c r="G874" i="3"/>
  <c r="E874" i="3"/>
  <c r="D874" i="3"/>
  <c r="C874" i="3"/>
  <c r="H874" i="3" s="1"/>
  <c r="B874" i="3"/>
  <c r="A874" i="3"/>
  <c r="G873" i="3"/>
  <c r="E873" i="3"/>
  <c r="D873" i="3"/>
  <c r="C873" i="3"/>
  <c r="H873" i="3" s="1"/>
  <c r="B873" i="3"/>
  <c r="A873" i="3"/>
  <c r="G872" i="3"/>
  <c r="E872" i="3"/>
  <c r="D872" i="3"/>
  <c r="C872" i="3"/>
  <c r="H872" i="3" s="1"/>
  <c r="B872" i="3"/>
  <c r="A872" i="3"/>
  <c r="G871" i="3"/>
  <c r="E871" i="3"/>
  <c r="D871" i="3"/>
  <c r="C871" i="3"/>
  <c r="H871" i="3" s="1"/>
  <c r="B871" i="3"/>
  <c r="A871" i="3"/>
  <c r="G870" i="3"/>
  <c r="E870" i="3"/>
  <c r="D870" i="3"/>
  <c r="C870" i="3"/>
  <c r="H870" i="3" s="1"/>
  <c r="B870" i="3"/>
  <c r="A870" i="3"/>
  <c r="G869" i="3"/>
  <c r="E869" i="3"/>
  <c r="D869" i="3"/>
  <c r="C869" i="3"/>
  <c r="H869" i="3" s="1"/>
  <c r="B869" i="3"/>
  <c r="A869" i="3"/>
  <c r="G868" i="3"/>
  <c r="E868" i="3"/>
  <c r="D868" i="3"/>
  <c r="C868" i="3"/>
  <c r="H868" i="3" s="1"/>
  <c r="B868" i="3"/>
  <c r="A868" i="3"/>
  <c r="G867" i="3"/>
  <c r="E867" i="3"/>
  <c r="D867" i="3"/>
  <c r="C867" i="3"/>
  <c r="H867" i="3" s="1"/>
  <c r="B867" i="3"/>
  <c r="A867" i="3"/>
  <c r="G866" i="3"/>
  <c r="E866" i="3"/>
  <c r="D866" i="3"/>
  <c r="C866" i="3"/>
  <c r="H866" i="3" s="1"/>
  <c r="B866" i="3"/>
  <c r="A866" i="3"/>
  <c r="G865" i="3"/>
  <c r="E865" i="3"/>
  <c r="D865" i="3"/>
  <c r="C865" i="3"/>
  <c r="H865" i="3" s="1"/>
  <c r="B865" i="3"/>
  <c r="A865" i="3"/>
  <c r="G864" i="3"/>
  <c r="E864" i="3"/>
  <c r="D864" i="3"/>
  <c r="C864" i="3"/>
  <c r="H864" i="3" s="1"/>
  <c r="B864" i="3"/>
  <c r="A864" i="3"/>
  <c r="G863" i="3"/>
  <c r="E863" i="3"/>
  <c r="D863" i="3"/>
  <c r="C863" i="3"/>
  <c r="H863" i="3" s="1"/>
  <c r="B863" i="3"/>
  <c r="A863" i="3"/>
  <c r="G862" i="3"/>
  <c r="E862" i="3"/>
  <c r="D862" i="3"/>
  <c r="C862" i="3"/>
  <c r="H862" i="3" s="1"/>
  <c r="B862" i="3"/>
  <c r="A862" i="3"/>
  <c r="G861" i="3"/>
  <c r="E861" i="3"/>
  <c r="D861" i="3"/>
  <c r="C861" i="3"/>
  <c r="H861" i="3" s="1"/>
  <c r="B861" i="3"/>
  <c r="A861" i="3"/>
  <c r="G860" i="3"/>
  <c r="E860" i="3"/>
  <c r="D860" i="3"/>
  <c r="C860" i="3"/>
  <c r="H860" i="3" s="1"/>
  <c r="B860" i="3"/>
  <c r="A860" i="3"/>
  <c r="G859" i="3"/>
  <c r="E859" i="3"/>
  <c r="D859" i="3"/>
  <c r="C859" i="3"/>
  <c r="H859" i="3" s="1"/>
  <c r="B859" i="3"/>
  <c r="A859" i="3"/>
  <c r="G858" i="3"/>
  <c r="E858" i="3"/>
  <c r="D858" i="3"/>
  <c r="C858" i="3"/>
  <c r="H858" i="3" s="1"/>
  <c r="B858" i="3"/>
  <c r="A858" i="3"/>
  <c r="G857" i="3"/>
  <c r="E857" i="3"/>
  <c r="D857" i="3"/>
  <c r="C857" i="3"/>
  <c r="H857" i="3" s="1"/>
  <c r="B857" i="3"/>
  <c r="A857" i="3"/>
  <c r="G856" i="3"/>
  <c r="E856" i="3"/>
  <c r="D856" i="3"/>
  <c r="C856" i="3"/>
  <c r="H856" i="3" s="1"/>
  <c r="B856" i="3"/>
  <c r="A856" i="3"/>
  <c r="G855" i="3"/>
  <c r="E855" i="3"/>
  <c r="D855" i="3"/>
  <c r="C855" i="3"/>
  <c r="H855" i="3" s="1"/>
  <c r="B855" i="3"/>
  <c r="A855" i="3"/>
  <c r="G854" i="3"/>
  <c r="E854" i="3"/>
  <c r="D854" i="3"/>
  <c r="C854" i="3"/>
  <c r="H854" i="3" s="1"/>
  <c r="B854" i="3"/>
  <c r="A854" i="3"/>
  <c r="G853" i="3"/>
  <c r="E853" i="3"/>
  <c r="D853" i="3"/>
  <c r="C853" i="3"/>
  <c r="H853" i="3" s="1"/>
  <c r="B853" i="3"/>
  <c r="A853" i="3"/>
  <c r="G852" i="3"/>
  <c r="E852" i="3"/>
  <c r="D852" i="3"/>
  <c r="C852" i="3"/>
  <c r="H852" i="3" s="1"/>
  <c r="B852" i="3"/>
  <c r="A852" i="3"/>
  <c r="G851" i="3"/>
  <c r="E851" i="3"/>
  <c r="D851" i="3"/>
  <c r="C851" i="3"/>
  <c r="H851" i="3" s="1"/>
  <c r="B851" i="3"/>
  <c r="A851" i="3"/>
  <c r="G850" i="3"/>
  <c r="E850" i="3"/>
  <c r="D850" i="3"/>
  <c r="C850" i="3"/>
  <c r="H850" i="3" s="1"/>
  <c r="B850" i="3"/>
  <c r="A850" i="3"/>
  <c r="G849" i="3"/>
  <c r="E849" i="3"/>
  <c r="D849" i="3"/>
  <c r="C849" i="3"/>
  <c r="H849" i="3" s="1"/>
  <c r="B849" i="3"/>
  <c r="A849" i="3"/>
  <c r="G848" i="3"/>
  <c r="E848" i="3"/>
  <c r="D848" i="3"/>
  <c r="C848" i="3"/>
  <c r="H848" i="3" s="1"/>
  <c r="B848" i="3"/>
  <c r="A848" i="3"/>
  <c r="G847" i="3"/>
  <c r="E847" i="3"/>
  <c r="D847" i="3"/>
  <c r="C847" i="3"/>
  <c r="H847" i="3" s="1"/>
  <c r="B847" i="3"/>
  <c r="A847" i="3"/>
  <c r="G846" i="3"/>
  <c r="E846" i="3"/>
  <c r="D846" i="3"/>
  <c r="C846" i="3"/>
  <c r="H846" i="3" s="1"/>
  <c r="B846" i="3"/>
  <c r="A846" i="3"/>
  <c r="G845" i="3"/>
  <c r="E845" i="3"/>
  <c r="D845" i="3"/>
  <c r="C845" i="3"/>
  <c r="H845" i="3" s="1"/>
  <c r="B845" i="3"/>
  <c r="A845" i="3"/>
  <c r="G844" i="3"/>
  <c r="E844" i="3"/>
  <c r="D844" i="3"/>
  <c r="C844" i="3"/>
  <c r="H844" i="3" s="1"/>
  <c r="B844" i="3"/>
  <c r="A844" i="3"/>
  <c r="G843" i="3"/>
  <c r="E843" i="3"/>
  <c r="D843" i="3"/>
  <c r="C843" i="3"/>
  <c r="H843" i="3" s="1"/>
  <c r="B843" i="3"/>
  <c r="A843" i="3"/>
  <c r="G842" i="3"/>
  <c r="E842" i="3"/>
  <c r="D842" i="3"/>
  <c r="C842" i="3"/>
  <c r="H842" i="3" s="1"/>
  <c r="B842" i="3"/>
  <c r="A842" i="3"/>
  <c r="G841" i="3"/>
  <c r="E841" i="3"/>
  <c r="D841" i="3"/>
  <c r="C841" i="3"/>
  <c r="H841" i="3" s="1"/>
  <c r="B841" i="3"/>
  <c r="A841" i="3"/>
  <c r="G840" i="3"/>
  <c r="E840" i="3"/>
  <c r="D840" i="3"/>
  <c r="C840" i="3"/>
  <c r="H840" i="3" s="1"/>
  <c r="B840" i="3"/>
  <c r="A840" i="3"/>
  <c r="G839" i="3"/>
  <c r="E839" i="3"/>
  <c r="D839" i="3"/>
  <c r="C839" i="3"/>
  <c r="H839" i="3" s="1"/>
  <c r="B839" i="3"/>
  <c r="A839" i="3"/>
  <c r="G838" i="3"/>
  <c r="E838" i="3"/>
  <c r="D838" i="3"/>
  <c r="C838" i="3"/>
  <c r="H838" i="3" s="1"/>
  <c r="B838" i="3"/>
  <c r="A838" i="3"/>
  <c r="G837" i="3"/>
  <c r="E837" i="3"/>
  <c r="D837" i="3"/>
  <c r="C837" i="3"/>
  <c r="H837" i="3" s="1"/>
  <c r="B837" i="3"/>
  <c r="A837" i="3"/>
  <c r="G836" i="3"/>
  <c r="E836" i="3"/>
  <c r="D836" i="3"/>
  <c r="C836" i="3"/>
  <c r="H836" i="3" s="1"/>
  <c r="B836" i="3"/>
  <c r="A836" i="3"/>
  <c r="G835" i="3"/>
  <c r="E835" i="3"/>
  <c r="D835" i="3"/>
  <c r="C835" i="3"/>
  <c r="H835" i="3" s="1"/>
  <c r="B835" i="3"/>
  <c r="A835" i="3"/>
  <c r="G834" i="3"/>
  <c r="E834" i="3"/>
  <c r="D834" i="3"/>
  <c r="C834" i="3"/>
  <c r="H834" i="3" s="1"/>
  <c r="B834" i="3"/>
  <c r="A834" i="3"/>
  <c r="G833" i="3"/>
  <c r="E833" i="3"/>
  <c r="D833" i="3"/>
  <c r="C833" i="3"/>
  <c r="H833" i="3" s="1"/>
  <c r="B833" i="3"/>
  <c r="A833" i="3"/>
  <c r="G832" i="3"/>
  <c r="E832" i="3"/>
  <c r="D832" i="3"/>
  <c r="C832" i="3"/>
  <c r="H832" i="3" s="1"/>
  <c r="B832" i="3"/>
  <c r="A832" i="3"/>
  <c r="G831" i="3"/>
  <c r="E831" i="3"/>
  <c r="D831" i="3"/>
  <c r="C831" i="3"/>
  <c r="H831" i="3" s="1"/>
  <c r="B831" i="3"/>
  <c r="A831" i="3"/>
  <c r="G830" i="3"/>
  <c r="E830" i="3"/>
  <c r="D830" i="3"/>
  <c r="C830" i="3"/>
  <c r="H830" i="3" s="1"/>
  <c r="B830" i="3"/>
  <c r="A830" i="3"/>
  <c r="G829" i="3"/>
  <c r="E829" i="3"/>
  <c r="D829" i="3"/>
  <c r="C829" i="3"/>
  <c r="H829" i="3" s="1"/>
  <c r="B829" i="3"/>
  <c r="A829" i="3"/>
  <c r="G828" i="3"/>
  <c r="E828" i="3"/>
  <c r="D828" i="3"/>
  <c r="C828" i="3"/>
  <c r="H828" i="3" s="1"/>
  <c r="B828" i="3"/>
  <c r="A828" i="3"/>
  <c r="G827" i="3"/>
  <c r="E827" i="3"/>
  <c r="D827" i="3"/>
  <c r="C827" i="3"/>
  <c r="H827" i="3" s="1"/>
  <c r="B827" i="3"/>
  <c r="A827" i="3"/>
  <c r="G826" i="3"/>
  <c r="E826" i="3"/>
  <c r="D826" i="3"/>
  <c r="C826" i="3"/>
  <c r="H826" i="3" s="1"/>
  <c r="B826" i="3"/>
  <c r="A826" i="3"/>
  <c r="G825" i="3"/>
  <c r="E825" i="3"/>
  <c r="D825" i="3"/>
  <c r="C825" i="3"/>
  <c r="H825" i="3" s="1"/>
  <c r="B825" i="3"/>
  <c r="A825" i="3"/>
  <c r="G824" i="3"/>
  <c r="E824" i="3"/>
  <c r="D824" i="3"/>
  <c r="C824" i="3"/>
  <c r="H824" i="3" s="1"/>
  <c r="B824" i="3"/>
  <c r="A824" i="3"/>
  <c r="G823" i="3"/>
  <c r="E823" i="3"/>
  <c r="D823" i="3"/>
  <c r="C823" i="3"/>
  <c r="H823" i="3" s="1"/>
  <c r="B823" i="3"/>
  <c r="A823" i="3"/>
  <c r="G822" i="3"/>
  <c r="E822" i="3"/>
  <c r="D822" i="3"/>
  <c r="C822" i="3"/>
  <c r="H822" i="3" s="1"/>
  <c r="B822" i="3"/>
  <c r="A822" i="3"/>
  <c r="G821" i="3"/>
  <c r="E821" i="3"/>
  <c r="D821" i="3"/>
  <c r="C821" i="3"/>
  <c r="H821" i="3" s="1"/>
  <c r="B821" i="3"/>
  <c r="A821" i="3"/>
  <c r="G820" i="3"/>
  <c r="E820" i="3"/>
  <c r="D820" i="3"/>
  <c r="C820" i="3"/>
  <c r="H820" i="3" s="1"/>
  <c r="B820" i="3"/>
  <c r="A820" i="3"/>
  <c r="G819" i="3"/>
  <c r="E819" i="3"/>
  <c r="D819" i="3"/>
  <c r="C819" i="3"/>
  <c r="H819" i="3" s="1"/>
  <c r="B819" i="3"/>
  <c r="A819" i="3"/>
  <c r="G818" i="3"/>
  <c r="E818" i="3"/>
  <c r="D818" i="3"/>
  <c r="C818" i="3"/>
  <c r="H818" i="3" s="1"/>
  <c r="B818" i="3"/>
  <c r="A818" i="3"/>
  <c r="G817" i="3"/>
  <c r="E817" i="3"/>
  <c r="D817" i="3"/>
  <c r="C817" i="3"/>
  <c r="H817" i="3" s="1"/>
  <c r="B817" i="3"/>
  <c r="A817" i="3"/>
  <c r="G816" i="3"/>
  <c r="E816" i="3"/>
  <c r="D816" i="3"/>
  <c r="C816" i="3"/>
  <c r="H816" i="3" s="1"/>
  <c r="B816" i="3"/>
  <c r="A816" i="3"/>
  <c r="G815" i="3"/>
  <c r="E815" i="3"/>
  <c r="D815" i="3"/>
  <c r="C815" i="3"/>
  <c r="H815" i="3" s="1"/>
  <c r="B815" i="3"/>
  <c r="A815" i="3"/>
  <c r="G814" i="3"/>
  <c r="E814" i="3"/>
  <c r="D814" i="3"/>
  <c r="C814" i="3"/>
  <c r="H814" i="3" s="1"/>
  <c r="B814" i="3"/>
  <c r="A814" i="3"/>
  <c r="G813" i="3"/>
  <c r="E813" i="3"/>
  <c r="D813" i="3"/>
  <c r="C813" i="3"/>
  <c r="H813" i="3" s="1"/>
  <c r="B813" i="3"/>
  <c r="A813" i="3"/>
  <c r="G812" i="3"/>
  <c r="E812" i="3"/>
  <c r="D812" i="3"/>
  <c r="C812" i="3"/>
  <c r="H812" i="3" s="1"/>
  <c r="B812" i="3"/>
  <c r="A812" i="3"/>
  <c r="G811" i="3"/>
  <c r="E811" i="3"/>
  <c r="D811" i="3"/>
  <c r="C811" i="3"/>
  <c r="H811" i="3" s="1"/>
  <c r="B811" i="3"/>
  <c r="A811" i="3"/>
  <c r="G810" i="3"/>
  <c r="E810" i="3"/>
  <c r="D810" i="3"/>
  <c r="C810" i="3"/>
  <c r="H810" i="3" s="1"/>
  <c r="B810" i="3"/>
  <c r="A810" i="3"/>
  <c r="G809" i="3"/>
  <c r="E809" i="3"/>
  <c r="D809" i="3"/>
  <c r="C809" i="3"/>
  <c r="B809" i="3"/>
  <c r="A809" i="3"/>
  <c r="G808" i="3"/>
  <c r="E808" i="3"/>
  <c r="D808" i="3"/>
  <c r="C808" i="3"/>
  <c r="B808" i="3"/>
  <c r="A808" i="3"/>
  <c r="G807" i="3"/>
  <c r="E807" i="3"/>
  <c r="D807" i="3"/>
  <c r="C807" i="3"/>
  <c r="B807" i="3"/>
  <c r="A807" i="3"/>
  <c r="G806" i="3"/>
  <c r="E806" i="3"/>
  <c r="D806" i="3"/>
  <c r="C806" i="3"/>
  <c r="B806" i="3"/>
  <c r="A806" i="3"/>
  <c r="G805" i="3"/>
  <c r="E805" i="3"/>
  <c r="D805" i="3"/>
  <c r="C805" i="3"/>
  <c r="B805" i="3"/>
  <c r="A805" i="3"/>
  <c r="G804" i="3"/>
  <c r="E804" i="3"/>
  <c r="D804" i="3"/>
  <c r="C804" i="3"/>
  <c r="B804" i="3"/>
  <c r="A804" i="3"/>
  <c r="G803" i="3"/>
  <c r="E803" i="3"/>
  <c r="D803" i="3"/>
  <c r="C803" i="3"/>
  <c r="B803" i="3"/>
  <c r="A803" i="3"/>
  <c r="G802" i="3"/>
  <c r="E802" i="3"/>
  <c r="D802" i="3"/>
  <c r="C802" i="3"/>
  <c r="B802" i="3"/>
  <c r="A802" i="3"/>
  <c r="G801" i="3"/>
  <c r="E801" i="3"/>
  <c r="D801" i="3"/>
  <c r="C801" i="3"/>
  <c r="B801" i="3"/>
  <c r="A801" i="3"/>
  <c r="G800" i="3"/>
  <c r="E800" i="3"/>
  <c r="D800" i="3"/>
  <c r="C800" i="3"/>
  <c r="B800" i="3"/>
  <c r="A800" i="3"/>
  <c r="G799" i="3"/>
  <c r="E799" i="3"/>
  <c r="D799" i="3"/>
  <c r="C799" i="3"/>
  <c r="B799" i="3"/>
  <c r="A799" i="3"/>
  <c r="G798" i="3"/>
  <c r="E798" i="3"/>
  <c r="D798" i="3"/>
  <c r="C798" i="3"/>
  <c r="B798" i="3"/>
  <c r="A798" i="3"/>
  <c r="G797" i="3"/>
  <c r="E797" i="3"/>
  <c r="D797" i="3"/>
  <c r="C797" i="3"/>
  <c r="B797" i="3"/>
  <c r="A797" i="3"/>
  <c r="G796" i="3"/>
  <c r="E796" i="3"/>
  <c r="D796" i="3"/>
  <c r="C796" i="3"/>
  <c r="B796" i="3"/>
  <c r="A796" i="3"/>
  <c r="G795" i="3"/>
  <c r="E795" i="3"/>
  <c r="D795" i="3"/>
  <c r="C795" i="3"/>
  <c r="B795" i="3"/>
  <c r="A795" i="3"/>
  <c r="G794" i="3"/>
  <c r="E794" i="3"/>
  <c r="D794" i="3"/>
  <c r="C794" i="3"/>
  <c r="B794" i="3"/>
  <c r="A794" i="3"/>
  <c r="G793" i="3"/>
  <c r="E793" i="3"/>
  <c r="D793" i="3"/>
  <c r="C793" i="3"/>
  <c r="B793" i="3"/>
  <c r="A793" i="3"/>
  <c r="G792" i="3"/>
  <c r="E792" i="3"/>
  <c r="D792" i="3"/>
  <c r="C792" i="3"/>
  <c r="B792" i="3"/>
  <c r="A792" i="3"/>
  <c r="G791" i="3"/>
  <c r="E791" i="3"/>
  <c r="D791" i="3"/>
  <c r="C791" i="3"/>
  <c r="B791" i="3"/>
  <c r="A791" i="3"/>
  <c r="G790" i="3"/>
  <c r="E790" i="3"/>
  <c r="D790" i="3"/>
  <c r="C790" i="3"/>
  <c r="B790" i="3"/>
  <c r="A790" i="3"/>
  <c r="G789" i="3"/>
  <c r="E789" i="3"/>
  <c r="D789" i="3"/>
  <c r="C789" i="3"/>
  <c r="B789" i="3"/>
  <c r="A789" i="3"/>
  <c r="G788" i="3"/>
  <c r="E788" i="3"/>
  <c r="D788" i="3"/>
  <c r="C788" i="3"/>
  <c r="B788" i="3"/>
  <c r="A788" i="3"/>
  <c r="G787" i="3"/>
  <c r="E787" i="3"/>
  <c r="D787" i="3"/>
  <c r="C787" i="3"/>
  <c r="B787" i="3"/>
  <c r="A787" i="3"/>
  <c r="G786" i="3"/>
  <c r="E786" i="3"/>
  <c r="D786" i="3"/>
  <c r="C786" i="3"/>
  <c r="B786" i="3"/>
  <c r="A786" i="3"/>
  <c r="G785" i="3"/>
  <c r="E785" i="3"/>
  <c r="D785" i="3"/>
  <c r="C785" i="3"/>
  <c r="B785" i="3"/>
  <c r="A785" i="3"/>
  <c r="G784" i="3"/>
  <c r="E784" i="3"/>
  <c r="D784" i="3"/>
  <c r="C784" i="3"/>
  <c r="B784" i="3"/>
  <c r="A784" i="3"/>
  <c r="G783" i="3"/>
  <c r="E783" i="3"/>
  <c r="D783" i="3"/>
  <c r="C783" i="3"/>
  <c r="B783" i="3"/>
  <c r="A783" i="3"/>
  <c r="G782" i="3"/>
  <c r="E782" i="3"/>
  <c r="D782" i="3"/>
  <c r="C782" i="3"/>
  <c r="B782" i="3"/>
  <c r="A782" i="3"/>
  <c r="G781" i="3"/>
  <c r="E781" i="3"/>
  <c r="D781" i="3"/>
  <c r="C781" i="3"/>
  <c r="B781" i="3"/>
  <c r="A781" i="3"/>
  <c r="G780" i="3"/>
  <c r="E780" i="3"/>
  <c r="D780" i="3"/>
  <c r="C780" i="3"/>
  <c r="B780" i="3"/>
  <c r="A780" i="3"/>
  <c r="G779" i="3"/>
  <c r="E779" i="3"/>
  <c r="D779" i="3"/>
  <c r="C779" i="3"/>
  <c r="B779" i="3"/>
  <c r="A779" i="3"/>
  <c r="G778" i="3"/>
  <c r="E778" i="3"/>
  <c r="D778" i="3"/>
  <c r="C778" i="3"/>
  <c r="B778" i="3"/>
  <c r="A778" i="3"/>
  <c r="G777" i="3"/>
  <c r="E777" i="3"/>
  <c r="D777" i="3"/>
  <c r="C777" i="3"/>
  <c r="B777" i="3"/>
  <c r="A777" i="3"/>
  <c r="G776" i="3"/>
  <c r="E776" i="3"/>
  <c r="D776" i="3"/>
  <c r="C776" i="3"/>
  <c r="B776" i="3"/>
  <c r="A776" i="3"/>
  <c r="G775" i="3"/>
  <c r="E775" i="3"/>
  <c r="D775" i="3"/>
  <c r="C775" i="3"/>
  <c r="B775" i="3"/>
  <c r="A775" i="3"/>
  <c r="G774" i="3"/>
  <c r="E774" i="3"/>
  <c r="D774" i="3"/>
  <c r="C774" i="3"/>
  <c r="B774" i="3"/>
  <c r="A774" i="3"/>
  <c r="G773" i="3"/>
  <c r="E773" i="3"/>
  <c r="D773" i="3"/>
  <c r="C773" i="3"/>
  <c r="B773" i="3"/>
  <c r="A773" i="3"/>
  <c r="G772" i="3"/>
  <c r="E772" i="3"/>
  <c r="D772" i="3"/>
  <c r="C772" i="3"/>
  <c r="B772" i="3"/>
  <c r="A772" i="3"/>
  <c r="G771" i="3"/>
  <c r="E771" i="3"/>
  <c r="D771" i="3"/>
  <c r="C771" i="3"/>
  <c r="B771" i="3"/>
  <c r="A771" i="3"/>
  <c r="G770" i="3"/>
  <c r="E770" i="3"/>
  <c r="D770" i="3"/>
  <c r="C770" i="3"/>
  <c r="B770" i="3"/>
  <c r="A770" i="3"/>
  <c r="G769" i="3"/>
  <c r="E769" i="3"/>
  <c r="D769" i="3"/>
  <c r="C769" i="3"/>
  <c r="B769" i="3"/>
  <c r="A769" i="3"/>
  <c r="G768" i="3"/>
  <c r="E768" i="3"/>
  <c r="D768" i="3"/>
  <c r="C768" i="3"/>
  <c r="B768" i="3"/>
  <c r="A768" i="3"/>
  <c r="G767" i="3"/>
  <c r="E767" i="3"/>
  <c r="D767" i="3"/>
  <c r="C767" i="3"/>
  <c r="B767" i="3"/>
  <c r="A767" i="3"/>
  <c r="G766" i="3"/>
  <c r="E766" i="3"/>
  <c r="D766" i="3"/>
  <c r="C766" i="3"/>
  <c r="B766" i="3"/>
  <c r="A766" i="3"/>
  <c r="G765" i="3"/>
  <c r="E765" i="3"/>
  <c r="D765" i="3"/>
  <c r="C765" i="3"/>
  <c r="B765" i="3"/>
  <c r="A765" i="3"/>
  <c r="G764" i="3"/>
  <c r="E764" i="3"/>
  <c r="D764" i="3"/>
  <c r="C764" i="3"/>
  <c r="B764" i="3"/>
  <c r="A764" i="3"/>
  <c r="G763" i="3"/>
  <c r="E763" i="3"/>
  <c r="D763" i="3"/>
  <c r="C763" i="3"/>
  <c r="B763" i="3"/>
  <c r="A763" i="3"/>
  <c r="G762" i="3"/>
  <c r="E762" i="3"/>
  <c r="D762" i="3"/>
  <c r="C762" i="3"/>
  <c r="B762" i="3"/>
  <c r="A762" i="3"/>
  <c r="G761" i="3"/>
  <c r="E761" i="3"/>
  <c r="D761" i="3"/>
  <c r="C761" i="3"/>
  <c r="B761" i="3"/>
  <c r="A761" i="3"/>
  <c r="G760" i="3"/>
  <c r="E760" i="3"/>
  <c r="D760" i="3"/>
  <c r="C760" i="3"/>
  <c r="B760" i="3"/>
  <c r="A760" i="3"/>
  <c r="G759" i="3"/>
  <c r="E759" i="3"/>
  <c r="D759" i="3"/>
  <c r="C759" i="3"/>
  <c r="B759" i="3"/>
  <c r="A759" i="3"/>
  <c r="G758" i="3"/>
  <c r="E758" i="3"/>
  <c r="D758" i="3"/>
  <c r="C758" i="3"/>
  <c r="B758" i="3"/>
  <c r="A758" i="3"/>
  <c r="G757" i="3"/>
  <c r="E757" i="3"/>
  <c r="D757" i="3"/>
  <c r="C757" i="3"/>
  <c r="B757" i="3"/>
  <c r="A757" i="3"/>
  <c r="G756" i="3"/>
  <c r="E756" i="3"/>
  <c r="D756" i="3"/>
  <c r="C756" i="3"/>
  <c r="B756" i="3"/>
  <c r="A756" i="3"/>
  <c r="G755" i="3"/>
  <c r="E755" i="3"/>
  <c r="D755" i="3"/>
  <c r="C755" i="3"/>
  <c r="B755" i="3"/>
  <c r="A755" i="3"/>
  <c r="G754" i="3"/>
  <c r="E754" i="3"/>
  <c r="D754" i="3"/>
  <c r="C754" i="3"/>
  <c r="B754" i="3"/>
  <c r="A754" i="3"/>
  <c r="G753" i="3"/>
  <c r="E753" i="3"/>
  <c r="D753" i="3"/>
  <c r="C753" i="3"/>
  <c r="B753" i="3"/>
  <c r="A753" i="3"/>
  <c r="G752" i="3"/>
  <c r="E752" i="3"/>
  <c r="D752" i="3"/>
  <c r="C752" i="3"/>
  <c r="B752" i="3"/>
  <c r="A752" i="3"/>
  <c r="G751" i="3"/>
  <c r="E751" i="3"/>
  <c r="D751" i="3"/>
  <c r="C751" i="3"/>
  <c r="H751" i="3" s="1"/>
  <c r="B751" i="3"/>
  <c r="A751" i="3"/>
  <c r="G750" i="3"/>
  <c r="E750" i="3"/>
  <c r="D750" i="3"/>
  <c r="C750" i="3"/>
  <c r="H750" i="3" s="1"/>
  <c r="B750" i="3"/>
  <c r="A750" i="3"/>
  <c r="G749" i="3"/>
  <c r="E749" i="3"/>
  <c r="D749" i="3"/>
  <c r="C749" i="3"/>
  <c r="H749" i="3" s="1"/>
  <c r="B749" i="3"/>
  <c r="A749" i="3"/>
  <c r="G748" i="3"/>
  <c r="E748" i="3"/>
  <c r="D748" i="3"/>
  <c r="C748" i="3"/>
  <c r="H748" i="3" s="1"/>
  <c r="B748" i="3"/>
  <c r="A748" i="3"/>
  <c r="G747" i="3"/>
  <c r="E747" i="3"/>
  <c r="D747" i="3"/>
  <c r="C747" i="3"/>
  <c r="H747" i="3" s="1"/>
  <c r="B747" i="3"/>
  <c r="A747" i="3"/>
  <c r="G746" i="3"/>
  <c r="E746" i="3"/>
  <c r="D746" i="3"/>
  <c r="C746" i="3"/>
  <c r="H746" i="3" s="1"/>
  <c r="B746" i="3"/>
  <c r="A746" i="3"/>
  <c r="G745" i="3"/>
  <c r="E745" i="3"/>
  <c r="D745" i="3"/>
  <c r="C745" i="3"/>
  <c r="H745" i="3" s="1"/>
  <c r="B745" i="3"/>
  <c r="A745" i="3"/>
  <c r="G744" i="3"/>
  <c r="E744" i="3"/>
  <c r="D744" i="3"/>
  <c r="C744" i="3"/>
  <c r="H744" i="3" s="1"/>
  <c r="B744" i="3"/>
  <c r="A744" i="3"/>
  <c r="G743" i="3"/>
  <c r="E743" i="3"/>
  <c r="D743" i="3"/>
  <c r="C743" i="3"/>
  <c r="H743" i="3" s="1"/>
  <c r="B743" i="3"/>
  <c r="A743" i="3"/>
  <c r="G742" i="3"/>
  <c r="E742" i="3"/>
  <c r="D742" i="3"/>
  <c r="C742" i="3"/>
  <c r="H742" i="3" s="1"/>
  <c r="B742" i="3"/>
  <c r="A742" i="3"/>
  <c r="G741" i="3"/>
  <c r="E741" i="3"/>
  <c r="D741" i="3"/>
  <c r="C741" i="3"/>
  <c r="H741" i="3" s="1"/>
  <c r="B741" i="3"/>
  <c r="A741" i="3"/>
  <c r="G740" i="3"/>
  <c r="E740" i="3"/>
  <c r="D740" i="3"/>
  <c r="C740" i="3"/>
  <c r="H740" i="3" s="1"/>
  <c r="B740" i="3"/>
  <c r="A740" i="3"/>
  <c r="G739" i="3"/>
  <c r="E739" i="3"/>
  <c r="D739" i="3"/>
  <c r="C739" i="3"/>
  <c r="H739" i="3" s="1"/>
  <c r="B739" i="3"/>
  <c r="A739" i="3"/>
  <c r="G738" i="3"/>
  <c r="E738" i="3"/>
  <c r="D738" i="3"/>
  <c r="C738" i="3"/>
  <c r="H738" i="3" s="1"/>
  <c r="B738" i="3"/>
  <c r="A738" i="3"/>
  <c r="G737" i="3"/>
  <c r="E737" i="3"/>
  <c r="D737" i="3"/>
  <c r="C737" i="3"/>
  <c r="H737" i="3" s="1"/>
  <c r="B737" i="3"/>
  <c r="A737" i="3"/>
  <c r="G736" i="3"/>
  <c r="E736" i="3"/>
  <c r="D736" i="3"/>
  <c r="C736" i="3"/>
  <c r="H736" i="3" s="1"/>
  <c r="B736" i="3"/>
  <c r="A736" i="3"/>
  <c r="G735" i="3"/>
  <c r="E735" i="3"/>
  <c r="D735" i="3"/>
  <c r="C735" i="3"/>
  <c r="H735" i="3" s="1"/>
  <c r="B735" i="3"/>
  <c r="A735" i="3"/>
  <c r="G734" i="3"/>
  <c r="E734" i="3"/>
  <c r="D734" i="3"/>
  <c r="C734" i="3"/>
  <c r="H734" i="3" s="1"/>
  <c r="B734" i="3"/>
  <c r="A734" i="3"/>
  <c r="G733" i="3"/>
  <c r="E733" i="3"/>
  <c r="D733" i="3"/>
  <c r="C733" i="3"/>
  <c r="H733" i="3" s="1"/>
  <c r="B733" i="3"/>
  <c r="A733" i="3"/>
  <c r="G732" i="3"/>
  <c r="E732" i="3"/>
  <c r="D732" i="3"/>
  <c r="C732" i="3"/>
  <c r="H732" i="3" s="1"/>
  <c r="B732" i="3"/>
  <c r="A732" i="3"/>
  <c r="G731" i="3"/>
  <c r="E731" i="3"/>
  <c r="D731" i="3"/>
  <c r="C731" i="3"/>
  <c r="H731" i="3" s="1"/>
  <c r="B731" i="3"/>
  <c r="A731" i="3"/>
  <c r="G730" i="3"/>
  <c r="E730" i="3"/>
  <c r="D730" i="3"/>
  <c r="C730" i="3"/>
  <c r="H730" i="3" s="1"/>
  <c r="B730" i="3"/>
  <c r="A730" i="3"/>
  <c r="G729" i="3"/>
  <c r="E729" i="3"/>
  <c r="D729" i="3"/>
  <c r="C729" i="3"/>
  <c r="H729" i="3" s="1"/>
  <c r="B729" i="3"/>
  <c r="A729" i="3"/>
  <c r="G728" i="3"/>
  <c r="E728" i="3"/>
  <c r="D728" i="3"/>
  <c r="C728" i="3"/>
  <c r="H728" i="3" s="1"/>
  <c r="B728" i="3"/>
  <c r="A728" i="3"/>
  <c r="G727" i="3"/>
  <c r="E727" i="3"/>
  <c r="D727" i="3"/>
  <c r="C727" i="3"/>
  <c r="H727" i="3" s="1"/>
  <c r="B727" i="3"/>
  <c r="A727" i="3"/>
  <c r="G726" i="3"/>
  <c r="E726" i="3"/>
  <c r="D726" i="3"/>
  <c r="C726" i="3"/>
  <c r="H726" i="3" s="1"/>
  <c r="B726" i="3"/>
  <c r="A726" i="3"/>
  <c r="G725" i="3"/>
  <c r="E725" i="3"/>
  <c r="D725" i="3"/>
  <c r="C725" i="3"/>
  <c r="H725" i="3" s="1"/>
  <c r="B725" i="3"/>
  <c r="A725" i="3"/>
  <c r="G724" i="3"/>
  <c r="E724" i="3"/>
  <c r="D724" i="3"/>
  <c r="C724" i="3"/>
  <c r="H724" i="3" s="1"/>
  <c r="B724" i="3"/>
  <c r="A724" i="3"/>
  <c r="G723" i="3"/>
  <c r="E723" i="3"/>
  <c r="D723" i="3"/>
  <c r="C723" i="3"/>
  <c r="H723" i="3" s="1"/>
  <c r="B723" i="3"/>
  <c r="A723" i="3"/>
  <c r="G722" i="3"/>
  <c r="E722" i="3"/>
  <c r="D722" i="3"/>
  <c r="C722" i="3"/>
  <c r="H722" i="3" s="1"/>
  <c r="B722" i="3"/>
  <c r="A722" i="3"/>
  <c r="G721" i="3"/>
  <c r="E721" i="3"/>
  <c r="D721" i="3"/>
  <c r="C721" i="3"/>
  <c r="H721" i="3" s="1"/>
  <c r="B721" i="3"/>
  <c r="A721" i="3"/>
  <c r="G720" i="3"/>
  <c r="E720" i="3"/>
  <c r="D720" i="3"/>
  <c r="C720" i="3"/>
  <c r="H720" i="3" s="1"/>
  <c r="B720" i="3"/>
  <c r="A720" i="3"/>
  <c r="G719" i="3"/>
  <c r="E719" i="3"/>
  <c r="D719" i="3"/>
  <c r="C719" i="3"/>
  <c r="H719" i="3" s="1"/>
  <c r="B719" i="3"/>
  <c r="A719" i="3"/>
  <c r="G718" i="3"/>
  <c r="E718" i="3"/>
  <c r="D718" i="3"/>
  <c r="C718" i="3"/>
  <c r="H718" i="3" s="1"/>
  <c r="B718" i="3"/>
  <c r="A718" i="3"/>
  <c r="G717" i="3"/>
  <c r="E717" i="3"/>
  <c r="D717" i="3"/>
  <c r="C717" i="3"/>
  <c r="H717" i="3" s="1"/>
  <c r="B717" i="3"/>
  <c r="A717" i="3"/>
  <c r="G716" i="3"/>
  <c r="E716" i="3"/>
  <c r="D716" i="3"/>
  <c r="C716" i="3"/>
  <c r="H716" i="3" s="1"/>
  <c r="B716" i="3"/>
  <c r="A716" i="3"/>
  <c r="G715" i="3"/>
  <c r="E715" i="3"/>
  <c r="D715" i="3"/>
  <c r="C715" i="3"/>
  <c r="H715" i="3" s="1"/>
  <c r="B715" i="3"/>
  <c r="A715" i="3"/>
  <c r="G714" i="3"/>
  <c r="E714" i="3"/>
  <c r="D714" i="3"/>
  <c r="C714" i="3"/>
  <c r="H714" i="3" s="1"/>
  <c r="B714" i="3"/>
  <c r="A714" i="3"/>
  <c r="G713" i="3"/>
  <c r="E713" i="3"/>
  <c r="D713" i="3"/>
  <c r="C713" i="3"/>
  <c r="H713" i="3" s="1"/>
  <c r="B713" i="3"/>
  <c r="A713" i="3"/>
  <c r="G712" i="3"/>
  <c r="E712" i="3"/>
  <c r="D712" i="3"/>
  <c r="C712" i="3"/>
  <c r="H712" i="3" s="1"/>
  <c r="B712" i="3"/>
  <c r="A712" i="3"/>
  <c r="G711" i="3"/>
  <c r="E711" i="3"/>
  <c r="D711" i="3"/>
  <c r="C711" i="3"/>
  <c r="H711" i="3" s="1"/>
  <c r="B711" i="3"/>
  <c r="A711" i="3"/>
  <c r="G710" i="3"/>
  <c r="E710" i="3"/>
  <c r="D710" i="3"/>
  <c r="C710" i="3"/>
  <c r="H710" i="3" s="1"/>
  <c r="B710" i="3"/>
  <c r="A710" i="3"/>
  <c r="G709" i="3"/>
  <c r="E709" i="3"/>
  <c r="D709" i="3"/>
  <c r="C709" i="3"/>
  <c r="H709" i="3" s="1"/>
  <c r="B709" i="3"/>
  <c r="A709" i="3"/>
  <c r="G708" i="3"/>
  <c r="E708" i="3"/>
  <c r="D708" i="3"/>
  <c r="C708" i="3"/>
  <c r="H708" i="3" s="1"/>
  <c r="B708" i="3"/>
  <c r="A708" i="3"/>
  <c r="G707" i="3"/>
  <c r="E707" i="3"/>
  <c r="D707" i="3"/>
  <c r="C707" i="3"/>
  <c r="H707" i="3" s="1"/>
  <c r="B707" i="3"/>
  <c r="A707" i="3"/>
  <c r="G706" i="3"/>
  <c r="E706" i="3"/>
  <c r="D706" i="3"/>
  <c r="C706" i="3"/>
  <c r="H706" i="3" s="1"/>
  <c r="B706" i="3"/>
  <c r="A706" i="3"/>
  <c r="G705" i="3"/>
  <c r="E705" i="3"/>
  <c r="D705" i="3"/>
  <c r="C705" i="3"/>
  <c r="H705" i="3" s="1"/>
  <c r="B705" i="3"/>
  <c r="A705" i="3"/>
  <c r="G704" i="3"/>
  <c r="E704" i="3"/>
  <c r="D704" i="3"/>
  <c r="C704" i="3"/>
  <c r="H704" i="3" s="1"/>
  <c r="B704" i="3"/>
  <c r="A704" i="3"/>
  <c r="G703" i="3"/>
  <c r="E703" i="3"/>
  <c r="D703" i="3"/>
  <c r="C703" i="3"/>
  <c r="H703" i="3" s="1"/>
  <c r="B703" i="3"/>
  <c r="A703" i="3"/>
  <c r="G702" i="3"/>
  <c r="E702" i="3"/>
  <c r="D702" i="3"/>
  <c r="C702" i="3"/>
  <c r="H702" i="3" s="1"/>
  <c r="B702" i="3"/>
  <c r="A702" i="3"/>
  <c r="G701" i="3"/>
  <c r="E701" i="3"/>
  <c r="D701" i="3"/>
  <c r="C701" i="3"/>
  <c r="H701" i="3" s="1"/>
  <c r="B701" i="3"/>
  <c r="A701" i="3"/>
  <c r="G700" i="3"/>
  <c r="E700" i="3"/>
  <c r="D700" i="3"/>
  <c r="C700" i="3"/>
  <c r="H700" i="3" s="1"/>
  <c r="B700" i="3"/>
  <c r="A700" i="3"/>
  <c r="G699" i="3"/>
  <c r="E699" i="3"/>
  <c r="D699" i="3"/>
  <c r="C699" i="3"/>
  <c r="H699" i="3" s="1"/>
  <c r="B699" i="3"/>
  <c r="A699" i="3"/>
  <c r="G698" i="3"/>
  <c r="E698" i="3"/>
  <c r="D698" i="3"/>
  <c r="C698" i="3"/>
  <c r="H698" i="3" s="1"/>
  <c r="B698" i="3"/>
  <c r="A698" i="3"/>
  <c r="G697" i="3"/>
  <c r="E697" i="3"/>
  <c r="D697" i="3"/>
  <c r="C697" i="3"/>
  <c r="H697" i="3" s="1"/>
  <c r="B697" i="3"/>
  <c r="A697" i="3"/>
  <c r="G696" i="3"/>
  <c r="E696" i="3"/>
  <c r="D696" i="3"/>
  <c r="C696" i="3"/>
  <c r="H696" i="3" s="1"/>
  <c r="B696" i="3"/>
  <c r="A696" i="3"/>
  <c r="G695" i="3"/>
  <c r="E695" i="3"/>
  <c r="D695" i="3"/>
  <c r="C695" i="3"/>
  <c r="H695" i="3" s="1"/>
  <c r="B695" i="3"/>
  <c r="A695" i="3"/>
  <c r="G694" i="3"/>
  <c r="E694" i="3"/>
  <c r="D694" i="3"/>
  <c r="C694" i="3"/>
  <c r="H694" i="3" s="1"/>
  <c r="B694" i="3"/>
  <c r="A694" i="3"/>
  <c r="G693" i="3"/>
  <c r="E693" i="3"/>
  <c r="D693" i="3"/>
  <c r="C693" i="3"/>
  <c r="H693" i="3" s="1"/>
  <c r="B693" i="3"/>
  <c r="A693" i="3"/>
  <c r="G692" i="3"/>
  <c r="E692" i="3"/>
  <c r="D692" i="3"/>
  <c r="C692" i="3"/>
  <c r="H692" i="3" s="1"/>
  <c r="B692" i="3"/>
  <c r="A692" i="3"/>
  <c r="G691" i="3"/>
  <c r="E691" i="3"/>
  <c r="D691" i="3"/>
  <c r="C691" i="3"/>
  <c r="H691" i="3" s="1"/>
  <c r="B691" i="3"/>
  <c r="A691" i="3"/>
  <c r="G690" i="3"/>
  <c r="E690" i="3"/>
  <c r="D690" i="3"/>
  <c r="C690" i="3"/>
  <c r="H690" i="3" s="1"/>
  <c r="B690" i="3"/>
  <c r="A690" i="3"/>
  <c r="G689" i="3"/>
  <c r="E689" i="3"/>
  <c r="D689" i="3"/>
  <c r="C689" i="3"/>
  <c r="H689" i="3" s="1"/>
  <c r="B689" i="3"/>
  <c r="A689" i="3"/>
  <c r="G688" i="3"/>
  <c r="E688" i="3"/>
  <c r="D688" i="3"/>
  <c r="C688" i="3"/>
  <c r="H688" i="3" s="1"/>
  <c r="B688" i="3"/>
  <c r="A688" i="3"/>
  <c r="G687" i="3"/>
  <c r="E687" i="3"/>
  <c r="D687" i="3"/>
  <c r="C687" i="3"/>
  <c r="H687" i="3" s="1"/>
  <c r="B687" i="3"/>
  <c r="A687" i="3"/>
  <c r="G686" i="3"/>
  <c r="E686" i="3"/>
  <c r="D686" i="3"/>
  <c r="C686" i="3"/>
  <c r="H686" i="3" s="1"/>
  <c r="B686" i="3"/>
  <c r="A686" i="3"/>
  <c r="G685" i="3"/>
  <c r="E685" i="3"/>
  <c r="D685" i="3"/>
  <c r="C685" i="3"/>
  <c r="H685" i="3" s="1"/>
  <c r="B685" i="3"/>
  <c r="A685" i="3"/>
  <c r="G684" i="3"/>
  <c r="E684" i="3"/>
  <c r="D684" i="3"/>
  <c r="C684" i="3"/>
  <c r="H684" i="3" s="1"/>
  <c r="B684" i="3"/>
  <c r="A684" i="3"/>
  <c r="G683" i="3"/>
  <c r="E683" i="3"/>
  <c r="D683" i="3"/>
  <c r="C683" i="3"/>
  <c r="H683" i="3" s="1"/>
  <c r="B683" i="3"/>
  <c r="A683" i="3"/>
  <c r="G682" i="3"/>
  <c r="E682" i="3"/>
  <c r="D682" i="3"/>
  <c r="C682" i="3"/>
  <c r="H682" i="3" s="1"/>
  <c r="B682" i="3"/>
  <c r="A682" i="3"/>
  <c r="G681" i="3"/>
  <c r="E681" i="3"/>
  <c r="D681" i="3"/>
  <c r="C681" i="3"/>
  <c r="H681" i="3" s="1"/>
  <c r="B681" i="3"/>
  <c r="A681" i="3"/>
  <c r="G680" i="3"/>
  <c r="E680" i="3"/>
  <c r="D680" i="3"/>
  <c r="C680" i="3"/>
  <c r="H680" i="3" s="1"/>
  <c r="B680" i="3"/>
  <c r="A680" i="3"/>
  <c r="G679" i="3"/>
  <c r="E679" i="3"/>
  <c r="D679" i="3"/>
  <c r="C679" i="3"/>
  <c r="H679" i="3" s="1"/>
  <c r="B679" i="3"/>
  <c r="A679" i="3"/>
  <c r="G678" i="3"/>
  <c r="E678" i="3"/>
  <c r="D678" i="3"/>
  <c r="C678" i="3"/>
  <c r="H678" i="3" s="1"/>
  <c r="B678" i="3"/>
  <c r="A678" i="3"/>
  <c r="G677" i="3"/>
  <c r="E677" i="3"/>
  <c r="D677" i="3"/>
  <c r="C677" i="3"/>
  <c r="H677" i="3" s="1"/>
  <c r="B677" i="3"/>
  <c r="A677" i="3"/>
  <c r="G676" i="3"/>
  <c r="E676" i="3"/>
  <c r="D676" i="3"/>
  <c r="C676" i="3"/>
  <c r="H676" i="3" s="1"/>
  <c r="B676" i="3"/>
  <c r="A676" i="3"/>
  <c r="G675" i="3"/>
  <c r="E675" i="3"/>
  <c r="D675" i="3"/>
  <c r="C675" i="3"/>
  <c r="H675" i="3" s="1"/>
  <c r="B675" i="3"/>
  <c r="A675" i="3"/>
  <c r="G674" i="3"/>
  <c r="E674" i="3"/>
  <c r="D674" i="3"/>
  <c r="C674" i="3"/>
  <c r="H674" i="3" s="1"/>
  <c r="B674" i="3"/>
  <c r="A674" i="3"/>
  <c r="G673" i="3"/>
  <c r="E673" i="3"/>
  <c r="D673" i="3"/>
  <c r="C673" i="3"/>
  <c r="H673" i="3" s="1"/>
  <c r="B673" i="3"/>
  <c r="A673" i="3"/>
  <c r="G672" i="3"/>
  <c r="E672" i="3"/>
  <c r="D672" i="3"/>
  <c r="C672" i="3"/>
  <c r="B672" i="3"/>
  <c r="A672" i="3"/>
  <c r="G671" i="3"/>
  <c r="E671" i="3"/>
  <c r="D671" i="3"/>
  <c r="C671" i="3"/>
  <c r="B671" i="3"/>
  <c r="A671" i="3"/>
  <c r="G670" i="3"/>
  <c r="E670" i="3"/>
  <c r="D670" i="3"/>
  <c r="C670" i="3"/>
  <c r="B670" i="3"/>
  <c r="A670" i="3"/>
  <c r="G669" i="3"/>
  <c r="E669" i="3"/>
  <c r="D669" i="3"/>
  <c r="C669" i="3"/>
  <c r="B669" i="3"/>
  <c r="A669" i="3"/>
  <c r="G668" i="3"/>
  <c r="E668" i="3"/>
  <c r="D668" i="3"/>
  <c r="C668" i="3"/>
  <c r="B668" i="3"/>
  <c r="A668" i="3"/>
  <c r="G667" i="3"/>
  <c r="E667" i="3"/>
  <c r="D667" i="3"/>
  <c r="C667" i="3"/>
  <c r="B667" i="3"/>
  <c r="A667" i="3"/>
  <c r="G666" i="3"/>
  <c r="E666" i="3"/>
  <c r="D666" i="3"/>
  <c r="C666" i="3"/>
  <c r="B666" i="3"/>
  <c r="A666" i="3"/>
  <c r="G665" i="3"/>
  <c r="E665" i="3"/>
  <c r="D665" i="3"/>
  <c r="C665" i="3"/>
  <c r="B665" i="3"/>
  <c r="A665" i="3"/>
  <c r="G664" i="3"/>
  <c r="E664" i="3"/>
  <c r="D664" i="3"/>
  <c r="C664" i="3"/>
  <c r="B664" i="3"/>
  <c r="A664" i="3"/>
  <c r="G663" i="3"/>
  <c r="E663" i="3"/>
  <c r="D663" i="3"/>
  <c r="C663" i="3"/>
  <c r="B663" i="3"/>
  <c r="A663" i="3"/>
  <c r="G662" i="3"/>
  <c r="E662" i="3"/>
  <c r="D662" i="3"/>
  <c r="C662" i="3"/>
  <c r="B662" i="3"/>
  <c r="A662" i="3"/>
  <c r="G661" i="3"/>
  <c r="E661" i="3"/>
  <c r="D661" i="3"/>
  <c r="C661" i="3"/>
  <c r="B661" i="3"/>
  <c r="A661" i="3"/>
  <c r="G660" i="3"/>
  <c r="E660" i="3"/>
  <c r="D660" i="3"/>
  <c r="C660" i="3"/>
  <c r="B660" i="3"/>
  <c r="A660" i="3"/>
  <c r="G659" i="3"/>
  <c r="E659" i="3"/>
  <c r="D659" i="3"/>
  <c r="C659" i="3"/>
  <c r="B659" i="3"/>
  <c r="A659" i="3"/>
  <c r="G658" i="3"/>
  <c r="E658" i="3"/>
  <c r="D658" i="3"/>
  <c r="C658" i="3"/>
  <c r="B658" i="3"/>
  <c r="A658" i="3"/>
  <c r="G657" i="3"/>
  <c r="E657" i="3"/>
  <c r="D657" i="3"/>
  <c r="C657" i="3"/>
  <c r="B657" i="3"/>
  <c r="A657" i="3"/>
  <c r="G656" i="3"/>
  <c r="E656" i="3"/>
  <c r="D656" i="3"/>
  <c r="C656" i="3"/>
  <c r="B656" i="3"/>
  <c r="A656" i="3"/>
  <c r="G655" i="3"/>
  <c r="E655" i="3"/>
  <c r="D655" i="3"/>
  <c r="C655" i="3"/>
  <c r="B655" i="3"/>
  <c r="A655" i="3"/>
  <c r="G654" i="3"/>
  <c r="E654" i="3"/>
  <c r="D654" i="3"/>
  <c r="C654" i="3"/>
  <c r="B654" i="3"/>
  <c r="A654" i="3"/>
  <c r="G653" i="3"/>
  <c r="E653" i="3"/>
  <c r="D653" i="3"/>
  <c r="C653" i="3"/>
  <c r="B653" i="3"/>
  <c r="A653" i="3"/>
  <c r="G652" i="3"/>
  <c r="E652" i="3"/>
  <c r="D652" i="3"/>
  <c r="C652" i="3"/>
  <c r="B652" i="3"/>
  <c r="A652" i="3"/>
  <c r="G651" i="3"/>
  <c r="E651" i="3"/>
  <c r="D651" i="3"/>
  <c r="C651" i="3"/>
  <c r="B651" i="3"/>
  <c r="A651" i="3"/>
  <c r="G650" i="3"/>
  <c r="E650" i="3"/>
  <c r="D650" i="3"/>
  <c r="C650" i="3"/>
  <c r="B650" i="3"/>
  <c r="A650" i="3"/>
  <c r="G649" i="3"/>
  <c r="E649" i="3"/>
  <c r="D649" i="3"/>
  <c r="C649" i="3"/>
  <c r="B649" i="3"/>
  <c r="A649" i="3"/>
  <c r="G648" i="3"/>
  <c r="E648" i="3"/>
  <c r="D648" i="3"/>
  <c r="C648" i="3"/>
  <c r="B648" i="3"/>
  <c r="A648" i="3"/>
  <c r="G647" i="3"/>
  <c r="E647" i="3"/>
  <c r="D647" i="3"/>
  <c r="C647" i="3"/>
  <c r="B647" i="3"/>
  <c r="A647" i="3"/>
  <c r="G646" i="3"/>
  <c r="E646" i="3"/>
  <c r="D646" i="3"/>
  <c r="C646" i="3"/>
  <c r="B646" i="3"/>
  <c r="A646" i="3"/>
  <c r="G645" i="3"/>
  <c r="E645" i="3"/>
  <c r="D645" i="3"/>
  <c r="C645" i="3"/>
  <c r="B645" i="3"/>
  <c r="A645" i="3"/>
  <c r="G644" i="3"/>
  <c r="E644" i="3"/>
  <c r="D644" i="3"/>
  <c r="C644" i="3"/>
  <c r="B644" i="3"/>
  <c r="A644" i="3"/>
  <c r="G643" i="3"/>
  <c r="E643" i="3"/>
  <c r="D643" i="3"/>
  <c r="C643" i="3"/>
  <c r="B643" i="3"/>
  <c r="A643" i="3"/>
  <c r="G642" i="3"/>
  <c r="E642" i="3"/>
  <c r="D642" i="3"/>
  <c r="C642" i="3"/>
  <c r="B642" i="3"/>
  <c r="A642" i="3"/>
  <c r="G641" i="3"/>
  <c r="E641" i="3"/>
  <c r="D641" i="3"/>
  <c r="C641" i="3"/>
  <c r="B641" i="3"/>
  <c r="A641" i="3"/>
  <c r="G640" i="3"/>
  <c r="E640" i="3"/>
  <c r="D640" i="3"/>
  <c r="C640" i="3"/>
  <c r="B640" i="3"/>
  <c r="A640" i="3"/>
  <c r="G639" i="3"/>
  <c r="E639" i="3"/>
  <c r="D639" i="3"/>
  <c r="C639" i="3"/>
  <c r="B639" i="3"/>
  <c r="A639" i="3"/>
  <c r="G638" i="3"/>
  <c r="E638" i="3"/>
  <c r="D638" i="3"/>
  <c r="C638" i="3"/>
  <c r="B638" i="3"/>
  <c r="A638" i="3"/>
  <c r="G637" i="3"/>
  <c r="E637" i="3"/>
  <c r="D637" i="3"/>
  <c r="C637" i="3"/>
  <c r="B637" i="3"/>
  <c r="A637" i="3"/>
  <c r="G636" i="3"/>
  <c r="E636" i="3"/>
  <c r="D636" i="3"/>
  <c r="C636" i="3"/>
  <c r="B636" i="3"/>
  <c r="A636" i="3"/>
  <c r="G635" i="3"/>
  <c r="E635" i="3"/>
  <c r="D635" i="3"/>
  <c r="C635" i="3"/>
  <c r="B635" i="3"/>
  <c r="A635" i="3"/>
  <c r="G634" i="3"/>
  <c r="E634" i="3"/>
  <c r="D634" i="3"/>
  <c r="C634" i="3"/>
  <c r="B634" i="3"/>
  <c r="A634" i="3"/>
  <c r="G633" i="3"/>
  <c r="E633" i="3"/>
  <c r="D633" i="3"/>
  <c r="C633" i="3"/>
  <c r="B633" i="3"/>
  <c r="A633" i="3"/>
  <c r="G632" i="3"/>
  <c r="E632" i="3"/>
  <c r="D632" i="3"/>
  <c r="C632" i="3"/>
  <c r="B632" i="3"/>
  <c r="A632" i="3"/>
  <c r="G631" i="3"/>
  <c r="E631" i="3"/>
  <c r="D631" i="3"/>
  <c r="C631" i="3"/>
  <c r="B631" i="3"/>
  <c r="A631" i="3"/>
  <c r="G630" i="3"/>
  <c r="E630" i="3"/>
  <c r="D630" i="3"/>
  <c r="C630" i="3"/>
  <c r="B630" i="3"/>
  <c r="A630" i="3"/>
  <c r="G629" i="3"/>
  <c r="E629" i="3"/>
  <c r="D629" i="3"/>
  <c r="C629" i="3"/>
  <c r="B629" i="3"/>
  <c r="A629" i="3"/>
  <c r="G628" i="3"/>
  <c r="E628" i="3"/>
  <c r="D628" i="3"/>
  <c r="C628" i="3"/>
  <c r="B628" i="3"/>
  <c r="A628" i="3"/>
  <c r="G627" i="3"/>
  <c r="E627" i="3"/>
  <c r="D627" i="3"/>
  <c r="C627" i="3"/>
  <c r="B627" i="3"/>
  <c r="A627" i="3"/>
  <c r="G626" i="3"/>
  <c r="E626" i="3"/>
  <c r="D626" i="3"/>
  <c r="C626" i="3"/>
  <c r="B626" i="3"/>
  <c r="A626" i="3"/>
  <c r="G625" i="3"/>
  <c r="E625" i="3"/>
  <c r="D625" i="3"/>
  <c r="C625" i="3"/>
  <c r="B625" i="3"/>
  <c r="A625" i="3"/>
  <c r="G624" i="3"/>
  <c r="E624" i="3"/>
  <c r="D624" i="3"/>
  <c r="C624" i="3"/>
  <c r="B624" i="3"/>
  <c r="A624" i="3"/>
  <c r="G623" i="3"/>
  <c r="E623" i="3"/>
  <c r="D623" i="3"/>
  <c r="C623" i="3"/>
  <c r="B623" i="3"/>
  <c r="A623" i="3"/>
  <c r="G622" i="3"/>
  <c r="E622" i="3"/>
  <c r="D622" i="3"/>
  <c r="C622" i="3"/>
  <c r="B622" i="3"/>
  <c r="A622" i="3"/>
  <c r="G621" i="3"/>
  <c r="E621" i="3"/>
  <c r="D621" i="3"/>
  <c r="C621" i="3"/>
  <c r="B621" i="3"/>
  <c r="A621" i="3"/>
  <c r="G620" i="3"/>
  <c r="E620" i="3"/>
  <c r="D620" i="3"/>
  <c r="C620" i="3"/>
  <c r="B620" i="3"/>
  <c r="A620" i="3"/>
  <c r="G619" i="3"/>
  <c r="E619" i="3"/>
  <c r="D619" i="3"/>
  <c r="C619" i="3"/>
  <c r="B619" i="3"/>
  <c r="A619" i="3"/>
  <c r="G618" i="3"/>
  <c r="E618" i="3"/>
  <c r="D618" i="3"/>
  <c r="C618" i="3"/>
  <c r="B618" i="3"/>
  <c r="A618" i="3"/>
  <c r="G617" i="3"/>
  <c r="E617" i="3"/>
  <c r="D617" i="3"/>
  <c r="C617" i="3"/>
  <c r="B617" i="3"/>
  <c r="A617" i="3"/>
  <c r="G616" i="3"/>
  <c r="E616" i="3"/>
  <c r="D616" i="3"/>
  <c r="C616" i="3"/>
  <c r="B616" i="3"/>
  <c r="A616" i="3"/>
  <c r="G615" i="3"/>
  <c r="E615" i="3"/>
  <c r="D615" i="3"/>
  <c r="C615" i="3"/>
  <c r="B615" i="3"/>
  <c r="A615" i="3"/>
  <c r="G614" i="3"/>
  <c r="E614" i="3"/>
  <c r="D614" i="3"/>
  <c r="C614" i="3"/>
  <c r="B614" i="3"/>
  <c r="A614" i="3"/>
  <c r="G613" i="3"/>
  <c r="E613" i="3"/>
  <c r="D613" i="3"/>
  <c r="C613" i="3"/>
  <c r="B613" i="3"/>
  <c r="A613" i="3"/>
  <c r="G612" i="3"/>
  <c r="E612" i="3"/>
  <c r="D612" i="3"/>
  <c r="C612" i="3"/>
  <c r="B612" i="3"/>
  <c r="A612" i="3"/>
  <c r="G611" i="3"/>
  <c r="E611" i="3"/>
  <c r="D611" i="3"/>
  <c r="C611" i="3"/>
  <c r="B611" i="3"/>
  <c r="A611" i="3"/>
  <c r="G610" i="3"/>
  <c r="E610" i="3"/>
  <c r="D610" i="3"/>
  <c r="C610" i="3"/>
  <c r="B610" i="3"/>
  <c r="A610" i="3"/>
  <c r="G609" i="3"/>
  <c r="E609" i="3"/>
  <c r="D609" i="3"/>
  <c r="C609" i="3"/>
  <c r="B609" i="3"/>
  <c r="A609" i="3"/>
  <c r="G608" i="3"/>
  <c r="E608" i="3"/>
  <c r="D608" i="3"/>
  <c r="C608" i="3"/>
  <c r="B608" i="3"/>
  <c r="A608" i="3"/>
  <c r="G607" i="3"/>
  <c r="E607" i="3"/>
  <c r="D607" i="3"/>
  <c r="C607" i="3"/>
  <c r="B607" i="3"/>
  <c r="A607" i="3"/>
  <c r="G606" i="3"/>
  <c r="E606" i="3"/>
  <c r="D606" i="3"/>
  <c r="C606" i="3"/>
  <c r="B606" i="3"/>
  <c r="A606" i="3"/>
  <c r="G605" i="3"/>
  <c r="E605" i="3"/>
  <c r="D605" i="3"/>
  <c r="C605" i="3"/>
  <c r="B605" i="3"/>
  <c r="A605" i="3"/>
  <c r="G604" i="3"/>
  <c r="E604" i="3"/>
  <c r="D604" i="3"/>
  <c r="C604" i="3"/>
  <c r="B604" i="3"/>
  <c r="A604" i="3"/>
  <c r="G603" i="3"/>
  <c r="E603" i="3"/>
  <c r="D603" i="3"/>
  <c r="C603" i="3"/>
  <c r="B603" i="3"/>
  <c r="A603" i="3"/>
  <c r="G602" i="3"/>
  <c r="E602" i="3"/>
  <c r="D602" i="3"/>
  <c r="C602" i="3"/>
  <c r="B602" i="3"/>
  <c r="A602" i="3"/>
  <c r="G601" i="3"/>
  <c r="E601" i="3"/>
  <c r="D601" i="3"/>
  <c r="C601" i="3"/>
  <c r="H601" i="3" s="1"/>
  <c r="B601" i="3"/>
  <c r="A601" i="3"/>
  <c r="G600" i="3"/>
  <c r="E600" i="3"/>
  <c r="D600" i="3"/>
  <c r="C600" i="3"/>
  <c r="H600" i="3" s="1"/>
  <c r="B600" i="3"/>
  <c r="A600" i="3"/>
  <c r="G599" i="3"/>
  <c r="E599" i="3"/>
  <c r="D599" i="3"/>
  <c r="C599" i="3"/>
  <c r="H599" i="3" s="1"/>
  <c r="B599" i="3"/>
  <c r="A599" i="3"/>
  <c r="G598" i="3"/>
  <c r="E598" i="3"/>
  <c r="D598" i="3"/>
  <c r="C598" i="3"/>
  <c r="H598" i="3" s="1"/>
  <c r="B598" i="3"/>
  <c r="A598" i="3"/>
  <c r="G597" i="3"/>
  <c r="E597" i="3"/>
  <c r="D597" i="3"/>
  <c r="C597" i="3"/>
  <c r="H597" i="3" s="1"/>
  <c r="B597" i="3"/>
  <c r="A597" i="3"/>
  <c r="G596" i="3"/>
  <c r="E596" i="3"/>
  <c r="D596" i="3"/>
  <c r="C596" i="3"/>
  <c r="H596" i="3" s="1"/>
  <c r="B596" i="3"/>
  <c r="A596" i="3"/>
  <c r="G595" i="3"/>
  <c r="E595" i="3"/>
  <c r="D595" i="3"/>
  <c r="C595" i="3"/>
  <c r="H595" i="3" s="1"/>
  <c r="B595" i="3"/>
  <c r="A595" i="3"/>
  <c r="G594" i="3"/>
  <c r="E594" i="3"/>
  <c r="D594" i="3"/>
  <c r="C594" i="3"/>
  <c r="H594" i="3" s="1"/>
  <c r="B594" i="3"/>
  <c r="A594" i="3"/>
  <c r="G593" i="3"/>
  <c r="E593" i="3"/>
  <c r="D593" i="3"/>
  <c r="C593" i="3"/>
  <c r="H593" i="3" s="1"/>
  <c r="B593" i="3"/>
  <c r="A593" i="3"/>
  <c r="G592" i="3"/>
  <c r="E592" i="3"/>
  <c r="D592" i="3"/>
  <c r="C592" i="3"/>
  <c r="H592" i="3" s="1"/>
  <c r="B592" i="3"/>
  <c r="A592" i="3"/>
  <c r="G591" i="3"/>
  <c r="E591" i="3"/>
  <c r="D591" i="3"/>
  <c r="C591" i="3"/>
  <c r="H591" i="3" s="1"/>
  <c r="B591" i="3"/>
  <c r="A591" i="3"/>
  <c r="G590" i="3"/>
  <c r="E590" i="3"/>
  <c r="D590" i="3"/>
  <c r="C590" i="3"/>
  <c r="H590" i="3" s="1"/>
  <c r="B590" i="3"/>
  <c r="A590" i="3"/>
  <c r="G589" i="3"/>
  <c r="E589" i="3"/>
  <c r="D589" i="3"/>
  <c r="C589" i="3"/>
  <c r="H589" i="3" s="1"/>
  <c r="B589" i="3"/>
  <c r="A589" i="3"/>
  <c r="G588" i="3"/>
  <c r="E588" i="3"/>
  <c r="D588" i="3"/>
  <c r="C588" i="3"/>
  <c r="H588" i="3" s="1"/>
  <c r="B588" i="3"/>
  <c r="A588" i="3"/>
  <c r="G587" i="3"/>
  <c r="E587" i="3"/>
  <c r="D587" i="3"/>
  <c r="C587" i="3"/>
  <c r="H587" i="3" s="1"/>
  <c r="B587" i="3"/>
  <c r="A587" i="3"/>
  <c r="G586" i="3"/>
  <c r="E586" i="3"/>
  <c r="D586" i="3"/>
  <c r="C586" i="3"/>
  <c r="H586" i="3" s="1"/>
  <c r="B586" i="3"/>
  <c r="A586" i="3"/>
  <c r="G585" i="3"/>
  <c r="E585" i="3"/>
  <c r="D585" i="3"/>
  <c r="C585" i="3"/>
  <c r="H585" i="3" s="1"/>
  <c r="B585" i="3"/>
  <c r="A585" i="3"/>
  <c r="G584" i="3"/>
  <c r="E584" i="3"/>
  <c r="D584" i="3"/>
  <c r="C584" i="3"/>
  <c r="H584" i="3" s="1"/>
  <c r="B584" i="3"/>
  <c r="A584" i="3"/>
  <c r="G583" i="3"/>
  <c r="E583" i="3"/>
  <c r="D583" i="3"/>
  <c r="C583" i="3"/>
  <c r="H583" i="3" s="1"/>
  <c r="B583" i="3"/>
  <c r="A583" i="3"/>
  <c r="G582" i="3"/>
  <c r="E582" i="3"/>
  <c r="D582" i="3"/>
  <c r="C582" i="3"/>
  <c r="H582" i="3" s="1"/>
  <c r="B582" i="3"/>
  <c r="A582" i="3"/>
  <c r="G581" i="3"/>
  <c r="E581" i="3"/>
  <c r="D581" i="3"/>
  <c r="C581" i="3"/>
  <c r="H581" i="3" s="1"/>
  <c r="B581" i="3"/>
  <c r="A581" i="3"/>
  <c r="G580" i="3"/>
  <c r="E580" i="3"/>
  <c r="D580" i="3"/>
  <c r="C580" i="3"/>
  <c r="H580" i="3" s="1"/>
  <c r="B580" i="3"/>
  <c r="A580" i="3"/>
  <c r="G579" i="3"/>
  <c r="E579" i="3"/>
  <c r="D579" i="3"/>
  <c r="C579" i="3"/>
  <c r="H579" i="3" s="1"/>
  <c r="B579" i="3"/>
  <c r="A579" i="3"/>
  <c r="G578" i="3"/>
  <c r="E578" i="3"/>
  <c r="D578" i="3"/>
  <c r="C578" i="3"/>
  <c r="H578" i="3" s="1"/>
  <c r="B578" i="3"/>
  <c r="A578" i="3"/>
  <c r="G577" i="3"/>
  <c r="E577" i="3"/>
  <c r="D577" i="3"/>
  <c r="C577" i="3"/>
  <c r="H577" i="3" s="1"/>
  <c r="B577" i="3"/>
  <c r="A577" i="3"/>
  <c r="G576" i="3"/>
  <c r="E576" i="3"/>
  <c r="D576" i="3"/>
  <c r="C576" i="3"/>
  <c r="H576" i="3" s="1"/>
  <c r="B576" i="3"/>
  <c r="A576" i="3"/>
  <c r="G575" i="3"/>
  <c r="E575" i="3"/>
  <c r="D575" i="3"/>
  <c r="C575" i="3"/>
  <c r="H575" i="3" s="1"/>
  <c r="B575" i="3"/>
  <c r="A575" i="3"/>
  <c r="G574" i="3"/>
  <c r="E574" i="3"/>
  <c r="D574" i="3"/>
  <c r="C574" i="3"/>
  <c r="H574" i="3" s="1"/>
  <c r="B574" i="3"/>
  <c r="A574" i="3"/>
  <c r="G573" i="3"/>
  <c r="E573" i="3"/>
  <c r="D573" i="3"/>
  <c r="C573" i="3"/>
  <c r="H573" i="3" s="1"/>
  <c r="B573" i="3"/>
  <c r="A573" i="3"/>
  <c r="G572" i="3"/>
  <c r="E572" i="3"/>
  <c r="D572" i="3"/>
  <c r="C572" i="3"/>
  <c r="H572" i="3" s="1"/>
  <c r="B572" i="3"/>
  <c r="A572" i="3"/>
  <c r="G571" i="3"/>
  <c r="E571" i="3"/>
  <c r="D571" i="3"/>
  <c r="C571" i="3"/>
  <c r="H571" i="3" s="1"/>
  <c r="B571" i="3"/>
  <c r="A571" i="3"/>
  <c r="G570" i="3"/>
  <c r="E570" i="3"/>
  <c r="D570" i="3"/>
  <c r="C570" i="3"/>
  <c r="H570" i="3" s="1"/>
  <c r="B570" i="3"/>
  <c r="A570" i="3"/>
  <c r="G569" i="3"/>
  <c r="E569" i="3"/>
  <c r="D569" i="3"/>
  <c r="C569" i="3"/>
  <c r="H569" i="3" s="1"/>
  <c r="B569" i="3"/>
  <c r="A569" i="3"/>
  <c r="G568" i="3"/>
  <c r="E568" i="3"/>
  <c r="D568" i="3"/>
  <c r="C568" i="3"/>
  <c r="H568" i="3" s="1"/>
  <c r="B568" i="3"/>
  <c r="A568" i="3"/>
  <c r="G567" i="3"/>
  <c r="E567" i="3"/>
  <c r="D567" i="3"/>
  <c r="C567" i="3"/>
  <c r="H567" i="3" s="1"/>
  <c r="B567" i="3"/>
  <c r="A567" i="3"/>
  <c r="G566" i="3"/>
  <c r="E566" i="3"/>
  <c r="D566" i="3"/>
  <c r="C566" i="3"/>
  <c r="H566" i="3" s="1"/>
  <c r="B566" i="3"/>
  <c r="A566" i="3"/>
  <c r="G565" i="3"/>
  <c r="E565" i="3"/>
  <c r="D565" i="3"/>
  <c r="C565" i="3"/>
  <c r="H565" i="3" s="1"/>
  <c r="B565" i="3"/>
  <c r="A565" i="3"/>
  <c r="G564" i="3"/>
  <c r="E564" i="3"/>
  <c r="D564" i="3"/>
  <c r="C564" i="3"/>
  <c r="H564" i="3" s="1"/>
  <c r="B564" i="3"/>
  <c r="A564" i="3"/>
  <c r="G563" i="3"/>
  <c r="E563" i="3"/>
  <c r="D563" i="3"/>
  <c r="C563" i="3"/>
  <c r="H563" i="3" s="1"/>
  <c r="B563" i="3"/>
  <c r="A563" i="3"/>
  <c r="G562" i="3"/>
  <c r="E562" i="3"/>
  <c r="D562" i="3"/>
  <c r="C562" i="3"/>
  <c r="H562" i="3" s="1"/>
  <c r="B562" i="3"/>
  <c r="A562" i="3"/>
  <c r="G561" i="3"/>
  <c r="E561" i="3"/>
  <c r="D561" i="3"/>
  <c r="C561" i="3"/>
  <c r="H561" i="3" s="1"/>
  <c r="B561" i="3"/>
  <c r="A561" i="3"/>
  <c r="G560" i="3"/>
  <c r="E560" i="3"/>
  <c r="D560" i="3"/>
  <c r="C560" i="3"/>
  <c r="H560" i="3" s="1"/>
  <c r="B560" i="3"/>
  <c r="A560" i="3"/>
  <c r="G559" i="3"/>
  <c r="E559" i="3"/>
  <c r="D559" i="3"/>
  <c r="C559" i="3"/>
  <c r="H559" i="3" s="1"/>
  <c r="B559" i="3"/>
  <c r="A559" i="3"/>
  <c r="G558" i="3"/>
  <c r="E558" i="3"/>
  <c r="D558" i="3"/>
  <c r="C558" i="3"/>
  <c r="H558" i="3" s="1"/>
  <c r="B558" i="3"/>
  <c r="A558" i="3"/>
  <c r="G557" i="3"/>
  <c r="E557" i="3"/>
  <c r="D557" i="3"/>
  <c r="C557" i="3"/>
  <c r="H557" i="3" s="1"/>
  <c r="B557" i="3"/>
  <c r="A557" i="3"/>
  <c r="G556" i="3"/>
  <c r="E556" i="3"/>
  <c r="D556" i="3"/>
  <c r="C556" i="3"/>
  <c r="H556" i="3" s="1"/>
  <c r="B556" i="3"/>
  <c r="A556" i="3"/>
  <c r="G555" i="3"/>
  <c r="E555" i="3"/>
  <c r="D555" i="3"/>
  <c r="C555" i="3"/>
  <c r="H555" i="3" s="1"/>
  <c r="B555" i="3"/>
  <c r="A555" i="3"/>
  <c r="G554" i="3"/>
  <c r="E554" i="3"/>
  <c r="D554" i="3"/>
  <c r="C554" i="3"/>
  <c r="H554" i="3" s="1"/>
  <c r="B554" i="3"/>
  <c r="A554" i="3"/>
  <c r="G553" i="3"/>
  <c r="E553" i="3"/>
  <c r="D553" i="3"/>
  <c r="C553" i="3"/>
  <c r="H553" i="3" s="1"/>
  <c r="B553" i="3"/>
  <c r="A553" i="3"/>
  <c r="G552" i="3"/>
  <c r="E552" i="3"/>
  <c r="D552" i="3"/>
  <c r="C552" i="3"/>
  <c r="H552" i="3" s="1"/>
  <c r="B552" i="3"/>
  <c r="A552" i="3"/>
  <c r="G551" i="3"/>
  <c r="E551" i="3"/>
  <c r="D551" i="3"/>
  <c r="C551" i="3"/>
  <c r="H551" i="3" s="1"/>
  <c r="B551" i="3"/>
  <c r="A551" i="3"/>
  <c r="G550" i="3"/>
  <c r="E550" i="3"/>
  <c r="D550" i="3"/>
  <c r="C550" i="3"/>
  <c r="H550" i="3" s="1"/>
  <c r="B550" i="3"/>
  <c r="A550" i="3"/>
  <c r="G549" i="3"/>
  <c r="E549" i="3"/>
  <c r="D549" i="3"/>
  <c r="C549" i="3"/>
  <c r="H549" i="3" s="1"/>
  <c r="B549" i="3"/>
  <c r="A549" i="3"/>
  <c r="G548" i="3"/>
  <c r="E548" i="3"/>
  <c r="D548" i="3"/>
  <c r="C548" i="3"/>
  <c r="H548" i="3" s="1"/>
  <c r="B548" i="3"/>
  <c r="A548" i="3"/>
  <c r="G547" i="3"/>
  <c r="E547" i="3"/>
  <c r="D547" i="3"/>
  <c r="C547" i="3"/>
  <c r="H547" i="3" s="1"/>
  <c r="B547" i="3"/>
  <c r="A547" i="3"/>
  <c r="G546" i="3"/>
  <c r="E546" i="3"/>
  <c r="D546" i="3"/>
  <c r="C546" i="3"/>
  <c r="H546" i="3" s="1"/>
  <c r="B546" i="3"/>
  <c r="A546" i="3"/>
  <c r="G545" i="3"/>
  <c r="E545" i="3"/>
  <c r="D545" i="3"/>
  <c r="C545" i="3"/>
  <c r="H545" i="3" s="1"/>
  <c r="B545" i="3"/>
  <c r="A545" i="3"/>
  <c r="G544" i="3"/>
  <c r="E544" i="3"/>
  <c r="D544" i="3"/>
  <c r="C544" i="3"/>
  <c r="H544" i="3" s="1"/>
  <c r="B544" i="3"/>
  <c r="A544" i="3"/>
  <c r="G543" i="3"/>
  <c r="E543" i="3"/>
  <c r="D543" i="3"/>
  <c r="C543" i="3"/>
  <c r="H543" i="3" s="1"/>
  <c r="B543" i="3"/>
  <c r="A543" i="3"/>
  <c r="G542" i="3"/>
  <c r="E542" i="3"/>
  <c r="D542" i="3"/>
  <c r="C542" i="3"/>
  <c r="H542" i="3" s="1"/>
  <c r="B542" i="3"/>
  <c r="A542" i="3"/>
  <c r="G541" i="3"/>
  <c r="E541" i="3"/>
  <c r="D541" i="3"/>
  <c r="C541" i="3"/>
  <c r="H541" i="3" s="1"/>
  <c r="B541" i="3"/>
  <c r="A541" i="3"/>
  <c r="G540" i="3"/>
  <c r="E540" i="3"/>
  <c r="D540" i="3"/>
  <c r="C540" i="3"/>
  <c r="H540" i="3" s="1"/>
  <c r="B540" i="3"/>
  <c r="A540" i="3"/>
  <c r="G539" i="3"/>
  <c r="E539" i="3"/>
  <c r="D539" i="3"/>
  <c r="C539" i="3"/>
  <c r="H539" i="3" s="1"/>
  <c r="B539" i="3"/>
  <c r="A539" i="3"/>
  <c r="G538" i="3"/>
  <c r="E538" i="3"/>
  <c r="D538" i="3"/>
  <c r="C538" i="3"/>
  <c r="H538" i="3" s="1"/>
  <c r="B538" i="3"/>
  <c r="A538" i="3"/>
  <c r="G537" i="3"/>
  <c r="E537" i="3"/>
  <c r="D537" i="3"/>
  <c r="C537" i="3"/>
  <c r="H537" i="3" s="1"/>
  <c r="B537" i="3"/>
  <c r="A537" i="3"/>
  <c r="G536" i="3"/>
  <c r="E536" i="3"/>
  <c r="D536" i="3"/>
  <c r="C536" i="3"/>
  <c r="H536" i="3" s="1"/>
  <c r="B536" i="3"/>
  <c r="A536" i="3"/>
  <c r="G535" i="3"/>
  <c r="E535" i="3"/>
  <c r="D535" i="3"/>
  <c r="C535" i="3"/>
  <c r="H535" i="3" s="1"/>
  <c r="B535" i="3"/>
  <c r="A535" i="3"/>
  <c r="G534" i="3"/>
  <c r="E534" i="3"/>
  <c r="D534" i="3"/>
  <c r="C534" i="3"/>
  <c r="H534" i="3" s="1"/>
  <c r="B534" i="3"/>
  <c r="A534" i="3"/>
  <c r="G533" i="3"/>
  <c r="E533" i="3"/>
  <c r="D533" i="3"/>
  <c r="C533" i="3"/>
  <c r="H533" i="3" s="1"/>
  <c r="B533" i="3"/>
  <c r="A533" i="3"/>
  <c r="G532" i="3"/>
  <c r="E532" i="3"/>
  <c r="D532" i="3"/>
  <c r="C532" i="3"/>
  <c r="H532" i="3" s="1"/>
  <c r="B532" i="3"/>
  <c r="A532" i="3"/>
  <c r="G531" i="3"/>
  <c r="E531" i="3"/>
  <c r="D531" i="3"/>
  <c r="C531" i="3"/>
  <c r="H531" i="3" s="1"/>
  <c r="B531" i="3"/>
  <c r="A531" i="3"/>
  <c r="G530" i="3"/>
  <c r="E530" i="3"/>
  <c r="D530" i="3"/>
  <c r="C530" i="3"/>
  <c r="H530" i="3" s="1"/>
  <c r="B530" i="3"/>
  <c r="A530" i="3"/>
  <c r="G529" i="3"/>
  <c r="E529" i="3"/>
  <c r="D529" i="3"/>
  <c r="C529" i="3"/>
  <c r="H529" i="3" s="1"/>
  <c r="B529" i="3"/>
  <c r="A529" i="3"/>
  <c r="G528" i="3"/>
  <c r="E528" i="3"/>
  <c r="D528" i="3"/>
  <c r="C528" i="3"/>
  <c r="H528" i="3" s="1"/>
  <c r="B528" i="3"/>
  <c r="A528" i="3"/>
  <c r="G527" i="3"/>
  <c r="E527" i="3"/>
  <c r="D527" i="3"/>
  <c r="C527" i="3"/>
  <c r="H527" i="3" s="1"/>
  <c r="B527" i="3"/>
  <c r="A527" i="3"/>
  <c r="G526" i="3"/>
  <c r="E526" i="3"/>
  <c r="D526" i="3"/>
  <c r="C526" i="3"/>
  <c r="H526" i="3" s="1"/>
  <c r="B526" i="3"/>
  <c r="A526" i="3"/>
  <c r="G525" i="3"/>
  <c r="E525" i="3"/>
  <c r="D525" i="3"/>
  <c r="C525" i="3"/>
  <c r="B525" i="3"/>
  <c r="A525" i="3"/>
  <c r="G524" i="3"/>
  <c r="E524" i="3"/>
  <c r="D524" i="3"/>
  <c r="C524" i="3"/>
  <c r="B524" i="3"/>
  <c r="A524" i="3"/>
  <c r="G523" i="3"/>
  <c r="E523" i="3"/>
  <c r="D523" i="3"/>
  <c r="C523" i="3"/>
  <c r="B523" i="3"/>
  <c r="A523" i="3"/>
  <c r="G522" i="3"/>
  <c r="E522" i="3"/>
  <c r="D522" i="3"/>
  <c r="C522" i="3"/>
  <c r="B522" i="3"/>
  <c r="A522" i="3"/>
  <c r="G521" i="3"/>
  <c r="E521" i="3"/>
  <c r="D521" i="3"/>
  <c r="C521" i="3"/>
  <c r="B521" i="3"/>
  <c r="A521" i="3"/>
  <c r="G520" i="3"/>
  <c r="E520" i="3"/>
  <c r="D520" i="3"/>
  <c r="C520" i="3"/>
  <c r="B520" i="3"/>
  <c r="A520" i="3"/>
  <c r="G519" i="3"/>
  <c r="E519" i="3"/>
  <c r="D519" i="3"/>
  <c r="C519" i="3"/>
  <c r="B519" i="3"/>
  <c r="A519" i="3"/>
  <c r="G518" i="3"/>
  <c r="E518" i="3"/>
  <c r="D518" i="3"/>
  <c r="C518" i="3"/>
  <c r="B518" i="3"/>
  <c r="A518" i="3"/>
  <c r="G517" i="3"/>
  <c r="E517" i="3"/>
  <c r="D517" i="3"/>
  <c r="C517" i="3"/>
  <c r="B517" i="3"/>
  <c r="A517" i="3"/>
  <c r="G516" i="3"/>
  <c r="E516" i="3"/>
  <c r="D516" i="3"/>
  <c r="C516" i="3"/>
  <c r="B516" i="3"/>
  <c r="A516" i="3"/>
  <c r="G515" i="3"/>
  <c r="E515" i="3"/>
  <c r="D515" i="3"/>
  <c r="C515" i="3"/>
  <c r="B515" i="3"/>
  <c r="A515" i="3"/>
  <c r="G514" i="3"/>
  <c r="E514" i="3"/>
  <c r="D514" i="3"/>
  <c r="C514" i="3"/>
  <c r="B514" i="3"/>
  <c r="A514" i="3"/>
  <c r="G513" i="3"/>
  <c r="E513" i="3"/>
  <c r="D513" i="3"/>
  <c r="C513" i="3"/>
  <c r="B513" i="3"/>
  <c r="A513" i="3"/>
  <c r="G512" i="3"/>
  <c r="E512" i="3"/>
  <c r="D512" i="3"/>
  <c r="C512" i="3"/>
  <c r="B512" i="3"/>
  <c r="A512" i="3"/>
  <c r="G511" i="3"/>
  <c r="E511" i="3"/>
  <c r="D511" i="3"/>
  <c r="C511" i="3"/>
  <c r="B511" i="3"/>
  <c r="A511" i="3"/>
  <c r="G510" i="3"/>
  <c r="E510" i="3"/>
  <c r="D510" i="3"/>
  <c r="C510" i="3"/>
  <c r="B510" i="3"/>
  <c r="A510" i="3"/>
  <c r="G509" i="3"/>
  <c r="E509" i="3"/>
  <c r="D509" i="3"/>
  <c r="C509" i="3"/>
  <c r="B509" i="3"/>
  <c r="A509" i="3"/>
  <c r="G508" i="3"/>
  <c r="E508" i="3"/>
  <c r="D508" i="3"/>
  <c r="C508" i="3"/>
  <c r="B508" i="3"/>
  <c r="A508" i="3"/>
  <c r="G507" i="3"/>
  <c r="E507" i="3"/>
  <c r="D507" i="3"/>
  <c r="C507" i="3"/>
  <c r="B507" i="3"/>
  <c r="A507" i="3"/>
  <c r="G506" i="3"/>
  <c r="E506" i="3"/>
  <c r="D506" i="3"/>
  <c r="C506" i="3"/>
  <c r="B506" i="3"/>
  <c r="A506" i="3"/>
  <c r="G505" i="3"/>
  <c r="E505" i="3"/>
  <c r="D505" i="3"/>
  <c r="C505" i="3"/>
  <c r="B505" i="3"/>
  <c r="A505" i="3"/>
  <c r="G504" i="3"/>
  <c r="E504" i="3"/>
  <c r="D504" i="3"/>
  <c r="C504" i="3"/>
  <c r="B504" i="3"/>
  <c r="A504" i="3"/>
  <c r="G503" i="3"/>
  <c r="E503" i="3"/>
  <c r="D503" i="3"/>
  <c r="C503" i="3"/>
  <c r="B503" i="3"/>
  <c r="A503" i="3"/>
  <c r="G502" i="3"/>
  <c r="E502" i="3"/>
  <c r="D502" i="3"/>
  <c r="C502" i="3"/>
  <c r="B502" i="3"/>
  <c r="A502" i="3"/>
  <c r="G501" i="3"/>
  <c r="E501" i="3"/>
  <c r="D501" i="3"/>
  <c r="C501" i="3"/>
  <c r="B501" i="3"/>
  <c r="A501" i="3"/>
  <c r="G500" i="3"/>
  <c r="E500" i="3"/>
  <c r="D500" i="3"/>
  <c r="C500" i="3"/>
  <c r="B500" i="3"/>
  <c r="A500" i="3"/>
  <c r="G499" i="3"/>
  <c r="E499" i="3"/>
  <c r="D499" i="3"/>
  <c r="C499" i="3"/>
  <c r="B499" i="3"/>
  <c r="A499" i="3"/>
  <c r="G498" i="3"/>
  <c r="E498" i="3"/>
  <c r="D498" i="3"/>
  <c r="C498" i="3"/>
  <c r="B498" i="3"/>
  <c r="A498" i="3"/>
  <c r="G497" i="3"/>
  <c r="E497" i="3"/>
  <c r="D497" i="3"/>
  <c r="C497" i="3"/>
  <c r="B497" i="3"/>
  <c r="A497" i="3"/>
  <c r="G496" i="3"/>
  <c r="E496" i="3"/>
  <c r="D496" i="3"/>
  <c r="C496" i="3"/>
  <c r="B496" i="3"/>
  <c r="A496" i="3"/>
  <c r="G495" i="3"/>
  <c r="E495" i="3"/>
  <c r="D495" i="3"/>
  <c r="C495" i="3"/>
  <c r="B495" i="3"/>
  <c r="A495" i="3"/>
  <c r="G494" i="3"/>
  <c r="E494" i="3"/>
  <c r="D494" i="3"/>
  <c r="C494" i="3"/>
  <c r="B494" i="3"/>
  <c r="A494" i="3"/>
  <c r="G493" i="3"/>
  <c r="E493" i="3"/>
  <c r="D493" i="3"/>
  <c r="C493" i="3"/>
  <c r="B493" i="3"/>
  <c r="A493" i="3"/>
  <c r="G492" i="3"/>
  <c r="E492" i="3"/>
  <c r="D492" i="3"/>
  <c r="C492" i="3"/>
  <c r="B492" i="3"/>
  <c r="A492" i="3"/>
  <c r="G491" i="3"/>
  <c r="E491" i="3"/>
  <c r="D491" i="3"/>
  <c r="C491" i="3"/>
  <c r="B491" i="3"/>
  <c r="A491" i="3"/>
  <c r="G490" i="3"/>
  <c r="E490" i="3"/>
  <c r="D490" i="3"/>
  <c r="C490" i="3"/>
  <c r="B490" i="3"/>
  <c r="A490" i="3"/>
  <c r="G489" i="3"/>
  <c r="E489" i="3"/>
  <c r="D489" i="3"/>
  <c r="C489" i="3"/>
  <c r="B489" i="3"/>
  <c r="A489" i="3"/>
  <c r="G488" i="3"/>
  <c r="E488" i="3"/>
  <c r="D488" i="3"/>
  <c r="C488" i="3"/>
  <c r="B488" i="3"/>
  <c r="A488" i="3"/>
  <c r="G487" i="3"/>
  <c r="E487" i="3"/>
  <c r="D487" i="3"/>
  <c r="C487" i="3"/>
  <c r="B487" i="3"/>
  <c r="A487" i="3"/>
  <c r="G486" i="3"/>
  <c r="E486" i="3"/>
  <c r="D486" i="3"/>
  <c r="C486" i="3"/>
  <c r="B486" i="3"/>
  <c r="A486" i="3"/>
  <c r="G485" i="3"/>
  <c r="E485" i="3"/>
  <c r="D485" i="3"/>
  <c r="C485" i="3"/>
  <c r="B485" i="3"/>
  <c r="A485" i="3"/>
  <c r="G484" i="3"/>
  <c r="E484" i="3"/>
  <c r="D484" i="3"/>
  <c r="C484" i="3"/>
  <c r="B484" i="3"/>
  <c r="A484" i="3"/>
  <c r="G483" i="3"/>
  <c r="E483" i="3"/>
  <c r="D483" i="3"/>
  <c r="C483" i="3"/>
  <c r="B483" i="3"/>
  <c r="A483" i="3"/>
  <c r="G482" i="3"/>
  <c r="E482" i="3"/>
  <c r="D482" i="3"/>
  <c r="C482" i="3"/>
  <c r="B482" i="3"/>
  <c r="A482" i="3"/>
  <c r="G481" i="3"/>
  <c r="E481" i="3"/>
  <c r="D481" i="3"/>
  <c r="C481" i="3"/>
  <c r="B481" i="3"/>
  <c r="A481" i="3"/>
  <c r="G480" i="3"/>
  <c r="E480" i="3"/>
  <c r="D480" i="3"/>
  <c r="C480" i="3"/>
  <c r="B480" i="3"/>
  <c r="A480" i="3"/>
  <c r="G479" i="3"/>
  <c r="E479" i="3"/>
  <c r="D479" i="3"/>
  <c r="C479" i="3"/>
  <c r="B479" i="3"/>
  <c r="A479" i="3"/>
  <c r="G478" i="3"/>
  <c r="E478" i="3"/>
  <c r="D478" i="3"/>
  <c r="C478" i="3"/>
  <c r="B478" i="3"/>
  <c r="A478" i="3"/>
  <c r="G477" i="3"/>
  <c r="E477" i="3"/>
  <c r="D477" i="3"/>
  <c r="C477" i="3"/>
  <c r="B477" i="3"/>
  <c r="A477" i="3"/>
  <c r="G476" i="3"/>
  <c r="E476" i="3"/>
  <c r="D476" i="3"/>
  <c r="C476" i="3"/>
  <c r="B476" i="3"/>
  <c r="A476" i="3"/>
  <c r="G475" i="3"/>
  <c r="E475" i="3"/>
  <c r="D475" i="3"/>
  <c r="C475" i="3"/>
  <c r="B475" i="3"/>
  <c r="A475" i="3"/>
  <c r="G474" i="3"/>
  <c r="E474" i="3"/>
  <c r="D474" i="3"/>
  <c r="C474" i="3"/>
  <c r="B474" i="3"/>
  <c r="A474" i="3"/>
  <c r="G473" i="3"/>
  <c r="E473" i="3"/>
  <c r="D473" i="3"/>
  <c r="C473" i="3"/>
  <c r="B473" i="3"/>
  <c r="A473" i="3"/>
  <c r="G472" i="3"/>
  <c r="E472" i="3"/>
  <c r="D472" i="3"/>
  <c r="C472" i="3"/>
  <c r="B472" i="3"/>
  <c r="A472" i="3"/>
  <c r="G471" i="3"/>
  <c r="E471" i="3"/>
  <c r="D471" i="3"/>
  <c r="C471" i="3"/>
  <c r="B471" i="3"/>
  <c r="A471" i="3"/>
  <c r="G470" i="3"/>
  <c r="E470" i="3"/>
  <c r="D470" i="3"/>
  <c r="C470" i="3"/>
  <c r="B470" i="3"/>
  <c r="A470" i="3"/>
  <c r="G469" i="3"/>
  <c r="E469" i="3"/>
  <c r="D469" i="3"/>
  <c r="C469" i="3"/>
  <c r="B469" i="3"/>
  <c r="A469" i="3"/>
  <c r="G468" i="3"/>
  <c r="E468" i="3"/>
  <c r="D468" i="3"/>
  <c r="C468" i="3"/>
  <c r="B468" i="3"/>
  <c r="A468" i="3"/>
  <c r="G467" i="3"/>
  <c r="E467" i="3"/>
  <c r="D467" i="3"/>
  <c r="C467" i="3"/>
  <c r="B467" i="3"/>
  <c r="A467" i="3"/>
  <c r="G466" i="3"/>
  <c r="E466" i="3"/>
  <c r="D466" i="3"/>
  <c r="C466" i="3"/>
  <c r="B466" i="3"/>
  <c r="A466" i="3"/>
  <c r="G465" i="3"/>
  <c r="E465" i="3"/>
  <c r="D465" i="3"/>
  <c r="C465" i="3"/>
  <c r="B465" i="3"/>
  <c r="A465" i="3"/>
  <c r="G464" i="3"/>
  <c r="E464" i="3"/>
  <c r="D464" i="3"/>
  <c r="C464" i="3"/>
  <c r="B464" i="3"/>
  <c r="A464" i="3"/>
  <c r="G463" i="3"/>
  <c r="E463" i="3"/>
  <c r="D463" i="3"/>
  <c r="C463" i="3"/>
  <c r="B463" i="3"/>
  <c r="A463" i="3"/>
  <c r="G462" i="3"/>
  <c r="E462" i="3"/>
  <c r="D462" i="3"/>
  <c r="C462" i="3"/>
  <c r="B462" i="3"/>
  <c r="A462" i="3"/>
  <c r="G461" i="3"/>
  <c r="E461" i="3"/>
  <c r="D461" i="3"/>
  <c r="C461" i="3"/>
  <c r="B461" i="3"/>
  <c r="A461" i="3"/>
  <c r="G460" i="3"/>
  <c r="E460" i="3"/>
  <c r="D460" i="3"/>
  <c r="C460" i="3"/>
  <c r="B460" i="3"/>
  <c r="A460" i="3"/>
  <c r="G459" i="3"/>
  <c r="E459" i="3"/>
  <c r="D459" i="3"/>
  <c r="C459" i="3"/>
  <c r="B459" i="3"/>
  <c r="A459" i="3"/>
  <c r="G458" i="3"/>
  <c r="E458" i="3"/>
  <c r="D458" i="3"/>
  <c r="C458" i="3"/>
  <c r="B458" i="3"/>
  <c r="A458" i="3"/>
  <c r="G457" i="3"/>
  <c r="E457" i="3"/>
  <c r="D457" i="3"/>
  <c r="C457" i="3"/>
  <c r="B457" i="3"/>
  <c r="A457" i="3"/>
  <c r="G456" i="3"/>
  <c r="E456" i="3"/>
  <c r="D456" i="3"/>
  <c r="C456" i="3"/>
  <c r="B456" i="3"/>
  <c r="A456" i="3"/>
  <c r="G455" i="3"/>
  <c r="E455" i="3"/>
  <c r="D455" i="3"/>
  <c r="C455" i="3"/>
  <c r="B455" i="3"/>
  <c r="A455" i="3"/>
  <c r="G454" i="3"/>
  <c r="E454" i="3"/>
  <c r="D454" i="3"/>
  <c r="C454" i="3"/>
  <c r="B454" i="3"/>
  <c r="A454" i="3"/>
  <c r="G453" i="3"/>
  <c r="E453" i="3"/>
  <c r="D453" i="3"/>
  <c r="C453" i="3"/>
  <c r="B453" i="3"/>
  <c r="A453" i="3"/>
  <c r="G452" i="3"/>
  <c r="E452" i="3"/>
  <c r="D452" i="3"/>
  <c r="C452" i="3"/>
  <c r="B452" i="3"/>
  <c r="A452" i="3"/>
  <c r="G451" i="3"/>
  <c r="E451" i="3"/>
  <c r="D451" i="3"/>
  <c r="C451" i="3"/>
  <c r="H451" i="3" s="1"/>
  <c r="B451" i="3"/>
  <c r="A451" i="3"/>
  <c r="G450" i="3"/>
  <c r="E450" i="3"/>
  <c r="D450" i="3"/>
  <c r="C450" i="3"/>
  <c r="H450" i="3" s="1"/>
  <c r="B450" i="3"/>
  <c r="A450" i="3"/>
  <c r="G449" i="3"/>
  <c r="E449" i="3"/>
  <c r="D449" i="3"/>
  <c r="C449" i="3"/>
  <c r="H449" i="3" s="1"/>
  <c r="B449" i="3"/>
  <c r="A449" i="3"/>
  <c r="G448" i="3"/>
  <c r="E448" i="3"/>
  <c r="D448" i="3"/>
  <c r="C448" i="3"/>
  <c r="H448" i="3" s="1"/>
  <c r="B448" i="3"/>
  <c r="A448" i="3"/>
  <c r="G447" i="3"/>
  <c r="E447" i="3"/>
  <c r="D447" i="3"/>
  <c r="C447" i="3"/>
  <c r="H447" i="3" s="1"/>
  <c r="B447" i="3"/>
  <c r="A447" i="3"/>
  <c r="G446" i="3"/>
  <c r="E446" i="3"/>
  <c r="D446" i="3"/>
  <c r="C446" i="3"/>
  <c r="H446" i="3" s="1"/>
  <c r="B446" i="3"/>
  <c r="A446" i="3"/>
  <c r="G445" i="3"/>
  <c r="E445" i="3"/>
  <c r="D445" i="3"/>
  <c r="C445" i="3"/>
  <c r="H445" i="3" s="1"/>
  <c r="B445" i="3"/>
  <c r="A445" i="3"/>
  <c r="G444" i="3"/>
  <c r="E444" i="3"/>
  <c r="D444" i="3"/>
  <c r="C444" i="3"/>
  <c r="H444" i="3" s="1"/>
  <c r="B444" i="3"/>
  <c r="A444" i="3"/>
  <c r="G443" i="3"/>
  <c r="E443" i="3"/>
  <c r="D443" i="3"/>
  <c r="C443" i="3"/>
  <c r="H443" i="3" s="1"/>
  <c r="B443" i="3"/>
  <c r="A443" i="3"/>
  <c r="G442" i="3"/>
  <c r="E442" i="3"/>
  <c r="D442" i="3"/>
  <c r="C442" i="3"/>
  <c r="H442" i="3" s="1"/>
  <c r="B442" i="3"/>
  <c r="A442" i="3"/>
  <c r="G441" i="3"/>
  <c r="E441" i="3"/>
  <c r="D441" i="3"/>
  <c r="C441" i="3"/>
  <c r="H441" i="3" s="1"/>
  <c r="B441" i="3"/>
  <c r="A441" i="3"/>
  <c r="G440" i="3"/>
  <c r="E440" i="3"/>
  <c r="D440" i="3"/>
  <c r="C440" i="3"/>
  <c r="H440" i="3" s="1"/>
  <c r="B440" i="3"/>
  <c r="A440" i="3"/>
  <c r="G439" i="3"/>
  <c r="E439" i="3"/>
  <c r="D439" i="3"/>
  <c r="C439" i="3"/>
  <c r="H439" i="3" s="1"/>
  <c r="B439" i="3"/>
  <c r="A439" i="3"/>
  <c r="G438" i="3"/>
  <c r="E438" i="3"/>
  <c r="D438" i="3"/>
  <c r="C438" i="3"/>
  <c r="H438" i="3" s="1"/>
  <c r="B438" i="3"/>
  <c r="A438" i="3"/>
  <c r="G437" i="3"/>
  <c r="E437" i="3"/>
  <c r="D437" i="3"/>
  <c r="C437" i="3"/>
  <c r="H437" i="3" s="1"/>
  <c r="B437" i="3"/>
  <c r="A437" i="3"/>
  <c r="G436" i="3"/>
  <c r="E436" i="3"/>
  <c r="D436" i="3"/>
  <c r="C436" i="3"/>
  <c r="H436" i="3" s="1"/>
  <c r="B436" i="3"/>
  <c r="A436" i="3"/>
  <c r="G435" i="3"/>
  <c r="E435" i="3"/>
  <c r="D435" i="3"/>
  <c r="C435" i="3"/>
  <c r="H435" i="3" s="1"/>
  <c r="B435" i="3"/>
  <c r="A435" i="3"/>
  <c r="G434" i="3"/>
  <c r="E434" i="3"/>
  <c r="D434" i="3"/>
  <c r="C434" i="3"/>
  <c r="H434" i="3" s="1"/>
  <c r="B434" i="3"/>
  <c r="A434" i="3"/>
  <c r="G433" i="3"/>
  <c r="E433" i="3"/>
  <c r="D433" i="3"/>
  <c r="C433" i="3"/>
  <c r="H433" i="3" s="1"/>
  <c r="B433" i="3"/>
  <c r="A433" i="3"/>
  <c r="G432" i="3"/>
  <c r="E432" i="3"/>
  <c r="D432" i="3"/>
  <c r="C432" i="3"/>
  <c r="H432" i="3" s="1"/>
  <c r="B432" i="3"/>
  <c r="A432" i="3"/>
  <c r="G431" i="3"/>
  <c r="E431" i="3"/>
  <c r="D431" i="3"/>
  <c r="C431" i="3"/>
  <c r="H431" i="3" s="1"/>
  <c r="B431" i="3"/>
  <c r="A431" i="3"/>
  <c r="G430" i="3"/>
  <c r="E430" i="3"/>
  <c r="D430" i="3"/>
  <c r="C430" i="3"/>
  <c r="H430" i="3" s="1"/>
  <c r="B430" i="3"/>
  <c r="A430" i="3"/>
  <c r="G429" i="3"/>
  <c r="E429" i="3"/>
  <c r="D429" i="3"/>
  <c r="C429" i="3"/>
  <c r="H429" i="3" s="1"/>
  <c r="B429" i="3"/>
  <c r="A429" i="3"/>
  <c r="G428" i="3"/>
  <c r="E428" i="3"/>
  <c r="D428" i="3"/>
  <c r="C428" i="3"/>
  <c r="H428" i="3" s="1"/>
  <c r="B428" i="3"/>
  <c r="A428" i="3"/>
  <c r="G427" i="3"/>
  <c r="E427" i="3"/>
  <c r="D427" i="3"/>
  <c r="C427" i="3"/>
  <c r="H427" i="3" s="1"/>
  <c r="B427" i="3"/>
  <c r="A427" i="3"/>
  <c r="G426" i="3"/>
  <c r="E426" i="3"/>
  <c r="D426" i="3"/>
  <c r="C426" i="3"/>
  <c r="H426" i="3" s="1"/>
  <c r="B426" i="3"/>
  <c r="A426" i="3"/>
  <c r="G425" i="3"/>
  <c r="E425" i="3"/>
  <c r="D425" i="3"/>
  <c r="C425" i="3"/>
  <c r="H425" i="3" s="1"/>
  <c r="B425" i="3"/>
  <c r="A425" i="3"/>
  <c r="G424" i="3"/>
  <c r="E424" i="3"/>
  <c r="D424" i="3"/>
  <c r="C424" i="3"/>
  <c r="H424" i="3" s="1"/>
  <c r="B424" i="3"/>
  <c r="A424" i="3"/>
  <c r="G423" i="3"/>
  <c r="E423" i="3"/>
  <c r="D423" i="3"/>
  <c r="C423" i="3"/>
  <c r="H423" i="3" s="1"/>
  <c r="B423" i="3"/>
  <c r="A423" i="3"/>
  <c r="G422" i="3"/>
  <c r="E422" i="3"/>
  <c r="D422" i="3"/>
  <c r="C422" i="3"/>
  <c r="H422" i="3" s="1"/>
  <c r="B422" i="3"/>
  <c r="A422" i="3"/>
  <c r="G421" i="3"/>
  <c r="E421" i="3"/>
  <c r="D421" i="3"/>
  <c r="C421" i="3"/>
  <c r="H421" i="3" s="1"/>
  <c r="B421" i="3"/>
  <c r="A421" i="3"/>
  <c r="G420" i="3"/>
  <c r="E420" i="3"/>
  <c r="D420" i="3"/>
  <c r="C420" i="3"/>
  <c r="H420" i="3" s="1"/>
  <c r="B420" i="3"/>
  <c r="A420" i="3"/>
  <c r="G419" i="3"/>
  <c r="E419" i="3"/>
  <c r="D419" i="3"/>
  <c r="C419" i="3"/>
  <c r="H419" i="3" s="1"/>
  <c r="B419" i="3"/>
  <c r="A419" i="3"/>
  <c r="G418" i="3"/>
  <c r="E418" i="3"/>
  <c r="D418" i="3"/>
  <c r="C418" i="3"/>
  <c r="H418" i="3" s="1"/>
  <c r="B418" i="3"/>
  <c r="A418" i="3"/>
  <c r="G417" i="3"/>
  <c r="E417" i="3"/>
  <c r="D417" i="3"/>
  <c r="C417" i="3"/>
  <c r="H417" i="3" s="1"/>
  <c r="B417" i="3"/>
  <c r="A417" i="3"/>
  <c r="G416" i="3"/>
  <c r="E416" i="3"/>
  <c r="D416" i="3"/>
  <c r="C416" i="3"/>
  <c r="H416" i="3" s="1"/>
  <c r="B416" i="3"/>
  <c r="A416" i="3"/>
  <c r="G415" i="3"/>
  <c r="E415" i="3"/>
  <c r="D415" i="3"/>
  <c r="C415" i="3"/>
  <c r="H415" i="3" s="1"/>
  <c r="B415" i="3"/>
  <c r="A415" i="3"/>
  <c r="G414" i="3"/>
  <c r="E414" i="3"/>
  <c r="D414" i="3"/>
  <c r="C414" i="3"/>
  <c r="H414" i="3" s="1"/>
  <c r="B414" i="3"/>
  <c r="A414" i="3"/>
  <c r="G413" i="3"/>
  <c r="E413" i="3"/>
  <c r="D413" i="3"/>
  <c r="C413" i="3"/>
  <c r="H413" i="3" s="1"/>
  <c r="B413" i="3"/>
  <c r="A413" i="3"/>
  <c r="G412" i="3"/>
  <c r="E412" i="3"/>
  <c r="D412" i="3"/>
  <c r="C412" i="3"/>
  <c r="H412" i="3" s="1"/>
  <c r="B412" i="3"/>
  <c r="A412" i="3"/>
  <c r="G411" i="3"/>
  <c r="E411" i="3"/>
  <c r="D411" i="3"/>
  <c r="C411" i="3"/>
  <c r="H411" i="3" s="1"/>
  <c r="B411" i="3"/>
  <c r="A411" i="3"/>
  <c r="G410" i="3"/>
  <c r="E410" i="3"/>
  <c r="D410" i="3"/>
  <c r="C410" i="3"/>
  <c r="H410" i="3" s="1"/>
  <c r="B410" i="3"/>
  <c r="A410" i="3"/>
  <c r="G409" i="3"/>
  <c r="E409" i="3"/>
  <c r="D409" i="3"/>
  <c r="C409" i="3"/>
  <c r="H409" i="3" s="1"/>
  <c r="B409" i="3"/>
  <c r="A409" i="3"/>
  <c r="G408" i="3"/>
  <c r="E408" i="3"/>
  <c r="D408" i="3"/>
  <c r="C408" i="3"/>
  <c r="H408" i="3" s="1"/>
  <c r="B408" i="3"/>
  <c r="A408" i="3"/>
  <c r="G407" i="3"/>
  <c r="E407" i="3"/>
  <c r="D407" i="3"/>
  <c r="C407" i="3"/>
  <c r="H407" i="3" s="1"/>
  <c r="B407" i="3"/>
  <c r="A407" i="3"/>
  <c r="G406" i="3"/>
  <c r="E406" i="3"/>
  <c r="D406" i="3"/>
  <c r="C406" i="3"/>
  <c r="H406" i="3" s="1"/>
  <c r="B406" i="3"/>
  <c r="A406" i="3"/>
  <c r="G405" i="3"/>
  <c r="E405" i="3"/>
  <c r="D405" i="3"/>
  <c r="C405" i="3"/>
  <c r="H405" i="3" s="1"/>
  <c r="B405" i="3"/>
  <c r="A405" i="3"/>
  <c r="G404" i="3"/>
  <c r="E404" i="3"/>
  <c r="D404" i="3"/>
  <c r="C404" i="3"/>
  <c r="H404" i="3" s="1"/>
  <c r="B404" i="3"/>
  <c r="A404" i="3"/>
  <c r="G403" i="3"/>
  <c r="E403" i="3"/>
  <c r="D403" i="3"/>
  <c r="C403" i="3"/>
  <c r="H403" i="3" s="1"/>
  <c r="B403" i="3"/>
  <c r="A403" i="3"/>
  <c r="G402" i="3"/>
  <c r="E402" i="3"/>
  <c r="D402" i="3"/>
  <c r="C402" i="3"/>
  <c r="H402" i="3" s="1"/>
  <c r="B402" i="3"/>
  <c r="A402" i="3"/>
  <c r="G401" i="3"/>
  <c r="E401" i="3"/>
  <c r="D401" i="3"/>
  <c r="C401" i="3"/>
  <c r="H401" i="3" s="1"/>
  <c r="B401" i="3"/>
  <c r="A401" i="3"/>
  <c r="G400" i="3"/>
  <c r="E400" i="3"/>
  <c r="D400" i="3"/>
  <c r="C400" i="3"/>
  <c r="H400" i="3" s="1"/>
  <c r="B400" i="3"/>
  <c r="A400" i="3"/>
  <c r="G399" i="3"/>
  <c r="E399" i="3"/>
  <c r="D399" i="3"/>
  <c r="C399" i="3"/>
  <c r="H399" i="3" s="1"/>
  <c r="B399" i="3"/>
  <c r="A399" i="3"/>
  <c r="G398" i="3"/>
  <c r="E398" i="3"/>
  <c r="D398" i="3"/>
  <c r="C398" i="3"/>
  <c r="H398" i="3" s="1"/>
  <c r="B398" i="3"/>
  <c r="A398" i="3"/>
  <c r="G397" i="3"/>
  <c r="E397" i="3"/>
  <c r="D397" i="3"/>
  <c r="C397" i="3"/>
  <c r="H397" i="3" s="1"/>
  <c r="B397" i="3"/>
  <c r="A397" i="3"/>
  <c r="G396" i="3"/>
  <c r="E396" i="3"/>
  <c r="D396" i="3"/>
  <c r="C396" i="3"/>
  <c r="H396" i="3" s="1"/>
  <c r="B396" i="3"/>
  <c r="A396" i="3"/>
  <c r="G395" i="3"/>
  <c r="E395" i="3"/>
  <c r="D395" i="3"/>
  <c r="C395" i="3"/>
  <c r="H395" i="3" s="1"/>
  <c r="B395" i="3"/>
  <c r="A395" i="3"/>
  <c r="G394" i="3"/>
  <c r="E394" i="3"/>
  <c r="D394" i="3"/>
  <c r="C394" i="3"/>
  <c r="H394" i="3" s="1"/>
  <c r="B394" i="3"/>
  <c r="A394" i="3"/>
  <c r="G393" i="3"/>
  <c r="E393" i="3"/>
  <c r="D393" i="3"/>
  <c r="C393" i="3"/>
  <c r="H393" i="3" s="1"/>
  <c r="B393" i="3"/>
  <c r="A393" i="3"/>
  <c r="G392" i="3"/>
  <c r="E392" i="3"/>
  <c r="D392" i="3"/>
  <c r="C392" i="3"/>
  <c r="H392" i="3" s="1"/>
  <c r="B392" i="3"/>
  <c r="A392" i="3"/>
  <c r="G391" i="3"/>
  <c r="E391" i="3"/>
  <c r="D391" i="3"/>
  <c r="C391" i="3"/>
  <c r="H391" i="3" s="1"/>
  <c r="B391" i="3"/>
  <c r="A391" i="3"/>
  <c r="G390" i="3"/>
  <c r="E390" i="3"/>
  <c r="D390" i="3"/>
  <c r="C390" i="3"/>
  <c r="H390" i="3" s="1"/>
  <c r="B390" i="3"/>
  <c r="A390" i="3"/>
  <c r="G389" i="3"/>
  <c r="E389" i="3"/>
  <c r="D389" i="3"/>
  <c r="C389" i="3"/>
  <c r="H389" i="3" s="1"/>
  <c r="B389" i="3"/>
  <c r="A389" i="3"/>
  <c r="G388" i="3"/>
  <c r="E388" i="3"/>
  <c r="D388" i="3"/>
  <c r="C388" i="3"/>
  <c r="H388" i="3" s="1"/>
  <c r="B388" i="3"/>
  <c r="A388" i="3"/>
  <c r="G387" i="3"/>
  <c r="E387" i="3"/>
  <c r="D387" i="3"/>
  <c r="C387" i="3"/>
  <c r="H387" i="3" s="1"/>
  <c r="B387" i="3"/>
  <c r="A387" i="3"/>
  <c r="G386" i="3"/>
  <c r="E386" i="3"/>
  <c r="D386" i="3"/>
  <c r="C386" i="3"/>
  <c r="H386" i="3" s="1"/>
  <c r="B386" i="3"/>
  <c r="A386" i="3"/>
  <c r="G385" i="3"/>
  <c r="E385" i="3"/>
  <c r="D385" i="3"/>
  <c r="C385" i="3"/>
  <c r="H385" i="3" s="1"/>
  <c r="B385" i="3"/>
  <c r="A385" i="3"/>
  <c r="G384" i="3"/>
  <c r="E384" i="3"/>
  <c r="D384" i="3"/>
  <c r="C384" i="3"/>
  <c r="H384" i="3" s="1"/>
  <c r="B384" i="3"/>
  <c r="A384" i="3"/>
  <c r="G383" i="3"/>
  <c r="E383" i="3"/>
  <c r="D383" i="3"/>
  <c r="C383" i="3"/>
  <c r="H383" i="3" s="1"/>
  <c r="B383" i="3"/>
  <c r="A383" i="3"/>
  <c r="G382" i="3"/>
  <c r="E382" i="3"/>
  <c r="D382" i="3"/>
  <c r="C382" i="3"/>
  <c r="H382" i="3" s="1"/>
  <c r="B382" i="3"/>
  <c r="A382" i="3"/>
  <c r="G381" i="3"/>
  <c r="E381" i="3"/>
  <c r="D381" i="3"/>
  <c r="C381" i="3"/>
  <c r="H381" i="3" s="1"/>
  <c r="B381" i="3"/>
  <c r="A381" i="3"/>
  <c r="G380" i="3"/>
  <c r="E380" i="3"/>
  <c r="D380" i="3"/>
  <c r="C380" i="3"/>
  <c r="H380" i="3" s="1"/>
  <c r="B380" i="3"/>
  <c r="A380" i="3"/>
  <c r="G379" i="3"/>
  <c r="E379" i="3"/>
  <c r="D379" i="3"/>
  <c r="C379" i="3"/>
  <c r="H379" i="3" s="1"/>
  <c r="B379" i="3"/>
  <c r="A379" i="3"/>
  <c r="G378" i="3"/>
  <c r="E378" i="3"/>
  <c r="D378" i="3"/>
  <c r="C378" i="3"/>
  <c r="H378" i="3" s="1"/>
  <c r="B378" i="3"/>
  <c r="A378" i="3"/>
  <c r="G377" i="3"/>
  <c r="E377" i="3"/>
  <c r="D377" i="3"/>
  <c r="C377" i="3"/>
  <c r="H377" i="3" s="1"/>
  <c r="B377" i="3"/>
  <c r="A377" i="3"/>
  <c r="G376" i="3"/>
  <c r="E376" i="3"/>
  <c r="D376" i="3"/>
  <c r="C376" i="3"/>
  <c r="H376" i="3" s="1"/>
  <c r="B376" i="3"/>
  <c r="A376" i="3"/>
  <c r="G375" i="3"/>
  <c r="E375" i="3"/>
  <c r="D375" i="3"/>
  <c r="C375" i="3"/>
  <c r="H375" i="3" s="1"/>
  <c r="B375" i="3"/>
  <c r="A375" i="3"/>
  <c r="G374" i="3"/>
  <c r="E374" i="3"/>
  <c r="D374" i="3"/>
  <c r="C374" i="3"/>
  <c r="H374" i="3" s="1"/>
  <c r="B374" i="3"/>
  <c r="A374" i="3"/>
  <c r="G373" i="3"/>
  <c r="E373" i="3"/>
  <c r="D373" i="3"/>
  <c r="C373" i="3"/>
  <c r="H373" i="3" s="1"/>
  <c r="B373" i="3"/>
  <c r="A373" i="3"/>
  <c r="G372" i="3"/>
  <c r="E372" i="3"/>
  <c r="D372" i="3"/>
  <c r="C372" i="3"/>
  <c r="H372" i="3" s="1"/>
  <c r="B372" i="3"/>
  <c r="A372" i="3"/>
  <c r="G371" i="3"/>
  <c r="E371" i="3"/>
  <c r="D371" i="3"/>
  <c r="C371" i="3"/>
  <c r="H371" i="3" s="1"/>
  <c r="B371" i="3"/>
  <c r="A371" i="3"/>
  <c r="G370" i="3"/>
  <c r="E370" i="3"/>
  <c r="D370" i="3"/>
  <c r="C370" i="3"/>
  <c r="H370" i="3" s="1"/>
  <c r="B370" i="3"/>
  <c r="A370" i="3"/>
  <c r="G369" i="3"/>
  <c r="E369" i="3"/>
  <c r="D369" i="3"/>
  <c r="C369" i="3"/>
  <c r="H369" i="3" s="1"/>
  <c r="B369" i="3"/>
  <c r="A369" i="3"/>
  <c r="G368" i="3"/>
  <c r="E368" i="3"/>
  <c r="D368" i="3"/>
  <c r="C368" i="3"/>
  <c r="H368" i="3" s="1"/>
  <c r="B368" i="3"/>
  <c r="A368" i="3"/>
  <c r="G367" i="3"/>
  <c r="E367" i="3"/>
  <c r="D367" i="3"/>
  <c r="C367" i="3"/>
  <c r="H367" i="3" s="1"/>
  <c r="B367" i="3"/>
  <c r="A367" i="3"/>
  <c r="G366" i="3"/>
  <c r="E366" i="3"/>
  <c r="D366" i="3"/>
  <c r="C366" i="3"/>
  <c r="H366" i="3" s="1"/>
  <c r="B366" i="3"/>
  <c r="A366" i="3"/>
  <c r="G365" i="3"/>
  <c r="E365" i="3"/>
  <c r="D365" i="3"/>
  <c r="C365" i="3"/>
  <c r="H365" i="3" s="1"/>
  <c r="B365" i="3"/>
  <c r="A365" i="3"/>
  <c r="G364" i="3"/>
  <c r="E364" i="3"/>
  <c r="D364" i="3"/>
  <c r="C364" i="3"/>
  <c r="H364" i="3" s="1"/>
  <c r="B364" i="3"/>
  <c r="A364" i="3"/>
  <c r="G363" i="3"/>
  <c r="E363" i="3"/>
  <c r="D363" i="3"/>
  <c r="C363" i="3"/>
  <c r="H363" i="3" s="1"/>
  <c r="B363" i="3"/>
  <c r="A363" i="3"/>
  <c r="G362" i="3"/>
  <c r="E362" i="3"/>
  <c r="D362" i="3"/>
  <c r="C362" i="3"/>
  <c r="H362" i="3" s="1"/>
  <c r="B362" i="3"/>
  <c r="A362" i="3"/>
  <c r="G361" i="3"/>
  <c r="E361" i="3"/>
  <c r="D361" i="3"/>
  <c r="C361" i="3"/>
  <c r="H361" i="3" s="1"/>
  <c r="B361" i="3"/>
  <c r="A361" i="3"/>
  <c r="G360" i="3"/>
  <c r="E360" i="3"/>
  <c r="D360" i="3"/>
  <c r="C360" i="3"/>
  <c r="H360" i="3" s="1"/>
  <c r="B360" i="3"/>
  <c r="A360" i="3"/>
  <c r="G359" i="3"/>
  <c r="E359" i="3"/>
  <c r="D359" i="3"/>
  <c r="C359" i="3"/>
  <c r="H359" i="3" s="1"/>
  <c r="B359" i="3"/>
  <c r="A359" i="3"/>
  <c r="G358" i="3"/>
  <c r="E358" i="3"/>
  <c r="D358" i="3"/>
  <c r="C358" i="3"/>
  <c r="H358" i="3" s="1"/>
  <c r="B358" i="3"/>
  <c r="A358" i="3"/>
  <c r="G357" i="3"/>
  <c r="E357" i="3"/>
  <c r="D357" i="3"/>
  <c r="C357" i="3"/>
  <c r="H357" i="3" s="1"/>
  <c r="B357" i="3"/>
  <c r="A357" i="3"/>
  <c r="G356" i="3"/>
  <c r="E356" i="3"/>
  <c r="D356" i="3"/>
  <c r="C356" i="3"/>
  <c r="H356" i="3" s="1"/>
  <c r="B356" i="3"/>
  <c r="A356" i="3"/>
  <c r="G355" i="3"/>
  <c r="E355" i="3"/>
  <c r="D355" i="3"/>
  <c r="C355" i="3"/>
  <c r="H355" i="3" s="1"/>
  <c r="B355" i="3"/>
  <c r="A355" i="3"/>
  <c r="G354" i="3"/>
  <c r="E354" i="3"/>
  <c r="D354" i="3"/>
  <c r="C354" i="3"/>
  <c r="H354" i="3" s="1"/>
  <c r="B354" i="3"/>
  <c r="A354" i="3"/>
  <c r="G353" i="3"/>
  <c r="E353" i="3"/>
  <c r="D353" i="3"/>
  <c r="C353" i="3"/>
  <c r="H353" i="3" s="1"/>
  <c r="B353" i="3"/>
  <c r="A353" i="3"/>
  <c r="G352" i="3"/>
  <c r="E352" i="3"/>
  <c r="D352" i="3"/>
  <c r="C352" i="3"/>
  <c r="B352" i="3"/>
  <c r="A352" i="3"/>
  <c r="G351" i="3"/>
  <c r="E351" i="3"/>
  <c r="D351" i="3"/>
  <c r="C351" i="3"/>
  <c r="B351" i="3"/>
  <c r="A351" i="3"/>
  <c r="G350" i="3"/>
  <c r="E350" i="3"/>
  <c r="D350" i="3"/>
  <c r="C350" i="3"/>
  <c r="B350" i="3"/>
  <c r="A350" i="3"/>
  <c r="G349" i="3"/>
  <c r="E349" i="3"/>
  <c r="D349" i="3"/>
  <c r="C349" i="3"/>
  <c r="B349" i="3"/>
  <c r="A349" i="3"/>
  <c r="G348" i="3"/>
  <c r="E348" i="3"/>
  <c r="D348" i="3"/>
  <c r="C348" i="3"/>
  <c r="B348" i="3"/>
  <c r="A348" i="3"/>
  <c r="G347" i="3"/>
  <c r="E347" i="3"/>
  <c r="D347" i="3"/>
  <c r="C347" i="3"/>
  <c r="B347" i="3"/>
  <c r="A347" i="3"/>
  <c r="G346" i="3"/>
  <c r="E346" i="3"/>
  <c r="D346" i="3"/>
  <c r="C346" i="3"/>
  <c r="B346" i="3"/>
  <c r="A346" i="3"/>
  <c r="G345" i="3"/>
  <c r="E345" i="3"/>
  <c r="D345" i="3"/>
  <c r="C345" i="3"/>
  <c r="B345" i="3"/>
  <c r="A345" i="3"/>
  <c r="G344" i="3"/>
  <c r="E344" i="3"/>
  <c r="D344" i="3"/>
  <c r="C344" i="3"/>
  <c r="B344" i="3"/>
  <c r="A344" i="3"/>
  <c r="G343" i="3"/>
  <c r="E343" i="3"/>
  <c r="D343" i="3"/>
  <c r="C343" i="3"/>
  <c r="B343" i="3"/>
  <c r="A343" i="3"/>
  <c r="G342" i="3"/>
  <c r="E342" i="3"/>
  <c r="D342" i="3"/>
  <c r="C342" i="3"/>
  <c r="B342" i="3"/>
  <c r="A342" i="3"/>
  <c r="G341" i="3"/>
  <c r="E341" i="3"/>
  <c r="D341" i="3"/>
  <c r="C341" i="3"/>
  <c r="B341" i="3"/>
  <c r="A341" i="3"/>
  <c r="G340" i="3"/>
  <c r="E340" i="3"/>
  <c r="D340" i="3"/>
  <c r="C340" i="3"/>
  <c r="B340" i="3"/>
  <c r="A340" i="3"/>
  <c r="G339" i="3"/>
  <c r="E339" i="3"/>
  <c r="D339" i="3"/>
  <c r="C339" i="3"/>
  <c r="B339" i="3"/>
  <c r="A339" i="3"/>
  <c r="G338" i="3"/>
  <c r="E338" i="3"/>
  <c r="D338" i="3"/>
  <c r="C338" i="3"/>
  <c r="B338" i="3"/>
  <c r="A338" i="3"/>
  <c r="G337" i="3"/>
  <c r="E337" i="3"/>
  <c r="D337" i="3"/>
  <c r="C337" i="3"/>
  <c r="B337" i="3"/>
  <c r="A337" i="3"/>
  <c r="G336" i="3"/>
  <c r="E336" i="3"/>
  <c r="D336" i="3"/>
  <c r="C336" i="3"/>
  <c r="B336" i="3"/>
  <c r="A336" i="3"/>
  <c r="G335" i="3"/>
  <c r="E335" i="3"/>
  <c r="D335" i="3"/>
  <c r="C335" i="3"/>
  <c r="B335" i="3"/>
  <c r="A335" i="3"/>
  <c r="G334" i="3"/>
  <c r="E334" i="3"/>
  <c r="D334" i="3"/>
  <c r="C334" i="3"/>
  <c r="B334" i="3"/>
  <c r="A334" i="3"/>
  <c r="G333" i="3"/>
  <c r="E333" i="3"/>
  <c r="D333" i="3"/>
  <c r="C333" i="3"/>
  <c r="B333" i="3"/>
  <c r="A333" i="3"/>
  <c r="G332" i="3"/>
  <c r="E332" i="3"/>
  <c r="D332" i="3"/>
  <c r="C332" i="3"/>
  <c r="B332" i="3"/>
  <c r="A332" i="3"/>
  <c r="G331" i="3"/>
  <c r="E331" i="3"/>
  <c r="D331" i="3"/>
  <c r="C331" i="3"/>
  <c r="B331" i="3"/>
  <c r="A331" i="3"/>
  <c r="G330" i="3"/>
  <c r="E330" i="3"/>
  <c r="D330" i="3"/>
  <c r="C330" i="3"/>
  <c r="B330" i="3"/>
  <c r="A330" i="3"/>
  <c r="G329" i="3"/>
  <c r="E329" i="3"/>
  <c r="D329" i="3"/>
  <c r="C329" i="3"/>
  <c r="B329" i="3"/>
  <c r="A329" i="3"/>
  <c r="G328" i="3"/>
  <c r="E328" i="3"/>
  <c r="D328" i="3"/>
  <c r="C328" i="3"/>
  <c r="B328" i="3"/>
  <c r="A328" i="3"/>
  <c r="G327" i="3"/>
  <c r="E327" i="3"/>
  <c r="D327" i="3"/>
  <c r="C327" i="3"/>
  <c r="B327" i="3"/>
  <c r="A327" i="3"/>
  <c r="G326" i="3"/>
  <c r="E326" i="3"/>
  <c r="D326" i="3"/>
  <c r="C326" i="3"/>
  <c r="B326" i="3"/>
  <c r="A326" i="3"/>
  <c r="G325" i="3"/>
  <c r="E325" i="3"/>
  <c r="D325" i="3"/>
  <c r="C325" i="3"/>
  <c r="B325" i="3"/>
  <c r="A325" i="3"/>
  <c r="G324" i="3"/>
  <c r="E324" i="3"/>
  <c r="D324" i="3"/>
  <c r="C324" i="3"/>
  <c r="B324" i="3"/>
  <c r="A324" i="3"/>
  <c r="G323" i="3"/>
  <c r="E323" i="3"/>
  <c r="D323" i="3"/>
  <c r="C323" i="3"/>
  <c r="B323" i="3"/>
  <c r="A323" i="3"/>
  <c r="G322" i="3"/>
  <c r="E322" i="3"/>
  <c r="D322" i="3"/>
  <c r="C322" i="3"/>
  <c r="B322" i="3"/>
  <c r="A322" i="3"/>
  <c r="G321" i="3"/>
  <c r="E321" i="3"/>
  <c r="D321" i="3"/>
  <c r="C321" i="3"/>
  <c r="B321" i="3"/>
  <c r="A321" i="3"/>
  <c r="G320" i="3"/>
  <c r="E320" i="3"/>
  <c r="D320" i="3"/>
  <c r="C320" i="3"/>
  <c r="B320" i="3"/>
  <c r="A320" i="3"/>
  <c r="G319" i="3"/>
  <c r="E319" i="3"/>
  <c r="D319" i="3"/>
  <c r="C319" i="3"/>
  <c r="B319" i="3"/>
  <c r="A319" i="3"/>
  <c r="G318" i="3"/>
  <c r="E318" i="3"/>
  <c r="D318" i="3"/>
  <c r="C318" i="3"/>
  <c r="B318" i="3"/>
  <c r="A318" i="3"/>
  <c r="G317" i="3"/>
  <c r="E317" i="3"/>
  <c r="D317" i="3"/>
  <c r="C317" i="3"/>
  <c r="B317" i="3"/>
  <c r="A317" i="3"/>
  <c r="G316" i="3"/>
  <c r="E316" i="3"/>
  <c r="D316" i="3"/>
  <c r="C316" i="3"/>
  <c r="B316" i="3"/>
  <c r="A316" i="3"/>
  <c r="G315" i="3"/>
  <c r="E315" i="3"/>
  <c r="D315" i="3"/>
  <c r="C315" i="3"/>
  <c r="B315" i="3"/>
  <c r="A315" i="3"/>
  <c r="G314" i="3"/>
  <c r="E314" i="3"/>
  <c r="D314" i="3"/>
  <c r="C314" i="3"/>
  <c r="B314" i="3"/>
  <c r="A314" i="3"/>
  <c r="G313" i="3"/>
  <c r="E313" i="3"/>
  <c r="D313" i="3"/>
  <c r="C313" i="3"/>
  <c r="B313" i="3"/>
  <c r="A313" i="3"/>
  <c r="G312" i="3"/>
  <c r="E312" i="3"/>
  <c r="D312" i="3"/>
  <c r="C312" i="3"/>
  <c r="B312" i="3"/>
  <c r="A312" i="3"/>
  <c r="G311" i="3"/>
  <c r="E311" i="3"/>
  <c r="D311" i="3"/>
  <c r="C311" i="3"/>
  <c r="B311" i="3"/>
  <c r="A311" i="3"/>
  <c r="G310" i="3"/>
  <c r="E310" i="3"/>
  <c r="D310" i="3"/>
  <c r="C310" i="3"/>
  <c r="B310" i="3"/>
  <c r="A310" i="3"/>
  <c r="G309" i="3"/>
  <c r="E309" i="3"/>
  <c r="D309" i="3"/>
  <c r="C309" i="3"/>
  <c r="B309" i="3"/>
  <c r="A309" i="3"/>
  <c r="G308" i="3"/>
  <c r="E308" i="3"/>
  <c r="D308" i="3"/>
  <c r="C308" i="3"/>
  <c r="B308" i="3"/>
  <c r="A308" i="3"/>
  <c r="G307" i="3"/>
  <c r="E307" i="3"/>
  <c r="D307" i="3"/>
  <c r="C307" i="3"/>
  <c r="B307" i="3"/>
  <c r="A307" i="3"/>
  <c r="G306" i="3"/>
  <c r="E306" i="3"/>
  <c r="D306" i="3"/>
  <c r="C306" i="3"/>
  <c r="B306" i="3"/>
  <c r="A306" i="3"/>
  <c r="G305" i="3"/>
  <c r="E305" i="3"/>
  <c r="D305" i="3"/>
  <c r="C305" i="3"/>
  <c r="B305" i="3"/>
  <c r="A305" i="3"/>
  <c r="G304" i="3"/>
  <c r="E304" i="3"/>
  <c r="D304" i="3"/>
  <c r="C304" i="3"/>
  <c r="B304" i="3"/>
  <c r="A304" i="3"/>
  <c r="G303" i="3"/>
  <c r="E303" i="3"/>
  <c r="D303" i="3"/>
  <c r="C303" i="3"/>
  <c r="B303" i="3"/>
  <c r="A303" i="3"/>
  <c r="G302" i="3"/>
  <c r="E302" i="3"/>
  <c r="D302" i="3"/>
  <c r="C302" i="3"/>
  <c r="B302" i="3"/>
  <c r="A302" i="3"/>
  <c r="G301" i="3"/>
  <c r="E301" i="3"/>
  <c r="D301" i="3"/>
  <c r="C301" i="3"/>
  <c r="H301" i="3" s="1"/>
  <c r="B301" i="3"/>
  <c r="A301" i="3"/>
  <c r="G300" i="3"/>
  <c r="E300" i="3"/>
  <c r="D300" i="3"/>
  <c r="C300" i="3"/>
  <c r="H300" i="3" s="1"/>
  <c r="B300" i="3"/>
  <c r="A300" i="3"/>
  <c r="G299" i="3"/>
  <c r="E299" i="3"/>
  <c r="D299" i="3"/>
  <c r="C299" i="3"/>
  <c r="H299" i="3" s="1"/>
  <c r="B299" i="3"/>
  <c r="A299" i="3"/>
  <c r="G298" i="3"/>
  <c r="E298" i="3"/>
  <c r="D298" i="3"/>
  <c r="C298" i="3"/>
  <c r="H298" i="3" s="1"/>
  <c r="B298" i="3"/>
  <c r="A298" i="3"/>
  <c r="G297" i="3"/>
  <c r="E297" i="3"/>
  <c r="D297" i="3"/>
  <c r="C297" i="3"/>
  <c r="H297" i="3" s="1"/>
  <c r="B297" i="3"/>
  <c r="A297" i="3"/>
  <c r="G296" i="3"/>
  <c r="E296" i="3"/>
  <c r="D296" i="3"/>
  <c r="C296" i="3"/>
  <c r="H296" i="3" s="1"/>
  <c r="B296" i="3"/>
  <c r="A296" i="3"/>
  <c r="G295" i="3"/>
  <c r="E295" i="3"/>
  <c r="D295" i="3"/>
  <c r="C295" i="3"/>
  <c r="H295" i="3" s="1"/>
  <c r="B295" i="3"/>
  <c r="A295" i="3"/>
  <c r="G294" i="3"/>
  <c r="E294" i="3"/>
  <c r="D294" i="3"/>
  <c r="C294" i="3"/>
  <c r="H294" i="3" s="1"/>
  <c r="B294" i="3"/>
  <c r="A294" i="3"/>
  <c r="G293" i="3"/>
  <c r="E293" i="3"/>
  <c r="D293" i="3"/>
  <c r="C293" i="3"/>
  <c r="H293" i="3" s="1"/>
  <c r="B293" i="3"/>
  <c r="A293" i="3"/>
  <c r="G292" i="3"/>
  <c r="E292" i="3"/>
  <c r="D292" i="3"/>
  <c r="C292" i="3"/>
  <c r="H292" i="3" s="1"/>
  <c r="B292" i="3"/>
  <c r="A292" i="3"/>
  <c r="G291" i="3"/>
  <c r="E291" i="3"/>
  <c r="D291" i="3"/>
  <c r="C291" i="3"/>
  <c r="H291" i="3" s="1"/>
  <c r="B291" i="3"/>
  <c r="A291" i="3"/>
  <c r="G290" i="3"/>
  <c r="E290" i="3"/>
  <c r="D290" i="3"/>
  <c r="C290" i="3"/>
  <c r="H290" i="3" s="1"/>
  <c r="B290" i="3"/>
  <c r="A290" i="3"/>
  <c r="G289" i="3"/>
  <c r="E289" i="3"/>
  <c r="D289" i="3"/>
  <c r="C289" i="3"/>
  <c r="H289" i="3" s="1"/>
  <c r="B289" i="3"/>
  <c r="A289" i="3"/>
  <c r="G288" i="3"/>
  <c r="E288" i="3"/>
  <c r="D288" i="3"/>
  <c r="C288" i="3"/>
  <c r="H288" i="3" s="1"/>
  <c r="B288" i="3"/>
  <c r="A288" i="3"/>
  <c r="G287" i="3"/>
  <c r="E287" i="3"/>
  <c r="D287" i="3"/>
  <c r="C287" i="3"/>
  <c r="H287" i="3" s="1"/>
  <c r="B287" i="3"/>
  <c r="A287" i="3"/>
  <c r="G286" i="3"/>
  <c r="E286" i="3"/>
  <c r="D286" i="3"/>
  <c r="C286" i="3"/>
  <c r="H286" i="3" s="1"/>
  <c r="B286" i="3"/>
  <c r="A286" i="3"/>
  <c r="G285" i="3"/>
  <c r="E285" i="3"/>
  <c r="D285" i="3"/>
  <c r="C285" i="3"/>
  <c r="H285" i="3" s="1"/>
  <c r="B285" i="3"/>
  <c r="A285" i="3"/>
  <c r="G284" i="3"/>
  <c r="E284" i="3"/>
  <c r="D284" i="3"/>
  <c r="C284" i="3"/>
  <c r="H284" i="3" s="1"/>
  <c r="B284" i="3"/>
  <c r="A284" i="3"/>
  <c r="G283" i="3"/>
  <c r="E283" i="3"/>
  <c r="D283" i="3"/>
  <c r="C283" i="3"/>
  <c r="H283" i="3" s="1"/>
  <c r="B283" i="3"/>
  <c r="A283" i="3"/>
  <c r="G282" i="3"/>
  <c r="E282" i="3"/>
  <c r="D282" i="3"/>
  <c r="C282" i="3"/>
  <c r="H282" i="3" s="1"/>
  <c r="B282" i="3"/>
  <c r="A282" i="3"/>
  <c r="G281" i="3"/>
  <c r="E281" i="3"/>
  <c r="D281" i="3"/>
  <c r="C281" i="3"/>
  <c r="H281" i="3" s="1"/>
  <c r="B281" i="3"/>
  <c r="A281" i="3"/>
  <c r="G280" i="3"/>
  <c r="E280" i="3"/>
  <c r="D280" i="3"/>
  <c r="C280" i="3"/>
  <c r="H280" i="3" s="1"/>
  <c r="B280" i="3"/>
  <c r="A280" i="3"/>
  <c r="G279" i="3"/>
  <c r="E279" i="3"/>
  <c r="D279" i="3"/>
  <c r="C279" i="3"/>
  <c r="H279" i="3" s="1"/>
  <c r="B279" i="3"/>
  <c r="A279" i="3"/>
  <c r="G278" i="3"/>
  <c r="E278" i="3"/>
  <c r="D278" i="3"/>
  <c r="C278" i="3"/>
  <c r="H278" i="3" s="1"/>
  <c r="B278" i="3"/>
  <c r="A278" i="3"/>
  <c r="G277" i="3"/>
  <c r="E277" i="3"/>
  <c r="D277" i="3"/>
  <c r="C277" i="3"/>
  <c r="H277" i="3" s="1"/>
  <c r="B277" i="3"/>
  <c r="A277" i="3"/>
  <c r="G276" i="3"/>
  <c r="E276" i="3"/>
  <c r="D276" i="3"/>
  <c r="C276" i="3"/>
  <c r="H276" i="3" s="1"/>
  <c r="B276" i="3"/>
  <c r="A276" i="3"/>
  <c r="G275" i="3"/>
  <c r="E275" i="3"/>
  <c r="D275" i="3"/>
  <c r="C275" i="3"/>
  <c r="H275" i="3" s="1"/>
  <c r="B275" i="3"/>
  <c r="A275" i="3"/>
  <c r="G274" i="3"/>
  <c r="E274" i="3"/>
  <c r="D274" i="3"/>
  <c r="C274" i="3"/>
  <c r="H274" i="3" s="1"/>
  <c r="B274" i="3"/>
  <c r="A274" i="3"/>
  <c r="G273" i="3"/>
  <c r="E273" i="3"/>
  <c r="D273" i="3"/>
  <c r="C273" i="3"/>
  <c r="H273" i="3" s="1"/>
  <c r="B273" i="3"/>
  <c r="A273" i="3"/>
  <c r="G272" i="3"/>
  <c r="E272" i="3"/>
  <c r="D272" i="3"/>
  <c r="C272" i="3"/>
  <c r="H272" i="3" s="1"/>
  <c r="B272" i="3"/>
  <c r="A272" i="3"/>
  <c r="G271" i="3"/>
  <c r="E271" i="3"/>
  <c r="D271" i="3"/>
  <c r="C271" i="3"/>
  <c r="H271" i="3" s="1"/>
  <c r="B271" i="3"/>
  <c r="A271" i="3"/>
  <c r="G270" i="3"/>
  <c r="E270" i="3"/>
  <c r="D270" i="3"/>
  <c r="C270" i="3"/>
  <c r="H270" i="3" s="1"/>
  <c r="B270" i="3"/>
  <c r="A270" i="3"/>
  <c r="G269" i="3"/>
  <c r="E269" i="3"/>
  <c r="D269" i="3"/>
  <c r="C269" i="3"/>
  <c r="H269" i="3" s="1"/>
  <c r="B269" i="3"/>
  <c r="A269" i="3"/>
  <c r="G268" i="3"/>
  <c r="E268" i="3"/>
  <c r="D268" i="3"/>
  <c r="C268" i="3"/>
  <c r="H268" i="3" s="1"/>
  <c r="B268" i="3"/>
  <c r="A268" i="3"/>
  <c r="G267" i="3"/>
  <c r="E267" i="3"/>
  <c r="D267" i="3"/>
  <c r="C267" i="3"/>
  <c r="H267" i="3" s="1"/>
  <c r="B267" i="3"/>
  <c r="A267" i="3"/>
  <c r="G266" i="3"/>
  <c r="E266" i="3"/>
  <c r="D266" i="3"/>
  <c r="C266" i="3"/>
  <c r="H266" i="3" s="1"/>
  <c r="B266" i="3"/>
  <c r="A266" i="3"/>
  <c r="G265" i="3"/>
  <c r="E265" i="3"/>
  <c r="D265" i="3"/>
  <c r="C265" i="3"/>
  <c r="H265" i="3" s="1"/>
  <c r="B265" i="3"/>
  <c r="A265" i="3"/>
  <c r="G264" i="3"/>
  <c r="E264" i="3"/>
  <c r="D264" i="3"/>
  <c r="C264" i="3"/>
  <c r="H264" i="3" s="1"/>
  <c r="B264" i="3"/>
  <c r="A264" i="3"/>
  <c r="G263" i="3"/>
  <c r="E263" i="3"/>
  <c r="D263" i="3"/>
  <c r="C263" i="3"/>
  <c r="H263" i="3" s="1"/>
  <c r="B263" i="3"/>
  <c r="A263" i="3"/>
  <c r="G262" i="3"/>
  <c r="E262" i="3"/>
  <c r="D262" i="3"/>
  <c r="C262" i="3"/>
  <c r="H262" i="3" s="1"/>
  <c r="B262" i="3"/>
  <c r="A262" i="3"/>
  <c r="G261" i="3"/>
  <c r="E261" i="3"/>
  <c r="D261" i="3"/>
  <c r="C261" i="3"/>
  <c r="H261" i="3" s="1"/>
  <c r="B261" i="3"/>
  <c r="A261" i="3"/>
  <c r="G260" i="3"/>
  <c r="E260" i="3"/>
  <c r="D260" i="3"/>
  <c r="C260" i="3"/>
  <c r="H260" i="3" s="1"/>
  <c r="B260" i="3"/>
  <c r="A260" i="3"/>
  <c r="G259" i="3"/>
  <c r="E259" i="3"/>
  <c r="D259" i="3"/>
  <c r="C259" i="3"/>
  <c r="H259" i="3" s="1"/>
  <c r="B259" i="3"/>
  <c r="A259" i="3"/>
  <c r="G258" i="3"/>
  <c r="E258" i="3"/>
  <c r="D258" i="3"/>
  <c r="C258" i="3"/>
  <c r="H258" i="3" s="1"/>
  <c r="B258" i="3"/>
  <c r="A258" i="3"/>
  <c r="G257" i="3"/>
  <c r="E257" i="3"/>
  <c r="D257" i="3"/>
  <c r="C257" i="3"/>
  <c r="H257" i="3" s="1"/>
  <c r="B257" i="3"/>
  <c r="A257" i="3"/>
  <c r="G256" i="3"/>
  <c r="E256" i="3"/>
  <c r="D256" i="3"/>
  <c r="C256" i="3"/>
  <c r="H256" i="3" s="1"/>
  <c r="B256" i="3"/>
  <c r="A256" i="3"/>
  <c r="G255" i="3"/>
  <c r="E255" i="3"/>
  <c r="D255" i="3"/>
  <c r="C255" i="3"/>
  <c r="H255" i="3" s="1"/>
  <c r="B255" i="3"/>
  <c r="A255" i="3"/>
  <c r="G254" i="3"/>
  <c r="E254" i="3"/>
  <c r="D254" i="3"/>
  <c r="C254" i="3"/>
  <c r="H254" i="3" s="1"/>
  <c r="B254" i="3"/>
  <c r="A254" i="3"/>
  <c r="G253" i="3"/>
  <c r="E253" i="3"/>
  <c r="D253" i="3"/>
  <c r="C253" i="3"/>
  <c r="H253" i="3" s="1"/>
  <c r="B253" i="3"/>
  <c r="A253" i="3"/>
  <c r="G252" i="3"/>
  <c r="E252" i="3"/>
  <c r="D252" i="3"/>
  <c r="C252" i="3"/>
  <c r="H252" i="3" s="1"/>
  <c r="B252" i="3"/>
  <c r="A252" i="3"/>
  <c r="G251" i="3"/>
  <c r="E251" i="3"/>
  <c r="D251" i="3"/>
  <c r="C251" i="3"/>
  <c r="H251" i="3" s="1"/>
  <c r="B251" i="3"/>
  <c r="A251" i="3"/>
  <c r="G250" i="3"/>
  <c r="E250" i="3"/>
  <c r="D250" i="3"/>
  <c r="C250" i="3"/>
  <c r="H250" i="3" s="1"/>
  <c r="B250" i="3"/>
  <c r="A250" i="3"/>
  <c r="G249" i="3"/>
  <c r="E249" i="3"/>
  <c r="D249" i="3"/>
  <c r="C249" i="3"/>
  <c r="H249" i="3" s="1"/>
  <c r="B249" i="3"/>
  <c r="A249" i="3"/>
  <c r="G248" i="3"/>
  <c r="E248" i="3"/>
  <c r="D248" i="3"/>
  <c r="C248" i="3"/>
  <c r="H248" i="3" s="1"/>
  <c r="B248" i="3"/>
  <c r="A248" i="3"/>
  <c r="G247" i="3"/>
  <c r="E247" i="3"/>
  <c r="D247" i="3"/>
  <c r="C247" i="3"/>
  <c r="H247" i="3" s="1"/>
  <c r="B247" i="3"/>
  <c r="A247" i="3"/>
  <c r="G246" i="3"/>
  <c r="E246" i="3"/>
  <c r="D246" i="3"/>
  <c r="C246" i="3"/>
  <c r="H246" i="3" s="1"/>
  <c r="B246" i="3"/>
  <c r="A246" i="3"/>
  <c r="G245" i="3"/>
  <c r="E245" i="3"/>
  <c r="D245" i="3"/>
  <c r="C245" i="3"/>
  <c r="H245" i="3" s="1"/>
  <c r="B245" i="3"/>
  <c r="A245" i="3"/>
  <c r="G244" i="3"/>
  <c r="E244" i="3"/>
  <c r="D244" i="3"/>
  <c r="C244" i="3"/>
  <c r="H244" i="3" s="1"/>
  <c r="B244" i="3"/>
  <c r="A244" i="3"/>
  <c r="G243" i="3"/>
  <c r="E243" i="3"/>
  <c r="D243" i="3"/>
  <c r="C243" i="3"/>
  <c r="H243" i="3" s="1"/>
  <c r="B243" i="3"/>
  <c r="A243" i="3"/>
  <c r="G242" i="3"/>
  <c r="E242" i="3"/>
  <c r="D242" i="3"/>
  <c r="C242" i="3"/>
  <c r="H242" i="3" s="1"/>
  <c r="B242" i="3"/>
  <c r="A242" i="3"/>
  <c r="G241" i="3"/>
  <c r="E241" i="3"/>
  <c r="D241" i="3"/>
  <c r="C241" i="3"/>
  <c r="H241" i="3" s="1"/>
  <c r="B241" i="3"/>
  <c r="A241" i="3"/>
  <c r="G240" i="3"/>
  <c r="E240" i="3"/>
  <c r="D240" i="3"/>
  <c r="C240" i="3"/>
  <c r="H240" i="3" s="1"/>
  <c r="B240" i="3"/>
  <c r="A240" i="3"/>
  <c r="G239" i="3"/>
  <c r="E239" i="3"/>
  <c r="D239" i="3"/>
  <c r="C239" i="3"/>
  <c r="H239" i="3" s="1"/>
  <c r="B239" i="3"/>
  <c r="A239" i="3"/>
  <c r="G238" i="3"/>
  <c r="E238" i="3"/>
  <c r="D238" i="3"/>
  <c r="C238" i="3"/>
  <c r="H238" i="3" s="1"/>
  <c r="B238" i="3"/>
  <c r="A238" i="3"/>
  <c r="G237" i="3"/>
  <c r="E237" i="3"/>
  <c r="D237" i="3"/>
  <c r="C237" i="3"/>
  <c r="H237" i="3" s="1"/>
  <c r="B237" i="3"/>
  <c r="A237" i="3"/>
  <c r="G236" i="3"/>
  <c r="E236" i="3"/>
  <c r="D236" i="3"/>
  <c r="C236" i="3"/>
  <c r="H236" i="3" s="1"/>
  <c r="B236" i="3"/>
  <c r="A236" i="3"/>
  <c r="G235" i="3"/>
  <c r="E235" i="3"/>
  <c r="D235" i="3"/>
  <c r="C235" i="3"/>
  <c r="H235" i="3" s="1"/>
  <c r="B235" i="3"/>
  <c r="A235" i="3"/>
  <c r="G234" i="3"/>
  <c r="E234" i="3"/>
  <c r="D234" i="3"/>
  <c r="C234" i="3"/>
  <c r="H234" i="3" s="1"/>
  <c r="B234" i="3"/>
  <c r="A234" i="3"/>
  <c r="G233" i="3"/>
  <c r="E233" i="3"/>
  <c r="D233" i="3"/>
  <c r="C233" i="3"/>
  <c r="H233" i="3" s="1"/>
  <c r="B233" i="3"/>
  <c r="A233" i="3"/>
  <c r="G232" i="3"/>
  <c r="E232" i="3"/>
  <c r="D232" i="3"/>
  <c r="C232" i="3"/>
  <c r="H232" i="3" s="1"/>
  <c r="B232" i="3"/>
  <c r="A232" i="3"/>
  <c r="G231" i="3"/>
  <c r="E231" i="3"/>
  <c r="D231" i="3"/>
  <c r="C231" i="3"/>
  <c r="H231" i="3" s="1"/>
  <c r="B231" i="3"/>
  <c r="A231" i="3"/>
  <c r="G230" i="3"/>
  <c r="E230" i="3"/>
  <c r="D230" i="3"/>
  <c r="C230" i="3"/>
  <c r="H230" i="3" s="1"/>
  <c r="B230" i="3"/>
  <c r="A230" i="3"/>
  <c r="G229" i="3"/>
  <c r="E229" i="3"/>
  <c r="D229" i="3"/>
  <c r="C229" i="3"/>
  <c r="H229" i="3" s="1"/>
  <c r="B229" i="3"/>
  <c r="A229" i="3"/>
  <c r="G228" i="3"/>
  <c r="E228" i="3"/>
  <c r="D228" i="3"/>
  <c r="C228" i="3"/>
  <c r="B228" i="3"/>
  <c r="A228" i="3"/>
  <c r="G227" i="3"/>
  <c r="E227" i="3"/>
  <c r="D227" i="3"/>
  <c r="C227" i="3"/>
  <c r="B227" i="3"/>
  <c r="A227" i="3"/>
  <c r="G226" i="3"/>
  <c r="E226" i="3"/>
  <c r="D226" i="3"/>
  <c r="C226" i="3"/>
  <c r="B226" i="3"/>
  <c r="A226" i="3"/>
  <c r="G225" i="3"/>
  <c r="E225" i="3"/>
  <c r="D225" i="3"/>
  <c r="C225" i="3"/>
  <c r="B225" i="3"/>
  <c r="A225" i="3"/>
  <c r="G224" i="3"/>
  <c r="E224" i="3"/>
  <c r="D224" i="3"/>
  <c r="C224" i="3"/>
  <c r="B224" i="3"/>
  <c r="A224" i="3"/>
  <c r="G223" i="3"/>
  <c r="E223" i="3"/>
  <c r="D223" i="3"/>
  <c r="C223" i="3"/>
  <c r="B223" i="3"/>
  <c r="A223" i="3"/>
  <c r="G222" i="3"/>
  <c r="E222" i="3"/>
  <c r="D222" i="3"/>
  <c r="C222" i="3"/>
  <c r="B222" i="3"/>
  <c r="A222" i="3"/>
  <c r="G221" i="3"/>
  <c r="E221" i="3"/>
  <c r="D221" i="3"/>
  <c r="C221" i="3"/>
  <c r="B221" i="3"/>
  <c r="A221" i="3"/>
  <c r="G220" i="3"/>
  <c r="E220" i="3"/>
  <c r="D220" i="3"/>
  <c r="C220" i="3"/>
  <c r="B220" i="3"/>
  <c r="A220" i="3"/>
  <c r="G219" i="3"/>
  <c r="E219" i="3"/>
  <c r="D219" i="3"/>
  <c r="C219" i="3"/>
  <c r="B219" i="3"/>
  <c r="A219" i="3"/>
  <c r="G218" i="3"/>
  <c r="E218" i="3"/>
  <c r="D218" i="3"/>
  <c r="C218" i="3"/>
  <c r="B218" i="3"/>
  <c r="A218" i="3"/>
  <c r="G217" i="3"/>
  <c r="E217" i="3"/>
  <c r="D217" i="3"/>
  <c r="C217" i="3"/>
  <c r="B217" i="3"/>
  <c r="A217" i="3"/>
  <c r="G216" i="3"/>
  <c r="E216" i="3"/>
  <c r="D216" i="3"/>
  <c r="C216" i="3"/>
  <c r="B216" i="3"/>
  <c r="A216" i="3"/>
  <c r="G215" i="3"/>
  <c r="E215" i="3"/>
  <c r="D215" i="3"/>
  <c r="C215" i="3"/>
  <c r="B215" i="3"/>
  <c r="A215" i="3"/>
  <c r="G214" i="3"/>
  <c r="E214" i="3"/>
  <c r="D214" i="3"/>
  <c r="C214" i="3"/>
  <c r="B214" i="3"/>
  <c r="A214" i="3"/>
  <c r="G213" i="3"/>
  <c r="E213" i="3"/>
  <c r="D213" i="3"/>
  <c r="C213" i="3"/>
  <c r="B213" i="3"/>
  <c r="A213" i="3"/>
  <c r="G212" i="3"/>
  <c r="E212" i="3"/>
  <c r="D212" i="3"/>
  <c r="C212" i="3"/>
  <c r="B212" i="3"/>
  <c r="A212" i="3"/>
  <c r="G211" i="3"/>
  <c r="E211" i="3"/>
  <c r="D211" i="3"/>
  <c r="C211" i="3"/>
  <c r="B211" i="3"/>
  <c r="A211" i="3"/>
  <c r="G210" i="3"/>
  <c r="E210" i="3"/>
  <c r="D210" i="3"/>
  <c r="C210" i="3"/>
  <c r="B210" i="3"/>
  <c r="A210" i="3"/>
  <c r="G209" i="3"/>
  <c r="E209" i="3"/>
  <c r="D209" i="3"/>
  <c r="C209" i="3"/>
  <c r="B209" i="3"/>
  <c r="A209" i="3"/>
  <c r="G208" i="3"/>
  <c r="E208" i="3"/>
  <c r="D208" i="3"/>
  <c r="C208" i="3"/>
  <c r="B208" i="3"/>
  <c r="A208" i="3"/>
  <c r="G207" i="3"/>
  <c r="E207" i="3"/>
  <c r="D207" i="3"/>
  <c r="C207" i="3"/>
  <c r="B207" i="3"/>
  <c r="A207" i="3"/>
  <c r="G206" i="3"/>
  <c r="E206" i="3"/>
  <c r="D206" i="3"/>
  <c r="C206" i="3"/>
  <c r="B206" i="3"/>
  <c r="A206" i="3"/>
  <c r="G205" i="3"/>
  <c r="E205" i="3"/>
  <c r="D205" i="3"/>
  <c r="C205" i="3"/>
  <c r="B205" i="3"/>
  <c r="A205" i="3"/>
  <c r="G204" i="3"/>
  <c r="E204" i="3"/>
  <c r="D204" i="3"/>
  <c r="C204" i="3"/>
  <c r="B204" i="3"/>
  <c r="A204" i="3"/>
  <c r="G203" i="3"/>
  <c r="E203" i="3"/>
  <c r="D203" i="3"/>
  <c r="C203" i="3"/>
  <c r="B203" i="3"/>
  <c r="A203" i="3"/>
  <c r="G202" i="3"/>
  <c r="E202" i="3"/>
  <c r="D202" i="3"/>
  <c r="C202" i="3"/>
  <c r="B202" i="3"/>
  <c r="A202" i="3"/>
  <c r="G201" i="3"/>
  <c r="E201" i="3"/>
  <c r="D201" i="3"/>
  <c r="C201" i="3"/>
  <c r="B201" i="3"/>
  <c r="A201" i="3"/>
  <c r="G200" i="3"/>
  <c r="E200" i="3"/>
  <c r="D200" i="3"/>
  <c r="C200" i="3"/>
  <c r="B200" i="3"/>
  <c r="A200" i="3"/>
  <c r="G199" i="3"/>
  <c r="E199" i="3"/>
  <c r="D199" i="3"/>
  <c r="C199" i="3"/>
  <c r="B199" i="3"/>
  <c r="A199" i="3"/>
  <c r="G198" i="3"/>
  <c r="E198" i="3"/>
  <c r="D198" i="3"/>
  <c r="C198" i="3"/>
  <c r="B198" i="3"/>
  <c r="A198" i="3"/>
  <c r="G197" i="3"/>
  <c r="E197" i="3"/>
  <c r="D197" i="3"/>
  <c r="C197" i="3"/>
  <c r="B197" i="3"/>
  <c r="A197" i="3"/>
  <c r="G196" i="3"/>
  <c r="E196" i="3"/>
  <c r="D196" i="3"/>
  <c r="C196" i="3"/>
  <c r="B196" i="3"/>
  <c r="A196" i="3"/>
  <c r="G195" i="3"/>
  <c r="E195" i="3"/>
  <c r="D195" i="3"/>
  <c r="C195" i="3"/>
  <c r="B195" i="3"/>
  <c r="A195" i="3"/>
  <c r="G194" i="3"/>
  <c r="E194" i="3"/>
  <c r="D194" i="3"/>
  <c r="C194" i="3"/>
  <c r="B194" i="3"/>
  <c r="A194" i="3"/>
  <c r="G193" i="3"/>
  <c r="E193" i="3"/>
  <c r="D193" i="3"/>
  <c r="C193" i="3"/>
  <c r="B193" i="3"/>
  <c r="A193" i="3"/>
  <c r="G192" i="3"/>
  <c r="E192" i="3"/>
  <c r="D192" i="3"/>
  <c r="C192" i="3"/>
  <c r="B192" i="3"/>
  <c r="A192" i="3"/>
  <c r="G191" i="3"/>
  <c r="E191" i="3"/>
  <c r="D191" i="3"/>
  <c r="C191" i="3"/>
  <c r="B191" i="3"/>
  <c r="A191" i="3"/>
  <c r="G190" i="3"/>
  <c r="E190" i="3"/>
  <c r="D190" i="3"/>
  <c r="C190" i="3"/>
  <c r="B190" i="3"/>
  <c r="A190" i="3"/>
  <c r="G189" i="3"/>
  <c r="E189" i="3"/>
  <c r="D189" i="3"/>
  <c r="C189" i="3"/>
  <c r="B189" i="3"/>
  <c r="A189" i="3"/>
  <c r="G188" i="3"/>
  <c r="E188" i="3"/>
  <c r="D188" i="3"/>
  <c r="C188" i="3"/>
  <c r="B188" i="3"/>
  <c r="A188" i="3"/>
  <c r="G187" i="3"/>
  <c r="E187" i="3"/>
  <c r="D187" i="3"/>
  <c r="C187" i="3"/>
  <c r="B187" i="3"/>
  <c r="A187" i="3"/>
  <c r="G186" i="3"/>
  <c r="E186" i="3"/>
  <c r="D186" i="3"/>
  <c r="C186" i="3"/>
  <c r="B186" i="3"/>
  <c r="A186" i="3"/>
  <c r="G185" i="3"/>
  <c r="E185" i="3"/>
  <c r="D185" i="3"/>
  <c r="C185" i="3"/>
  <c r="B185" i="3"/>
  <c r="A185" i="3"/>
  <c r="G184" i="3"/>
  <c r="E184" i="3"/>
  <c r="D184" i="3"/>
  <c r="C184" i="3"/>
  <c r="B184" i="3"/>
  <c r="A184" i="3"/>
  <c r="G183" i="3"/>
  <c r="E183" i="3"/>
  <c r="D183" i="3"/>
  <c r="C183" i="3"/>
  <c r="B183" i="3"/>
  <c r="A183" i="3"/>
  <c r="G182" i="3"/>
  <c r="E182" i="3"/>
  <c r="D182" i="3"/>
  <c r="C182" i="3"/>
  <c r="B182" i="3"/>
  <c r="A182" i="3"/>
  <c r="G181" i="3"/>
  <c r="E181" i="3"/>
  <c r="D181" i="3"/>
  <c r="C181" i="3"/>
  <c r="B181" i="3"/>
  <c r="A181" i="3"/>
  <c r="G180" i="3"/>
  <c r="E180" i="3"/>
  <c r="D180" i="3"/>
  <c r="C180" i="3"/>
  <c r="B180" i="3"/>
  <c r="A180" i="3"/>
  <c r="G179" i="3"/>
  <c r="E179" i="3"/>
  <c r="D179" i="3"/>
  <c r="C179" i="3"/>
  <c r="B179" i="3"/>
  <c r="A179" i="3"/>
  <c r="G178" i="3"/>
  <c r="E178" i="3"/>
  <c r="D178" i="3"/>
  <c r="C178" i="3"/>
  <c r="B178" i="3"/>
  <c r="A178" i="3"/>
  <c r="G177" i="3"/>
  <c r="E177" i="3"/>
  <c r="D177" i="3"/>
  <c r="C177" i="3"/>
  <c r="B177" i="3"/>
  <c r="A177" i="3"/>
  <c r="G176" i="3"/>
  <c r="E176" i="3"/>
  <c r="D176" i="3"/>
  <c r="C176" i="3"/>
  <c r="B176" i="3"/>
  <c r="A176" i="3"/>
  <c r="G175" i="3"/>
  <c r="E175" i="3"/>
  <c r="D175" i="3"/>
  <c r="C175" i="3"/>
  <c r="B175" i="3"/>
  <c r="A175" i="3"/>
  <c r="G174" i="3"/>
  <c r="E174" i="3"/>
  <c r="D174" i="3"/>
  <c r="C174" i="3"/>
  <c r="B174" i="3"/>
  <c r="A174" i="3"/>
  <c r="G173" i="3"/>
  <c r="E173" i="3"/>
  <c r="D173" i="3"/>
  <c r="C173" i="3"/>
  <c r="B173" i="3"/>
  <c r="A173" i="3"/>
  <c r="G172" i="3"/>
  <c r="E172" i="3"/>
  <c r="D172" i="3"/>
  <c r="C172" i="3"/>
  <c r="B172" i="3"/>
  <c r="A172" i="3"/>
  <c r="G171" i="3"/>
  <c r="E171" i="3"/>
  <c r="D171" i="3"/>
  <c r="C171" i="3"/>
  <c r="B171" i="3"/>
  <c r="A171" i="3"/>
  <c r="G170" i="3"/>
  <c r="E170" i="3"/>
  <c r="D170" i="3"/>
  <c r="C170" i="3"/>
  <c r="B170" i="3"/>
  <c r="A170" i="3"/>
  <c r="G169" i="3"/>
  <c r="E169" i="3"/>
  <c r="D169" i="3"/>
  <c r="C169" i="3"/>
  <c r="B169" i="3"/>
  <c r="A169" i="3"/>
  <c r="G168" i="3"/>
  <c r="E168" i="3"/>
  <c r="D168" i="3"/>
  <c r="C168" i="3"/>
  <c r="B168" i="3"/>
  <c r="A168" i="3"/>
  <c r="G167" i="3"/>
  <c r="E167" i="3"/>
  <c r="D167" i="3"/>
  <c r="C167" i="3"/>
  <c r="B167" i="3"/>
  <c r="A167" i="3"/>
  <c r="G166" i="3"/>
  <c r="E166" i="3"/>
  <c r="D166" i="3"/>
  <c r="C166" i="3"/>
  <c r="B166" i="3"/>
  <c r="A166" i="3"/>
  <c r="G165" i="3"/>
  <c r="E165" i="3"/>
  <c r="D165" i="3"/>
  <c r="C165" i="3"/>
  <c r="B165" i="3"/>
  <c r="A165" i="3"/>
  <c r="G164" i="3"/>
  <c r="E164" i="3"/>
  <c r="D164" i="3"/>
  <c r="C164" i="3"/>
  <c r="B164" i="3"/>
  <c r="A164" i="3"/>
  <c r="G163" i="3"/>
  <c r="E163" i="3"/>
  <c r="D163" i="3"/>
  <c r="C163" i="3"/>
  <c r="B163" i="3"/>
  <c r="A163" i="3"/>
  <c r="G162" i="3"/>
  <c r="E162" i="3"/>
  <c r="D162" i="3"/>
  <c r="C162" i="3"/>
  <c r="B162" i="3"/>
  <c r="A162" i="3"/>
  <c r="G161" i="3"/>
  <c r="E161" i="3"/>
  <c r="D161" i="3"/>
  <c r="C161" i="3"/>
  <c r="B161" i="3"/>
  <c r="A161" i="3"/>
  <c r="G160" i="3"/>
  <c r="E160" i="3"/>
  <c r="D160" i="3"/>
  <c r="C160" i="3"/>
  <c r="B160" i="3"/>
  <c r="A160" i="3"/>
  <c r="G159" i="3"/>
  <c r="E159" i="3"/>
  <c r="D159" i="3"/>
  <c r="C159" i="3"/>
  <c r="B159" i="3"/>
  <c r="A159" i="3"/>
  <c r="G158" i="3"/>
  <c r="E158" i="3"/>
  <c r="D158" i="3"/>
  <c r="C158" i="3"/>
  <c r="B158" i="3"/>
  <c r="A158" i="3"/>
  <c r="G157" i="3"/>
  <c r="E157" i="3"/>
  <c r="D157" i="3"/>
  <c r="C157" i="3"/>
  <c r="B157" i="3"/>
  <c r="A157" i="3"/>
  <c r="G156" i="3"/>
  <c r="E156" i="3"/>
  <c r="D156" i="3"/>
  <c r="C156" i="3"/>
  <c r="B156" i="3"/>
  <c r="A156" i="3"/>
  <c r="G155" i="3"/>
  <c r="E155" i="3"/>
  <c r="D155" i="3"/>
  <c r="C155" i="3"/>
  <c r="B155" i="3"/>
  <c r="A155" i="3"/>
  <c r="G154" i="3"/>
  <c r="E154" i="3"/>
  <c r="D154" i="3"/>
  <c r="C154" i="3"/>
  <c r="B154" i="3"/>
  <c r="A154" i="3"/>
  <c r="G153" i="3"/>
  <c r="E153" i="3"/>
  <c r="D153" i="3"/>
  <c r="C153" i="3"/>
  <c r="B153" i="3"/>
  <c r="A153" i="3"/>
  <c r="G152" i="3"/>
  <c r="E152" i="3"/>
  <c r="D152" i="3"/>
  <c r="C152" i="3"/>
  <c r="B152" i="3"/>
  <c r="A152" i="3"/>
  <c r="G151" i="3"/>
  <c r="E151" i="3"/>
  <c r="D151" i="3"/>
  <c r="C151" i="3"/>
  <c r="B151" i="3"/>
  <c r="A151" i="3"/>
  <c r="G150" i="3"/>
  <c r="E150" i="3"/>
  <c r="D150" i="3"/>
  <c r="C150" i="3"/>
  <c r="H150" i="3" s="1"/>
  <c r="B150" i="3"/>
  <c r="A150" i="3"/>
  <c r="G149" i="3"/>
  <c r="E149" i="3"/>
  <c r="D149" i="3"/>
  <c r="C149" i="3"/>
  <c r="H149" i="3" s="1"/>
  <c r="B149" i="3"/>
  <c r="A149" i="3"/>
  <c r="G148" i="3"/>
  <c r="E148" i="3"/>
  <c r="D148" i="3"/>
  <c r="C148" i="3"/>
  <c r="H148" i="3" s="1"/>
  <c r="B148" i="3"/>
  <c r="A148" i="3"/>
  <c r="G147" i="3"/>
  <c r="E147" i="3"/>
  <c r="D147" i="3"/>
  <c r="C147" i="3"/>
  <c r="H147" i="3" s="1"/>
  <c r="B147" i="3"/>
  <c r="A147" i="3"/>
  <c r="G146" i="3"/>
  <c r="E146" i="3"/>
  <c r="D146" i="3"/>
  <c r="C146" i="3"/>
  <c r="H146" i="3" s="1"/>
  <c r="B146" i="3"/>
  <c r="A146" i="3"/>
  <c r="G145" i="3"/>
  <c r="E145" i="3"/>
  <c r="D145" i="3"/>
  <c r="C145" i="3"/>
  <c r="H145" i="3" s="1"/>
  <c r="B145" i="3"/>
  <c r="A145" i="3"/>
  <c r="G144" i="3"/>
  <c r="E144" i="3"/>
  <c r="D144" i="3"/>
  <c r="C144" i="3"/>
  <c r="H144" i="3" s="1"/>
  <c r="B144" i="3"/>
  <c r="A144" i="3"/>
  <c r="G143" i="3"/>
  <c r="E143" i="3"/>
  <c r="D143" i="3"/>
  <c r="C143" i="3"/>
  <c r="H143" i="3" s="1"/>
  <c r="B143" i="3"/>
  <c r="A143" i="3"/>
  <c r="G142" i="3"/>
  <c r="E142" i="3"/>
  <c r="D142" i="3"/>
  <c r="C142" i="3"/>
  <c r="H142" i="3" s="1"/>
  <c r="B142" i="3"/>
  <c r="A142" i="3"/>
  <c r="G141" i="3"/>
  <c r="E141" i="3"/>
  <c r="D141" i="3"/>
  <c r="C141" i="3"/>
  <c r="H141" i="3" s="1"/>
  <c r="B141" i="3"/>
  <c r="A141" i="3"/>
  <c r="G140" i="3"/>
  <c r="E140" i="3"/>
  <c r="D140" i="3"/>
  <c r="C140" i="3"/>
  <c r="H140" i="3" s="1"/>
  <c r="B140" i="3"/>
  <c r="A140" i="3"/>
  <c r="G139" i="3"/>
  <c r="E139" i="3"/>
  <c r="D139" i="3"/>
  <c r="C139" i="3"/>
  <c r="H139" i="3" s="1"/>
  <c r="B139" i="3"/>
  <c r="A139" i="3"/>
  <c r="G138" i="3"/>
  <c r="E138" i="3"/>
  <c r="D138" i="3"/>
  <c r="C138" i="3"/>
  <c r="H138" i="3" s="1"/>
  <c r="B138" i="3"/>
  <c r="A138" i="3"/>
  <c r="G137" i="3"/>
  <c r="E137" i="3"/>
  <c r="D137" i="3"/>
  <c r="C137" i="3"/>
  <c r="H137" i="3" s="1"/>
  <c r="B137" i="3"/>
  <c r="A137" i="3"/>
  <c r="G136" i="3"/>
  <c r="E136" i="3"/>
  <c r="D136" i="3"/>
  <c r="C136" i="3"/>
  <c r="H136" i="3" s="1"/>
  <c r="B136" i="3"/>
  <c r="A136" i="3"/>
  <c r="G135" i="3"/>
  <c r="E135" i="3"/>
  <c r="D135" i="3"/>
  <c r="C135" i="3"/>
  <c r="H135" i="3" s="1"/>
  <c r="B135" i="3"/>
  <c r="A135" i="3"/>
  <c r="G134" i="3"/>
  <c r="E134" i="3"/>
  <c r="D134" i="3"/>
  <c r="C134" i="3"/>
  <c r="H134" i="3" s="1"/>
  <c r="B134" i="3"/>
  <c r="A134" i="3"/>
  <c r="G133" i="3"/>
  <c r="E133" i="3"/>
  <c r="D133" i="3"/>
  <c r="C133" i="3"/>
  <c r="H133" i="3" s="1"/>
  <c r="B133" i="3"/>
  <c r="A133" i="3"/>
  <c r="G132" i="3"/>
  <c r="E132" i="3"/>
  <c r="D132" i="3"/>
  <c r="C132" i="3"/>
  <c r="H132" i="3" s="1"/>
  <c r="B132" i="3"/>
  <c r="A132" i="3"/>
  <c r="G131" i="3"/>
  <c r="E131" i="3"/>
  <c r="D131" i="3"/>
  <c r="C131" i="3"/>
  <c r="H131" i="3" s="1"/>
  <c r="B131" i="3"/>
  <c r="A131" i="3"/>
  <c r="G130" i="3"/>
  <c r="E130" i="3"/>
  <c r="D130" i="3"/>
  <c r="C130" i="3"/>
  <c r="H130" i="3" s="1"/>
  <c r="B130" i="3"/>
  <c r="A130" i="3"/>
  <c r="G129" i="3"/>
  <c r="E129" i="3"/>
  <c r="D129" i="3"/>
  <c r="C129" i="3"/>
  <c r="H129" i="3" s="1"/>
  <c r="B129" i="3"/>
  <c r="A129" i="3"/>
  <c r="G128" i="3"/>
  <c r="E128" i="3"/>
  <c r="D128" i="3"/>
  <c r="C128" i="3"/>
  <c r="H128" i="3" s="1"/>
  <c r="B128" i="3"/>
  <c r="A128" i="3"/>
  <c r="G127" i="3"/>
  <c r="E127" i="3"/>
  <c r="D127" i="3"/>
  <c r="C127" i="3"/>
  <c r="H127" i="3" s="1"/>
  <c r="B127" i="3"/>
  <c r="A127" i="3"/>
  <c r="G126" i="3"/>
  <c r="E126" i="3"/>
  <c r="D126" i="3"/>
  <c r="C126" i="3"/>
  <c r="H126" i="3" s="1"/>
  <c r="B126" i="3"/>
  <c r="A126" i="3"/>
  <c r="G125" i="3"/>
  <c r="E125" i="3"/>
  <c r="D125" i="3"/>
  <c r="C125" i="3"/>
  <c r="H125" i="3" s="1"/>
  <c r="B125" i="3"/>
  <c r="A125" i="3"/>
  <c r="G124" i="3"/>
  <c r="E124" i="3"/>
  <c r="D124" i="3"/>
  <c r="C124" i="3"/>
  <c r="H124" i="3" s="1"/>
  <c r="B124" i="3"/>
  <c r="A124" i="3"/>
  <c r="G123" i="3"/>
  <c r="E123" i="3"/>
  <c r="D123" i="3"/>
  <c r="C123" i="3"/>
  <c r="H123" i="3" s="1"/>
  <c r="B123" i="3"/>
  <c r="A123" i="3"/>
  <c r="G122" i="3"/>
  <c r="E122" i="3"/>
  <c r="D122" i="3"/>
  <c r="C122" i="3"/>
  <c r="H122" i="3" s="1"/>
  <c r="B122" i="3"/>
  <c r="A122" i="3"/>
  <c r="G121" i="3"/>
  <c r="E121" i="3"/>
  <c r="D121" i="3"/>
  <c r="C121" i="3"/>
  <c r="H121" i="3" s="1"/>
  <c r="B121" i="3"/>
  <c r="A121" i="3"/>
  <c r="G120" i="3"/>
  <c r="E120" i="3"/>
  <c r="D120" i="3"/>
  <c r="C120" i="3"/>
  <c r="H120" i="3" s="1"/>
  <c r="B120" i="3"/>
  <c r="A120" i="3"/>
  <c r="G119" i="3"/>
  <c r="E119" i="3"/>
  <c r="D119" i="3"/>
  <c r="C119" i="3"/>
  <c r="H119" i="3" s="1"/>
  <c r="B119" i="3"/>
  <c r="A119" i="3"/>
  <c r="G118" i="3"/>
  <c r="E118" i="3"/>
  <c r="D118" i="3"/>
  <c r="C118" i="3"/>
  <c r="H118" i="3" s="1"/>
  <c r="B118" i="3"/>
  <c r="A118" i="3"/>
  <c r="G117" i="3"/>
  <c r="E117" i="3"/>
  <c r="D117" i="3"/>
  <c r="C117" i="3"/>
  <c r="H117" i="3" s="1"/>
  <c r="B117" i="3"/>
  <c r="A117" i="3"/>
  <c r="G116" i="3"/>
  <c r="E116" i="3"/>
  <c r="D116" i="3"/>
  <c r="C116" i="3"/>
  <c r="H116" i="3" s="1"/>
  <c r="B116" i="3"/>
  <c r="A116" i="3"/>
  <c r="G115" i="3"/>
  <c r="E115" i="3"/>
  <c r="D115" i="3"/>
  <c r="C115" i="3"/>
  <c r="H115" i="3" s="1"/>
  <c r="B115" i="3"/>
  <c r="A115" i="3"/>
  <c r="G114" i="3"/>
  <c r="E114" i="3"/>
  <c r="D114" i="3"/>
  <c r="C114" i="3"/>
  <c r="B114" i="3"/>
  <c r="A114" i="3"/>
  <c r="G113" i="3"/>
  <c r="E113" i="3"/>
  <c r="D113" i="3"/>
  <c r="C113" i="3"/>
  <c r="B113" i="3"/>
  <c r="A113" i="3"/>
  <c r="G112" i="3"/>
  <c r="E112" i="3"/>
  <c r="D112" i="3"/>
  <c r="C112" i="3"/>
  <c r="B112" i="3"/>
  <c r="A112" i="3"/>
  <c r="G111" i="3"/>
  <c r="E111" i="3"/>
  <c r="D111" i="3"/>
  <c r="C111" i="3"/>
  <c r="B111" i="3"/>
  <c r="A111" i="3"/>
  <c r="G110" i="3"/>
  <c r="E110" i="3"/>
  <c r="D110" i="3"/>
  <c r="C110" i="3"/>
  <c r="B110" i="3"/>
  <c r="A110" i="3"/>
  <c r="G109" i="3"/>
  <c r="E109" i="3"/>
  <c r="D109" i="3"/>
  <c r="C109" i="3"/>
  <c r="B109" i="3"/>
  <c r="A109" i="3"/>
  <c r="G108" i="3"/>
  <c r="E108" i="3"/>
  <c r="D108" i="3"/>
  <c r="C108" i="3"/>
  <c r="B108" i="3"/>
  <c r="A108" i="3"/>
  <c r="G107" i="3"/>
  <c r="E107" i="3"/>
  <c r="D107" i="3"/>
  <c r="C107" i="3"/>
  <c r="B107" i="3"/>
  <c r="A107" i="3"/>
  <c r="G106" i="3"/>
  <c r="E106" i="3"/>
  <c r="D106" i="3"/>
  <c r="C106" i="3"/>
  <c r="B106" i="3"/>
  <c r="A106" i="3"/>
  <c r="G105" i="3"/>
  <c r="E105" i="3"/>
  <c r="D105" i="3"/>
  <c r="C105" i="3"/>
  <c r="B105" i="3"/>
  <c r="A105" i="3"/>
  <c r="G104" i="3"/>
  <c r="E104" i="3"/>
  <c r="D104" i="3"/>
  <c r="C104" i="3"/>
  <c r="B104" i="3"/>
  <c r="A104" i="3"/>
  <c r="G103" i="3"/>
  <c r="E103" i="3"/>
  <c r="D103" i="3"/>
  <c r="C103" i="3"/>
  <c r="B103" i="3"/>
  <c r="A103" i="3"/>
  <c r="G102" i="3"/>
  <c r="E102" i="3"/>
  <c r="D102" i="3"/>
  <c r="C102" i="3"/>
  <c r="B102" i="3"/>
  <c r="A102" i="3"/>
  <c r="G101" i="3"/>
  <c r="E101" i="3"/>
  <c r="D101" i="3"/>
  <c r="C101" i="3"/>
  <c r="B101" i="3"/>
  <c r="A101" i="3"/>
  <c r="G100" i="3"/>
  <c r="E100" i="3"/>
  <c r="D100" i="3"/>
  <c r="C100" i="3"/>
  <c r="B100" i="3"/>
  <c r="A100" i="3"/>
  <c r="G99" i="3"/>
  <c r="E99" i="3"/>
  <c r="D99" i="3"/>
  <c r="C99" i="3"/>
  <c r="B99" i="3"/>
  <c r="A99" i="3"/>
  <c r="G98" i="3"/>
  <c r="E98" i="3"/>
  <c r="D98" i="3"/>
  <c r="C98" i="3"/>
  <c r="B98" i="3"/>
  <c r="A98" i="3"/>
  <c r="G97" i="3"/>
  <c r="E97" i="3"/>
  <c r="D97" i="3"/>
  <c r="C97" i="3"/>
  <c r="B97" i="3"/>
  <c r="A97" i="3"/>
  <c r="G96" i="3"/>
  <c r="E96" i="3"/>
  <c r="D96" i="3"/>
  <c r="C96" i="3"/>
  <c r="B96" i="3"/>
  <c r="A96" i="3"/>
  <c r="G95" i="3"/>
  <c r="E95" i="3"/>
  <c r="D95" i="3"/>
  <c r="C95" i="3"/>
  <c r="B95" i="3"/>
  <c r="A95" i="3"/>
  <c r="G94" i="3"/>
  <c r="E94" i="3"/>
  <c r="D94" i="3"/>
  <c r="C94" i="3"/>
  <c r="B94" i="3"/>
  <c r="A94" i="3"/>
  <c r="G93" i="3"/>
  <c r="E93" i="3"/>
  <c r="D93" i="3"/>
  <c r="C93" i="3"/>
  <c r="B93" i="3"/>
  <c r="A93" i="3"/>
  <c r="G92" i="3"/>
  <c r="E92" i="3"/>
  <c r="D92" i="3"/>
  <c r="C92" i="3"/>
  <c r="B92" i="3"/>
  <c r="A92" i="3"/>
  <c r="G91" i="3"/>
  <c r="E91" i="3"/>
  <c r="D91" i="3"/>
  <c r="C91" i="3"/>
  <c r="B91" i="3"/>
  <c r="A91" i="3"/>
  <c r="G90" i="3"/>
  <c r="E90" i="3"/>
  <c r="D90" i="3"/>
  <c r="C90" i="3"/>
  <c r="B90" i="3"/>
  <c r="A90" i="3"/>
  <c r="G89" i="3"/>
  <c r="E89" i="3"/>
  <c r="D89" i="3"/>
  <c r="C89" i="3"/>
  <c r="B89" i="3"/>
  <c r="A89" i="3"/>
  <c r="G88" i="3"/>
  <c r="E88" i="3"/>
  <c r="D88" i="3"/>
  <c r="C88" i="3"/>
  <c r="B88" i="3"/>
  <c r="A88" i="3"/>
  <c r="G87" i="3"/>
  <c r="E87" i="3"/>
  <c r="D87" i="3"/>
  <c r="C87" i="3"/>
  <c r="B87" i="3"/>
  <c r="A87" i="3"/>
  <c r="G86" i="3"/>
  <c r="E86" i="3"/>
  <c r="D86" i="3"/>
  <c r="C86" i="3"/>
  <c r="B86" i="3"/>
  <c r="A86" i="3"/>
  <c r="G85" i="3"/>
  <c r="E85" i="3"/>
  <c r="D85" i="3"/>
  <c r="C85" i="3"/>
  <c r="B85" i="3"/>
  <c r="A85" i="3"/>
  <c r="G84" i="3"/>
  <c r="E84" i="3"/>
  <c r="D84" i="3"/>
  <c r="C84" i="3"/>
  <c r="B84" i="3"/>
  <c r="A84" i="3"/>
  <c r="G83" i="3"/>
  <c r="E83" i="3"/>
  <c r="D83" i="3"/>
  <c r="C83" i="3"/>
  <c r="B83" i="3"/>
  <c r="A83" i="3"/>
  <c r="G82" i="3"/>
  <c r="E82" i="3"/>
  <c r="D82" i="3"/>
  <c r="C82" i="3"/>
  <c r="B82" i="3"/>
  <c r="A82" i="3"/>
  <c r="G81" i="3"/>
  <c r="E81" i="3"/>
  <c r="D81" i="3"/>
  <c r="C81" i="3"/>
  <c r="B81" i="3"/>
  <c r="A81" i="3"/>
  <c r="G80" i="3"/>
  <c r="E80" i="3"/>
  <c r="D80" i="3"/>
  <c r="C80" i="3"/>
  <c r="B80" i="3"/>
  <c r="A80" i="3"/>
  <c r="G79" i="3"/>
  <c r="E79" i="3"/>
  <c r="D79" i="3"/>
  <c r="C79" i="3"/>
  <c r="B79" i="3"/>
  <c r="A79" i="3"/>
  <c r="G78" i="3"/>
  <c r="E78" i="3"/>
  <c r="D78" i="3"/>
  <c r="C78" i="3"/>
  <c r="B78" i="3"/>
  <c r="A78" i="3"/>
  <c r="G77" i="3"/>
  <c r="E77" i="3"/>
  <c r="D77" i="3"/>
  <c r="C77" i="3"/>
  <c r="B77" i="3"/>
  <c r="A77" i="3"/>
  <c r="G76" i="3"/>
  <c r="E76" i="3"/>
  <c r="D76" i="3"/>
  <c r="C76" i="3"/>
  <c r="B76" i="3"/>
  <c r="A76" i="3"/>
  <c r="G75" i="3"/>
  <c r="E75" i="3"/>
  <c r="D75" i="3"/>
  <c r="C75" i="3"/>
  <c r="B75" i="3"/>
  <c r="A75" i="3"/>
  <c r="G74" i="3"/>
  <c r="E74" i="3"/>
  <c r="D74" i="3"/>
  <c r="C74" i="3"/>
  <c r="B74" i="3"/>
  <c r="A74" i="3"/>
  <c r="G73" i="3"/>
  <c r="E73" i="3"/>
  <c r="D73" i="3"/>
  <c r="C73" i="3"/>
  <c r="B73" i="3"/>
  <c r="A73" i="3"/>
  <c r="G72" i="3"/>
  <c r="E72" i="3"/>
  <c r="D72" i="3"/>
  <c r="C72" i="3"/>
  <c r="B72" i="3"/>
  <c r="A72" i="3"/>
  <c r="G71" i="3"/>
  <c r="E71" i="3"/>
  <c r="D71" i="3"/>
  <c r="C71" i="3"/>
  <c r="B71" i="3"/>
  <c r="A71" i="3"/>
  <c r="G70" i="3"/>
  <c r="E70" i="3"/>
  <c r="D70" i="3"/>
  <c r="C70" i="3"/>
  <c r="B70" i="3"/>
  <c r="A70" i="3"/>
  <c r="G69" i="3"/>
  <c r="E69" i="3"/>
  <c r="D69" i="3"/>
  <c r="C69" i="3"/>
  <c r="B69" i="3"/>
  <c r="A69" i="3"/>
  <c r="G68" i="3"/>
  <c r="E68" i="3"/>
  <c r="D68" i="3"/>
  <c r="C68" i="3"/>
  <c r="B68" i="3"/>
  <c r="A68" i="3"/>
  <c r="G67" i="3"/>
  <c r="E67" i="3"/>
  <c r="D67" i="3"/>
  <c r="C67" i="3"/>
  <c r="B67" i="3"/>
  <c r="A67" i="3"/>
  <c r="G66" i="3"/>
  <c r="E66" i="3"/>
  <c r="D66" i="3"/>
  <c r="C66" i="3"/>
  <c r="B66" i="3"/>
  <c r="A66" i="3"/>
  <c r="G65" i="3"/>
  <c r="E65" i="3"/>
  <c r="D65" i="3"/>
  <c r="C65" i="3"/>
  <c r="B65" i="3"/>
  <c r="A65" i="3"/>
  <c r="G64" i="3"/>
  <c r="E64" i="3"/>
  <c r="D64" i="3"/>
  <c r="C64" i="3"/>
  <c r="B64" i="3"/>
  <c r="A64" i="3"/>
  <c r="G63" i="3"/>
  <c r="E63" i="3"/>
  <c r="D63" i="3"/>
  <c r="C63" i="3"/>
  <c r="B63" i="3"/>
  <c r="A63" i="3"/>
  <c r="G62" i="3"/>
  <c r="E62" i="3"/>
  <c r="D62" i="3"/>
  <c r="C62" i="3"/>
  <c r="B62" i="3"/>
  <c r="A62" i="3"/>
  <c r="G61" i="3"/>
  <c r="E61" i="3"/>
  <c r="D61" i="3"/>
  <c r="C61" i="3"/>
  <c r="B61" i="3"/>
  <c r="A61" i="3"/>
  <c r="G60" i="3"/>
  <c r="E60" i="3"/>
  <c r="D60" i="3"/>
  <c r="C60" i="3"/>
  <c r="B60" i="3"/>
  <c r="A60" i="3"/>
  <c r="G59" i="3"/>
  <c r="E59" i="3"/>
  <c r="D59" i="3"/>
  <c r="C59" i="3"/>
  <c r="B59" i="3"/>
  <c r="A59" i="3"/>
  <c r="G58" i="3"/>
  <c r="E58" i="3"/>
  <c r="D58" i="3"/>
  <c r="C58" i="3"/>
  <c r="B58" i="3"/>
  <c r="A58" i="3"/>
  <c r="G57" i="3"/>
  <c r="E57" i="3"/>
  <c r="D57" i="3"/>
  <c r="C57" i="3"/>
  <c r="B57" i="3"/>
  <c r="A57" i="3"/>
  <c r="G56" i="3"/>
  <c r="E56" i="3"/>
  <c r="D56" i="3"/>
  <c r="C56" i="3"/>
  <c r="B56" i="3"/>
  <c r="A56" i="3"/>
  <c r="G55" i="3"/>
  <c r="E55" i="3"/>
  <c r="D55" i="3"/>
  <c r="C55" i="3"/>
  <c r="B55" i="3"/>
  <c r="A55" i="3"/>
  <c r="G54" i="3"/>
  <c r="E54" i="3"/>
  <c r="D54" i="3"/>
  <c r="C54" i="3"/>
  <c r="B54" i="3"/>
  <c r="A54" i="3"/>
  <c r="G53" i="3"/>
  <c r="E53" i="3"/>
  <c r="D53" i="3"/>
  <c r="C53" i="3"/>
  <c r="B53" i="3"/>
  <c r="A53" i="3"/>
  <c r="G52" i="3"/>
  <c r="E52" i="3"/>
  <c r="D52" i="3"/>
  <c r="C52" i="3"/>
  <c r="B52" i="3"/>
  <c r="A52" i="3"/>
  <c r="G51" i="3"/>
  <c r="E51" i="3"/>
  <c r="D51" i="3"/>
  <c r="C51" i="3"/>
  <c r="B51" i="3"/>
  <c r="A51" i="3"/>
  <c r="G50" i="3"/>
  <c r="E50" i="3"/>
  <c r="D50" i="3"/>
  <c r="C50" i="3"/>
  <c r="B50" i="3"/>
  <c r="A50" i="3"/>
  <c r="G49" i="3"/>
  <c r="E49" i="3"/>
  <c r="D49" i="3"/>
  <c r="C49" i="3"/>
  <c r="B49" i="3"/>
  <c r="A49" i="3"/>
  <c r="G48" i="3"/>
  <c r="E48" i="3"/>
  <c r="D48" i="3"/>
  <c r="C48" i="3"/>
  <c r="B48" i="3"/>
  <c r="A48" i="3"/>
  <c r="G47" i="3"/>
  <c r="E47" i="3"/>
  <c r="D47" i="3"/>
  <c r="C47" i="3"/>
  <c r="B47" i="3"/>
  <c r="A47" i="3"/>
  <c r="G46" i="3"/>
  <c r="E46" i="3"/>
  <c r="D46" i="3"/>
  <c r="C46" i="3"/>
  <c r="B46" i="3"/>
  <c r="A46" i="3"/>
  <c r="G45" i="3"/>
  <c r="E45" i="3"/>
  <c r="D45" i="3"/>
  <c r="C45" i="3"/>
  <c r="B45" i="3"/>
  <c r="A45" i="3"/>
  <c r="G44" i="3"/>
  <c r="E44" i="3"/>
  <c r="D44" i="3"/>
  <c r="C44" i="3"/>
  <c r="B44" i="3"/>
  <c r="A44" i="3"/>
  <c r="G43" i="3"/>
  <c r="E43" i="3"/>
  <c r="D43" i="3"/>
  <c r="C43" i="3"/>
  <c r="B43" i="3"/>
  <c r="A43" i="3"/>
  <c r="G42" i="3"/>
  <c r="E42" i="3"/>
  <c r="D42" i="3"/>
  <c r="C42" i="3"/>
  <c r="B42" i="3"/>
  <c r="A42" i="3"/>
  <c r="G41" i="3"/>
  <c r="E41" i="3"/>
  <c r="D41" i="3"/>
  <c r="C41" i="3"/>
  <c r="B41" i="3"/>
  <c r="A41" i="3"/>
  <c r="G40" i="3"/>
  <c r="E40" i="3"/>
  <c r="D40" i="3"/>
  <c r="C40" i="3"/>
  <c r="B40" i="3"/>
  <c r="A40" i="3"/>
  <c r="G39" i="3"/>
  <c r="E39" i="3"/>
  <c r="D39" i="3"/>
  <c r="C39" i="3"/>
  <c r="B39" i="3"/>
  <c r="A39" i="3"/>
  <c r="G38" i="3"/>
  <c r="E38" i="3"/>
  <c r="D38" i="3"/>
  <c r="C38" i="3"/>
  <c r="B38" i="3"/>
  <c r="A38" i="3"/>
  <c r="G37" i="3"/>
  <c r="E37" i="3"/>
  <c r="D37" i="3"/>
  <c r="C37" i="3"/>
  <c r="B37" i="3"/>
  <c r="A37" i="3"/>
  <c r="G36" i="3"/>
  <c r="E36" i="3"/>
  <c r="D36" i="3"/>
  <c r="C36" i="3"/>
  <c r="B36" i="3"/>
  <c r="A36" i="3"/>
  <c r="G35" i="3"/>
  <c r="E35" i="3"/>
  <c r="D35" i="3"/>
  <c r="C35" i="3"/>
  <c r="B35" i="3"/>
  <c r="A35" i="3"/>
  <c r="G34" i="3"/>
  <c r="E34" i="3"/>
  <c r="D34" i="3"/>
  <c r="C34" i="3"/>
  <c r="B34" i="3"/>
  <c r="A34" i="3"/>
  <c r="G33" i="3"/>
  <c r="E33" i="3"/>
  <c r="D33" i="3"/>
  <c r="C33" i="3"/>
  <c r="B33" i="3"/>
  <c r="A33" i="3"/>
  <c r="G32" i="3"/>
  <c r="E32" i="3"/>
  <c r="D32" i="3"/>
  <c r="C32" i="3"/>
  <c r="B32" i="3"/>
  <c r="A32" i="3"/>
  <c r="G31" i="3"/>
  <c r="E31" i="3"/>
  <c r="D31" i="3"/>
  <c r="C31" i="3"/>
  <c r="B31" i="3"/>
  <c r="A31" i="3"/>
  <c r="G30" i="3"/>
  <c r="E30" i="3"/>
  <c r="D30" i="3"/>
  <c r="C30" i="3"/>
  <c r="B30" i="3"/>
  <c r="A30" i="3"/>
  <c r="G29" i="3"/>
  <c r="E29" i="3"/>
  <c r="D29" i="3"/>
  <c r="C29" i="3"/>
  <c r="B29" i="3"/>
  <c r="A29" i="3"/>
  <c r="G28" i="3"/>
  <c r="E28" i="3"/>
  <c r="D28" i="3"/>
  <c r="C28" i="3"/>
  <c r="B28" i="3"/>
  <c r="A28" i="3"/>
  <c r="G27" i="3"/>
  <c r="E27" i="3"/>
  <c r="D27" i="3"/>
  <c r="C27" i="3"/>
  <c r="B27" i="3"/>
  <c r="A27" i="3"/>
  <c r="G26" i="3"/>
  <c r="E26" i="3"/>
  <c r="D26" i="3"/>
  <c r="C26" i="3"/>
  <c r="B26" i="3"/>
  <c r="A26" i="3"/>
  <c r="G25" i="3"/>
  <c r="E25" i="3"/>
  <c r="D25" i="3"/>
  <c r="C25" i="3"/>
  <c r="B25" i="3"/>
  <c r="A25" i="3"/>
  <c r="G24" i="3"/>
  <c r="E24" i="3"/>
  <c r="D24" i="3"/>
  <c r="C24" i="3"/>
  <c r="B24" i="3"/>
  <c r="A24" i="3"/>
  <c r="G23" i="3"/>
  <c r="E23" i="3"/>
  <c r="D23" i="3"/>
  <c r="C23" i="3"/>
  <c r="B23" i="3"/>
  <c r="A23" i="3"/>
  <c r="G22" i="3"/>
  <c r="E22" i="3"/>
  <c r="D22" i="3"/>
  <c r="C22" i="3"/>
  <c r="B22" i="3"/>
  <c r="A22" i="3"/>
  <c r="G21" i="3"/>
  <c r="E21" i="3"/>
  <c r="D21" i="3"/>
  <c r="C21" i="3"/>
  <c r="B21" i="3"/>
  <c r="A21" i="3"/>
  <c r="G20" i="3"/>
  <c r="E20" i="3"/>
  <c r="D20" i="3"/>
  <c r="C20" i="3"/>
  <c r="B20" i="3"/>
  <c r="A20" i="3"/>
  <c r="G19" i="3"/>
  <c r="E19" i="3"/>
  <c r="D19" i="3"/>
  <c r="C19" i="3"/>
  <c r="B19" i="3"/>
  <c r="A19" i="3"/>
  <c r="G18" i="3"/>
  <c r="E18" i="3"/>
  <c r="D18" i="3"/>
  <c r="C18" i="3"/>
  <c r="B18" i="3"/>
  <c r="A18" i="3"/>
  <c r="G17" i="3"/>
  <c r="E17" i="3"/>
  <c r="D17" i="3"/>
  <c r="C17" i="3"/>
  <c r="B17" i="3"/>
  <c r="A17" i="3"/>
  <c r="G16" i="3"/>
  <c r="E16" i="3"/>
  <c r="D16" i="3"/>
  <c r="C16" i="3"/>
  <c r="B16" i="3"/>
  <c r="A16" i="3"/>
  <c r="G15" i="3"/>
  <c r="E15" i="3"/>
  <c r="D15" i="3"/>
  <c r="C15" i="3"/>
  <c r="B15" i="3"/>
  <c r="A15" i="3"/>
  <c r="G14" i="3"/>
  <c r="E14" i="3"/>
  <c r="D14" i="3"/>
  <c r="C14" i="3"/>
  <c r="B14" i="3"/>
  <c r="A14" i="3"/>
  <c r="G13" i="3"/>
  <c r="E13" i="3"/>
  <c r="D13" i="3"/>
  <c r="C13" i="3"/>
  <c r="B13" i="3"/>
  <c r="A13" i="3"/>
  <c r="G12" i="3"/>
  <c r="E12" i="3"/>
  <c r="D12" i="3"/>
  <c r="C12" i="3"/>
  <c r="B12" i="3"/>
  <c r="A12" i="3"/>
  <c r="G11" i="3"/>
  <c r="E11" i="3"/>
  <c r="D11" i="3"/>
  <c r="C11" i="3"/>
  <c r="B11" i="3"/>
  <c r="A11" i="3"/>
  <c r="G10" i="3"/>
  <c r="E10" i="3"/>
  <c r="D10" i="3"/>
  <c r="C10" i="3"/>
  <c r="B10" i="3"/>
  <c r="A10" i="3"/>
  <c r="G9" i="3"/>
  <c r="E9" i="3"/>
  <c r="D9" i="3"/>
  <c r="C9" i="3"/>
  <c r="B9" i="3"/>
  <c r="A9" i="3"/>
  <c r="G8" i="3"/>
  <c r="E8" i="3"/>
  <c r="D8" i="3"/>
  <c r="C8" i="3"/>
  <c r="B8" i="3"/>
  <c r="A8" i="3"/>
  <c r="G7" i="3"/>
  <c r="E7" i="3"/>
  <c r="D7" i="3"/>
  <c r="C7" i="3"/>
  <c r="B7" i="3"/>
  <c r="A7" i="3"/>
  <c r="G6" i="3"/>
  <c r="E6" i="3"/>
  <c r="D6" i="3"/>
  <c r="C6" i="3"/>
  <c r="B6" i="3"/>
  <c r="A6" i="3"/>
  <c r="G5" i="3"/>
  <c r="E5" i="3"/>
  <c r="D5" i="3"/>
  <c r="C5" i="3"/>
  <c r="B5" i="3"/>
  <c r="A5" i="3"/>
  <c r="G4" i="3"/>
  <c r="E4" i="3"/>
  <c r="D4" i="3"/>
  <c r="C4" i="3"/>
  <c r="B4" i="3"/>
  <c r="A4" i="3"/>
  <c r="G3" i="3"/>
  <c r="E3" i="3"/>
  <c r="D3" i="3"/>
  <c r="C3" i="3"/>
  <c r="B3" i="3"/>
  <c r="A3" i="3"/>
  <c r="G2" i="3"/>
  <c r="E2" i="3"/>
  <c r="D2" i="3"/>
  <c r="C2" i="3"/>
  <c r="B2" i="3"/>
  <c r="A2" i="3"/>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2" i="6"/>
  <c r="A37" i="6"/>
  <c r="A36" i="6"/>
  <c r="A28" i="6"/>
  <c r="A27" i="6"/>
  <c r="A26" i="6"/>
  <c r="A25" i="6"/>
  <c r="A24" i="6"/>
  <c r="A23" i="6"/>
  <c r="A22" i="6"/>
  <c r="A21" i="6"/>
  <c r="A20" i="6"/>
  <c r="A19" i="6"/>
  <c r="A18" i="6"/>
  <c r="A17" i="6"/>
  <c r="A16" i="6"/>
  <c r="A15" i="6"/>
  <c r="A14" i="6"/>
  <c r="A13" i="6"/>
  <c r="A12" i="6"/>
  <c r="A11" i="6"/>
  <c r="A10" i="6"/>
  <c r="A9" i="6"/>
  <c r="A8" i="6"/>
  <c r="A7" i="6"/>
  <c r="A6" i="6"/>
  <c r="A5" i="6"/>
  <c r="A4" i="6"/>
  <c r="A3" i="6"/>
  <c r="A2" i="6"/>
  <c r="F5" i="3" l="1"/>
  <c r="F9" i="3"/>
  <c r="F13" i="3"/>
  <c r="F17" i="3"/>
  <c r="F21" i="3"/>
  <c r="F25" i="3"/>
  <c r="F29" i="3"/>
  <c r="F33" i="3"/>
  <c r="F37" i="3"/>
  <c r="F41" i="3"/>
  <c r="F45" i="3"/>
  <c r="F49" i="3"/>
  <c r="F53" i="3"/>
  <c r="F57" i="3"/>
  <c r="F61" i="3"/>
  <c r="F65" i="3"/>
  <c r="F69" i="3"/>
  <c r="F73" i="3"/>
  <c r="F77" i="3"/>
  <c r="F81" i="3"/>
  <c r="F85" i="3"/>
  <c r="F89" i="3"/>
  <c r="F93" i="3"/>
  <c r="F97" i="3"/>
  <c r="F101" i="3"/>
  <c r="F105" i="3"/>
  <c r="F109" i="3"/>
  <c r="F113" i="3"/>
  <c r="F117" i="3"/>
  <c r="F121" i="3"/>
  <c r="F125" i="3"/>
  <c r="F129" i="3"/>
  <c r="F133" i="3"/>
  <c r="F137" i="3"/>
  <c r="F141" i="3"/>
  <c r="F145" i="3"/>
  <c r="F149" i="3"/>
  <c r="F153" i="3"/>
  <c r="F157" i="3"/>
  <c r="F161" i="3"/>
  <c r="F165" i="3"/>
  <c r="F169" i="3"/>
  <c r="F173" i="3"/>
  <c r="F177" i="3"/>
  <c r="F181" i="3"/>
  <c r="F185" i="3"/>
  <c r="F189" i="3"/>
  <c r="F193" i="3"/>
  <c r="F197" i="3"/>
  <c r="F201" i="3"/>
  <c r="F205" i="3"/>
  <c r="F209" i="3"/>
  <c r="F213" i="3"/>
  <c r="F217" i="3"/>
  <c r="F221" i="3"/>
  <c r="F225" i="3"/>
  <c r="F229" i="3"/>
  <c r="F233" i="3"/>
  <c r="F237" i="3"/>
  <c r="F241" i="3"/>
  <c r="F245" i="3"/>
  <c r="F249" i="3"/>
  <c r="F253" i="3"/>
  <c r="F257" i="3"/>
  <c r="F261" i="3"/>
  <c r="F265" i="3"/>
  <c r="F269" i="3"/>
  <c r="F273" i="3"/>
  <c r="F281" i="3"/>
  <c r="F285" i="3"/>
  <c r="F289" i="3"/>
  <c r="F293" i="3"/>
  <c r="F297" i="3"/>
  <c r="F301" i="3"/>
  <c r="F305" i="3"/>
  <c r="F309" i="3"/>
  <c r="F313" i="3"/>
  <c r="F317" i="3"/>
  <c r="F321" i="3"/>
  <c r="F325" i="3"/>
  <c r="F329" i="3"/>
  <c r="F333" i="3"/>
  <c r="F337" i="3"/>
  <c r="F341" i="3"/>
  <c r="F345" i="3"/>
  <c r="F349" i="3"/>
  <c r="F353" i="3"/>
  <c r="F357" i="3"/>
  <c r="F361" i="3"/>
  <c r="F365" i="3"/>
  <c r="F369" i="3"/>
  <c r="F373" i="3"/>
  <c r="F377" i="3"/>
  <c r="F381" i="3"/>
  <c r="F385" i="3"/>
  <c r="F389" i="3"/>
  <c r="F393" i="3"/>
  <c r="F397" i="3"/>
  <c r="F401" i="3"/>
  <c r="F405" i="3"/>
  <c r="F409" i="3"/>
  <c r="F413" i="3"/>
  <c r="H672" i="3"/>
  <c r="F277" i="3"/>
  <c r="F417" i="3"/>
  <c r="F421" i="3"/>
  <c r="F425" i="3"/>
  <c r="F429" i="3"/>
  <c r="F433" i="3"/>
  <c r="F437" i="3"/>
  <c r="F441" i="3"/>
  <c r="F445" i="3"/>
  <c r="F449" i="3"/>
  <c r="F453" i="3"/>
  <c r="F457" i="3"/>
  <c r="F461" i="3"/>
  <c r="F465" i="3"/>
  <c r="F469" i="3"/>
  <c r="F473" i="3"/>
  <c r="F477" i="3"/>
  <c r="F481" i="3"/>
  <c r="F485" i="3"/>
  <c r="F489" i="3"/>
  <c r="F493" i="3"/>
  <c r="F497" i="3"/>
  <c r="F501" i="3"/>
  <c r="F505" i="3"/>
  <c r="F509" i="3"/>
  <c r="F513" i="3"/>
  <c r="F517" i="3"/>
  <c r="F521" i="3"/>
  <c r="F525" i="3"/>
  <c r="F529" i="3"/>
  <c r="F533" i="3"/>
  <c r="F537" i="3"/>
  <c r="F541" i="3"/>
  <c r="F545" i="3"/>
  <c r="F549" i="3"/>
  <c r="F553" i="3"/>
  <c r="F557" i="3"/>
  <c r="F561" i="3"/>
  <c r="F565" i="3"/>
  <c r="F569" i="3"/>
  <c r="F573" i="3"/>
  <c r="F577" i="3"/>
  <c r="F649" i="3"/>
  <c r="F653" i="3"/>
  <c r="F657" i="3"/>
  <c r="F661" i="3"/>
  <c r="F665" i="3"/>
  <c r="F669" i="3"/>
  <c r="F673" i="3"/>
  <c r="F677" i="3"/>
  <c r="F681" i="3"/>
  <c r="F685" i="3"/>
  <c r="F689" i="3"/>
  <c r="F693" i="3"/>
  <c r="F697" i="3"/>
  <c r="F701" i="3"/>
  <c r="F705" i="3"/>
  <c r="F709" i="3"/>
  <c r="F713" i="3"/>
  <c r="F717" i="3"/>
  <c r="F721" i="3"/>
  <c r="F725" i="3"/>
  <c r="F729" i="3"/>
  <c r="F733" i="3"/>
  <c r="F737" i="3"/>
  <c r="F741" i="3"/>
  <c r="F745" i="3"/>
  <c r="F749" i="3"/>
  <c r="F753" i="3"/>
  <c r="F757" i="3"/>
  <c r="F761" i="3"/>
  <c r="F765" i="3"/>
  <c r="F769" i="3"/>
  <c r="F773" i="3"/>
  <c r="F777" i="3"/>
  <c r="F781" i="3"/>
  <c r="F785" i="3"/>
  <c r="F789" i="3"/>
  <c r="F793" i="3"/>
  <c r="F797" i="3"/>
  <c r="F801" i="3"/>
  <c r="F805" i="3"/>
  <c r="F809" i="3"/>
  <c r="F813" i="3"/>
  <c r="F817" i="3"/>
  <c r="F821" i="3"/>
  <c r="F825" i="3"/>
  <c r="F829" i="3"/>
  <c r="F833" i="3"/>
  <c r="F837" i="3"/>
  <c r="F841" i="3"/>
  <c r="F845" i="3"/>
  <c r="F849" i="3"/>
  <c r="F853" i="3"/>
  <c r="F857" i="3"/>
  <c r="F861" i="3"/>
  <c r="F865" i="3"/>
  <c r="F869" i="3"/>
  <c r="F873" i="3"/>
  <c r="F877" i="3"/>
  <c r="F881" i="3"/>
  <c r="F885" i="3"/>
  <c r="F889" i="3"/>
  <c r="F893" i="3"/>
  <c r="F897" i="3"/>
  <c r="F581" i="3"/>
  <c r="F585" i="3"/>
  <c r="F589" i="3"/>
  <c r="F593" i="3"/>
  <c r="F597" i="3"/>
  <c r="F601" i="3"/>
  <c r="F605" i="3"/>
  <c r="F609" i="3"/>
  <c r="F613" i="3"/>
  <c r="F617" i="3"/>
  <c r="F621" i="3"/>
  <c r="F625" i="3"/>
  <c r="F629" i="3"/>
  <c r="F633" i="3"/>
  <c r="F637" i="3"/>
  <c r="F641" i="3"/>
  <c r="F645" i="3"/>
  <c r="F901" i="3"/>
  <c r="F905" i="3"/>
  <c r="F909" i="3"/>
  <c r="F913" i="3"/>
  <c r="B6" i="2"/>
  <c r="F917" i="3"/>
  <c r="F921" i="3"/>
  <c r="F925" i="3"/>
  <c r="F929" i="3"/>
  <c r="F933" i="3"/>
  <c r="F937" i="3"/>
  <c r="F941" i="3"/>
  <c r="F945" i="3"/>
  <c r="F949" i="3"/>
  <c r="F953" i="3"/>
  <c r="F957" i="3"/>
  <c r="F961" i="3"/>
  <c r="F965" i="3"/>
  <c r="F969" i="3"/>
  <c r="F973" i="3"/>
  <c r="F977" i="3"/>
  <c r="F981" i="3"/>
  <c r="F985" i="3"/>
  <c r="F989" i="3"/>
  <c r="F993" i="3"/>
  <c r="F997" i="3"/>
  <c r="F1001" i="3"/>
  <c r="F224" i="3"/>
  <c r="F228" i="3"/>
  <c r="F232" i="3"/>
  <c r="F236" i="3"/>
  <c r="F240" i="3"/>
  <c r="F244" i="3"/>
  <c r="F248" i="3"/>
  <c r="F252" i="3"/>
  <c r="F256" i="3"/>
  <c r="F260" i="3"/>
  <c r="F264" i="3"/>
  <c r="F268" i="3"/>
  <c r="F272" i="3"/>
  <c r="F276" i="3"/>
  <c r="F280" i="3"/>
  <c r="F284" i="3"/>
  <c r="F288" i="3"/>
  <c r="F292" i="3"/>
  <c r="F296" i="3"/>
  <c r="F300" i="3"/>
  <c r="F304" i="3"/>
  <c r="F308" i="3"/>
  <c r="F3" i="3"/>
  <c r="F199" i="3"/>
  <c r="F203" i="3"/>
  <c r="F207" i="3"/>
  <c r="F211" i="3"/>
  <c r="F215" i="3"/>
  <c r="F219" i="3"/>
  <c r="F223" i="3"/>
  <c r="F227" i="3"/>
  <c r="F231" i="3"/>
  <c r="F235" i="3"/>
  <c r="F239" i="3"/>
  <c r="F243" i="3"/>
  <c r="F247" i="3"/>
  <c r="F251" i="3"/>
  <c r="F255" i="3"/>
  <c r="F259" i="3"/>
  <c r="F263" i="3"/>
  <c r="F267" i="3"/>
  <c r="F271" i="3"/>
  <c r="F275" i="3"/>
  <c r="F279" i="3"/>
  <c r="F283" i="3"/>
  <c r="F287" i="3"/>
  <c r="F291" i="3"/>
  <c r="F295" i="3"/>
  <c r="F299" i="3"/>
  <c r="F303" i="3"/>
  <c r="F307" i="3"/>
  <c r="F311" i="3"/>
  <c r="F315" i="3"/>
  <c r="F319" i="3"/>
  <c r="F323" i="3"/>
  <c r="F327" i="3"/>
  <c r="F331" i="3"/>
  <c r="F335" i="3"/>
  <c r="F363" i="3"/>
  <c r="F367" i="3"/>
  <c r="F371" i="3"/>
  <c r="F375" i="3"/>
  <c r="F379" i="3"/>
  <c r="F383" i="3"/>
  <c r="F431" i="3"/>
  <c r="F435" i="3"/>
  <c r="F439" i="3"/>
  <c r="F443" i="3"/>
  <c r="F447" i="3"/>
  <c r="F451" i="3"/>
  <c r="F455" i="3"/>
  <c r="F459" i="3"/>
  <c r="F463" i="3"/>
  <c r="F467" i="3"/>
  <c r="F471" i="3"/>
  <c r="F475" i="3"/>
  <c r="F479" i="3"/>
  <c r="F483" i="3"/>
  <c r="F487" i="3"/>
  <c r="F491" i="3"/>
  <c r="F495" i="3"/>
  <c r="F499" i="3"/>
  <c r="F503" i="3"/>
  <c r="F507" i="3"/>
  <c r="F511" i="3"/>
  <c r="F515" i="3"/>
  <c r="F519" i="3"/>
  <c r="F523" i="3"/>
  <c r="F527" i="3"/>
  <c r="F531" i="3"/>
  <c r="F535" i="3"/>
  <c r="F539" i="3"/>
  <c r="F543" i="3"/>
  <c r="F547" i="3"/>
  <c r="F551" i="3"/>
  <c r="F555" i="3"/>
  <c r="F559" i="3"/>
  <c r="F563" i="3"/>
  <c r="F567" i="3"/>
  <c r="F571" i="3"/>
  <c r="F575" i="3"/>
  <c r="F579" i="3"/>
  <c r="F583" i="3"/>
  <c r="F587" i="3"/>
  <c r="F591" i="3"/>
  <c r="F595" i="3"/>
  <c r="F599" i="3"/>
  <c r="F360" i="3"/>
  <c r="F364" i="3"/>
  <c r="F368" i="3"/>
  <c r="F372" i="3"/>
  <c r="F376" i="3"/>
  <c r="F380" i="3"/>
  <c r="F384" i="3"/>
  <c r="F388" i="3"/>
  <c r="F392" i="3"/>
  <c r="F396" i="3"/>
  <c r="F400" i="3"/>
  <c r="F404" i="3"/>
  <c r="F408" i="3"/>
  <c r="F416" i="3"/>
  <c r="F1005" i="3"/>
  <c r="F1009" i="3"/>
  <c r="F1013" i="3"/>
  <c r="F1017" i="3"/>
  <c r="F1021" i="3"/>
  <c r="F1025" i="3"/>
  <c r="F1029" i="3"/>
  <c r="F1033" i="3"/>
  <c r="F1037" i="3"/>
  <c r="F1041" i="3"/>
  <c r="F1045" i="3"/>
  <c r="F1049" i="3"/>
  <c r="F420" i="3"/>
  <c r="F424" i="3"/>
  <c r="F428" i="3"/>
  <c r="F432" i="3"/>
  <c r="F436" i="3"/>
  <c r="F440" i="3"/>
  <c r="F444" i="3"/>
  <c r="F448" i="3"/>
  <c r="F452" i="3"/>
  <c r="F456" i="3"/>
  <c r="F460" i="3"/>
  <c r="F464" i="3"/>
  <c r="F468" i="3"/>
  <c r="F472" i="3"/>
  <c r="F476" i="3"/>
  <c r="F480" i="3"/>
  <c r="F484" i="3"/>
  <c r="F488" i="3"/>
  <c r="F492" i="3"/>
  <c r="F496" i="3"/>
  <c r="F500" i="3"/>
  <c r="F504" i="3"/>
  <c r="F508" i="3"/>
  <c r="F512" i="3"/>
  <c r="F516" i="3"/>
  <c r="F520" i="3"/>
  <c r="F524" i="3"/>
  <c r="F528" i="3"/>
  <c r="F532" i="3"/>
  <c r="F536" i="3"/>
  <c r="F540" i="3"/>
  <c r="F544" i="3"/>
  <c r="F548" i="3"/>
  <c r="F552" i="3"/>
  <c r="F556" i="3"/>
  <c r="F560" i="3"/>
  <c r="F564" i="3"/>
  <c r="F568" i="3"/>
  <c r="F572" i="3"/>
  <c r="F576" i="3"/>
  <c r="F580" i="3"/>
  <c r="F584" i="3"/>
  <c r="F588" i="3"/>
  <c r="F592" i="3"/>
  <c r="F596" i="3"/>
  <c r="F876" i="3"/>
  <c r="F880" i="3"/>
  <c r="F884" i="3"/>
  <c r="F888" i="3"/>
  <c r="F892" i="3"/>
  <c r="F896" i="3"/>
  <c r="F900" i="3"/>
  <c r="F904" i="3"/>
  <c r="F908" i="3"/>
  <c r="F912" i="3"/>
  <c r="F916" i="3"/>
  <c r="F920" i="3"/>
  <c r="F924" i="3"/>
  <c r="F928" i="3"/>
  <c r="F932" i="3"/>
  <c r="F936" i="3"/>
  <c r="F940" i="3"/>
  <c r="F944" i="3"/>
  <c r="F948" i="3"/>
  <c r="F952" i="3"/>
  <c r="F956" i="3"/>
  <c r="F960" i="3"/>
  <c r="F964" i="3"/>
  <c r="F968" i="3"/>
  <c r="F972" i="3"/>
  <c r="F976" i="3"/>
  <c r="F980" i="3"/>
  <c r="F984" i="3"/>
  <c r="F988" i="3"/>
  <c r="F992" i="3"/>
  <c r="F996" i="3"/>
  <c r="F1000" i="3"/>
  <c r="F1004" i="3"/>
  <c r="F1008" i="3"/>
  <c r="F1012" i="3"/>
  <c r="F1016" i="3"/>
  <c r="F1020" i="3"/>
  <c r="F1024" i="3"/>
  <c r="F1028" i="3"/>
  <c r="F1032" i="3"/>
  <c r="F987" i="3"/>
  <c r="F991" i="3"/>
  <c r="F995" i="3"/>
  <c r="F999" i="3"/>
  <c r="F1003" i="3"/>
  <c r="F1007" i="3"/>
  <c r="F1011" i="3"/>
  <c r="F1015" i="3"/>
  <c r="F1019" i="3"/>
  <c r="F1023" i="3"/>
  <c r="F1027" i="3"/>
  <c r="F1031" i="3"/>
  <c r="F1035" i="3"/>
  <c r="F1039" i="3"/>
  <c r="F1043" i="3"/>
  <c r="F1047" i="3"/>
  <c r="B9" i="2"/>
  <c r="F1036" i="3"/>
  <c r="F1040" i="3"/>
  <c r="F1044" i="3"/>
  <c r="F1048" i="3"/>
  <c r="C9" i="2"/>
  <c r="D9" i="2"/>
  <c r="F4" i="3"/>
  <c r="F8" i="3"/>
  <c r="F12" i="3"/>
  <c r="F16" i="3"/>
  <c r="F20" i="3"/>
  <c r="F24" i="3"/>
  <c r="F28" i="3"/>
  <c r="F32" i="3"/>
  <c r="F36" i="3"/>
  <c r="F40" i="3"/>
  <c r="F44" i="3"/>
  <c r="F48" i="3"/>
  <c r="F52" i="3"/>
  <c r="F56" i="3"/>
  <c r="F60" i="3"/>
  <c r="F64" i="3"/>
  <c r="F68" i="3"/>
  <c r="F72" i="3"/>
  <c r="F76" i="3"/>
  <c r="F80" i="3"/>
  <c r="F84" i="3"/>
  <c r="F88" i="3"/>
  <c r="F92" i="3"/>
  <c r="F96" i="3"/>
  <c r="F100" i="3"/>
  <c r="F104" i="3"/>
  <c r="F108" i="3"/>
  <c r="F112" i="3"/>
  <c r="F116" i="3"/>
  <c r="F120" i="3"/>
  <c r="F124" i="3"/>
  <c r="F128" i="3"/>
  <c r="F132" i="3"/>
  <c r="F136" i="3"/>
  <c r="F140" i="3"/>
  <c r="F144" i="3"/>
  <c r="F148" i="3"/>
  <c r="F152" i="3"/>
  <c r="F156" i="3"/>
  <c r="F160" i="3"/>
  <c r="F164" i="3"/>
  <c r="F168" i="3"/>
  <c r="F172" i="3"/>
  <c r="F176" i="3"/>
  <c r="F180" i="3"/>
  <c r="F184" i="3"/>
  <c r="F188" i="3"/>
  <c r="F192" i="3"/>
  <c r="F196" i="3"/>
  <c r="F200" i="3"/>
  <c r="F204" i="3"/>
  <c r="F208" i="3"/>
  <c r="F212" i="3"/>
  <c r="F216" i="3"/>
  <c r="F220" i="3"/>
  <c r="F312" i="3"/>
  <c r="F316" i="3"/>
  <c r="F320" i="3"/>
  <c r="F324" i="3"/>
  <c r="F328" i="3"/>
  <c r="F332" i="3"/>
  <c r="F336" i="3"/>
  <c r="F340" i="3"/>
  <c r="F344" i="3"/>
  <c r="F348" i="3"/>
  <c r="F352" i="3"/>
  <c r="F356" i="3"/>
  <c r="F412" i="3"/>
  <c r="B10" i="2"/>
  <c r="F7" i="3"/>
  <c r="F11" i="3"/>
  <c r="F15" i="3"/>
  <c r="F19" i="3"/>
  <c r="F23" i="3"/>
  <c r="F27" i="3"/>
  <c r="F31" i="3"/>
  <c r="F35" i="3"/>
  <c r="F39" i="3"/>
  <c r="F43" i="3"/>
  <c r="F47" i="3"/>
  <c r="F51" i="3"/>
  <c r="F55" i="3"/>
  <c r="F59" i="3"/>
  <c r="F63" i="3"/>
  <c r="F67" i="3"/>
  <c r="F71" i="3"/>
  <c r="F75" i="3"/>
  <c r="F79" i="3"/>
  <c r="F83" i="3"/>
  <c r="F87" i="3"/>
  <c r="F91" i="3"/>
  <c r="F95" i="3"/>
  <c r="F99" i="3"/>
  <c r="F103" i="3"/>
  <c r="F107" i="3"/>
  <c r="F111" i="3"/>
  <c r="F115" i="3"/>
  <c r="F119" i="3"/>
  <c r="F123" i="3"/>
  <c r="F127" i="3"/>
  <c r="F131" i="3"/>
  <c r="F135" i="3"/>
  <c r="F139" i="3"/>
  <c r="F143" i="3"/>
  <c r="F147" i="3"/>
  <c r="F151" i="3"/>
  <c r="F155" i="3"/>
  <c r="F159" i="3"/>
  <c r="F163" i="3"/>
  <c r="F167" i="3"/>
  <c r="F171" i="3"/>
  <c r="F175" i="3"/>
  <c r="F179" i="3"/>
  <c r="F183" i="3"/>
  <c r="F187" i="3"/>
  <c r="F191" i="3"/>
  <c r="F195" i="3"/>
  <c r="F339" i="3"/>
  <c r="F343" i="3"/>
  <c r="F347" i="3"/>
  <c r="F351" i="3"/>
  <c r="F355" i="3"/>
  <c r="F359" i="3"/>
  <c r="F387" i="3"/>
  <c r="F391" i="3"/>
  <c r="F395" i="3"/>
  <c r="F399" i="3"/>
  <c r="F403" i="3"/>
  <c r="F407" i="3"/>
  <c r="F411" i="3"/>
  <c r="F415" i="3"/>
  <c r="F419" i="3"/>
  <c r="F423" i="3"/>
  <c r="F427" i="3"/>
  <c r="C6" i="2"/>
  <c r="C7" i="2"/>
  <c r="E11" i="2"/>
  <c r="C10" i="2"/>
  <c r="D7" i="2"/>
  <c r="C5" i="2"/>
  <c r="B8" i="2"/>
  <c r="D10" i="2"/>
  <c r="D4" i="2"/>
  <c r="D5" i="2"/>
  <c r="C8" i="2"/>
  <c r="B5" i="2"/>
  <c r="D8" i="2"/>
  <c r="F603" i="3"/>
  <c r="F607" i="3"/>
  <c r="F611" i="3"/>
  <c r="F615" i="3"/>
  <c r="F619" i="3"/>
  <c r="F623" i="3"/>
  <c r="F627" i="3"/>
  <c r="F631" i="3"/>
  <c r="B4" i="2"/>
  <c r="D6" i="2"/>
  <c r="C4" i="2"/>
  <c r="B7" i="2"/>
  <c r="F2" i="3"/>
  <c r="F6" i="3"/>
  <c r="F10" i="3"/>
  <c r="F14" i="3"/>
  <c r="F18" i="3"/>
  <c r="F22" i="3"/>
  <c r="F26" i="3"/>
  <c r="F30" i="3"/>
  <c r="F34" i="3"/>
  <c r="F38" i="3"/>
  <c r="F42" i="3"/>
  <c r="F46" i="3"/>
  <c r="F50" i="3"/>
  <c r="F54" i="3"/>
  <c r="F58" i="3"/>
  <c r="F62" i="3"/>
  <c r="F66" i="3"/>
  <c r="F70" i="3"/>
  <c r="F74" i="3"/>
  <c r="F78" i="3"/>
  <c r="F82" i="3"/>
  <c r="F86" i="3"/>
  <c r="F90" i="3"/>
  <c r="F94" i="3"/>
  <c r="F98" i="3"/>
  <c r="F102" i="3"/>
  <c r="F106" i="3"/>
  <c r="F110" i="3"/>
  <c r="F114" i="3"/>
  <c r="F118" i="3"/>
  <c r="F122" i="3"/>
  <c r="F126" i="3"/>
  <c r="F130" i="3"/>
  <c r="F134" i="3"/>
  <c r="F138" i="3"/>
  <c r="F142" i="3"/>
  <c r="F146" i="3"/>
  <c r="F150" i="3"/>
  <c r="F154" i="3"/>
  <c r="F158" i="3"/>
  <c r="F162" i="3"/>
  <c r="F166" i="3"/>
  <c r="F170" i="3"/>
  <c r="F174" i="3"/>
  <c r="F178" i="3"/>
  <c r="F182" i="3"/>
  <c r="F186" i="3"/>
  <c r="F190" i="3"/>
  <c r="F194" i="3"/>
  <c r="F198" i="3"/>
  <c r="F202" i="3"/>
  <c r="F206" i="3"/>
  <c r="F210" i="3"/>
  <c r="F214" i="3"/>
  <c r="F218" i="3"/>
  <c r="F222" i="3"/>
  <c r="F226" i="3"/>
  <c r="F230" i="3"/>
  <c r="F234" i="3"/>
  <c r="F238" i="3"/>
  <c r="F242" i="3"/>
  <c r="F246" i="3"/>
  <c r="F250" i="3"/>
  <c r="F254" i="3"/>
  <c r="F258" i="3"/>
  <c r="F262" i="3"/>
  <c r="F266" i="3"/>
  <c r="F270" i="3"/>
  <c r="F274" i="3"/>
  <c r="F278" i="3"/>
  <c r="F282" i="3"/>
  <c r="F286" i="3"/>
  <c r="F290" i="3"/>
  <c r="F294" i="3"/>
  <c r="F298" i="3"/>
  <c r="F302" i="3"/>
  <c r="F306" i="3"/>
  <c r="F310" i="3"/>
  <c r="F314" i="3"/>
  <c r="F318" i="3"/>
  <c r="F322" i="3"/>
  <c r="F326" i="3"/>
  <c r="F330" i="3"/>
  <c r="F334" i="3"/>
  <c r="F338" i="3"/>
  <c r="F342" i="3"/>
  <c r="F346" i="3"/>
  <c r="F350" i="3"/>
  <c r="F354" i="3"/>
  <c r="F358" i="3"/>
  <c r="F362" i="3"/>
  <c r="F366" i="3"/>
  <c r="F370" i="3"/>
  <c r="F374" i="3"/>
  <c r="F378" i="3"/>
  <c r="F382" i="3"/>
  <c r="F386" i="3"/>
  <c r="F390" i="3"/>
  <c r="F394" i="3"/>
  <c r="F398" i="3"/>
  <c r="F402" i="3"/>
  <c r="F406" i="3"/>
  <c r="F410" i="3"/>
  <c r="F414" i="3"/>
  <c r="F418" i="3"/>
  <c r="F422" i="3"/>
  <c r="F426" i="3"/>
  <c r="F430" i="3"/>
  <c r="F434" i="3"/>
  <c r="F438" i="3"/>
  <c r="F442" i="3"/>
  <c r="F446" i="3"/>
  <c r="F450" i="3"/>
  <c r="F454" i="3"/>
  <c r="F458" i="3"/>
  <c r="F462" i="3"/>
  <c r="F466" i="3"/>
  <c r="F470" i="3"/>
  <c r="F474" i="3"/>
  <c r="F478" i="3"/>
  <c r="F482" i="3"/>
  <c r="F486" i="3"/>
  <c r="F490" i="3"/>
  <c r="F494" i="3"/>
  <c r="F498" i="3"/>
  <c r="F502" i="3"/>
  <c r="F506" i="3"/>
  <c r="F510" i="3"/>
  <c r="F514" i="3"/>
  <c r="F518" i="3"/>
  <c r="F522" i="3"/>
  <c r="F526" i="3"/>
  <c r="F530" i="3"/>
  <c r="F600" i="3"/>
  <c r="F604" i="3"/>
  <c r="F608" i="3"/>
  <c r="F612" i="3"/>
  <c r="F616" i="3"/>
  <c r="F620" i="3"/>
  <c r="F624" i="3"/>
  <c r="F628" i="3"/>
  <c r="F632" i="3"/>
  <c r="F636" i="3"/>
  <c r="F640" i="3"/>
  <c r="F644" i="3"/>
  <c r="F648" i="3"/>
  <c r="F652" i="3"/>
  <c r="F656" i="3"/>
  <c r="F660" i="3"/>
  <c r="F664" i="3"/>
  <c r="F668" i="3"/>
  <c r="F672" i="3"/>
  <c r="F676" i="3"/>
  <c r="F680" i="3"/>
  <c r="F684" i="3"/>
  <c r="F688" i="3"/>
  <c r="F692" i="3"/>
  <c r="F696" i="3"/>
  <c r="F700" i="3"/>
  <c r="F704" i="3"/>
  <c r="F708" i="3"/>
  <c r="F712" i="3"/>
  <c r="F716" i="3"/>
  <c r="F720" i="3"/>
  <c r="F635" i="3"/>
  <c r="F639" i="3"/>
  <c r="F643" i="3"/>
  <c r="F647" i="3"/>
  <c r="F534" i="3"/>
  <c r="F538" i="3"/>
  <c r="F542" i="3"/>
  <c r="F546" i="3"/>
  <c r="F550" i="3"/>
  <c r="F554" i="3"/>
  <c r="F558" i="3"/>
  <c r="F562" i="3"/>
  <c r="F566" i="3"/>
  <c r="F570" i="3"/>
  <c r="F574" i="3"/>
  <c r="F578" i="3"/>
  <c r="F582" i="3"/>
  <c r="F586" i="3"/>
  <c r="F590" i="3"/>
  <c r="F594" i="3"/>
  <c r="F598" i="3"/>
  <c r="F602" i="3"/>
  <c r="F606" i="3"/>
  <c r="F610" i="3"/>
  <c r="F614" i="3"/>
  <c r="F618" i="3"/>
  <c r="F622" i="3"/>
  <c r="F626" i="3"/>
  <c r="F630" i="3"/>
  <c r="F634" i="3"/>
  <c r="F638" i="3"/>
  <c r="F642" i="3"/>
  <c r="F646" i="3"/>
  <c r="F650" i="3"/>
  <c r="F654" i="3"/>
  <c r="F658" i="3"/>
  <c r="F662" i="3"/>
  <c r="F666" i="3"/>
  <c r="F670" i="3"/>
  <c r="F674" i="3"/>
  <c r="F678" i="3"/>
  <c r="F682" i="3"/>
  <c r="F686" i="3"/>
  <c r="F690" i="3"/>
  <c r="F694" i="3"/>
  <c r="F698" i="3"/>
  <c r="F702" i="3"/>
  <c r="F706" i="3"/>
  <c r="F710" i="3"/>
  <c r="F714" i="3"/>
  <c r="F718" i="3"/>
  <c r="F722" i="3"/>
  <c r="F726" i="3"/>
  <c r="F730" i="3"/>
  <c r="F734" i="3"/>
  <c r="F738" i="3"/>
  <c r="F742" i="3"/>
  <c r="F746" i="3"/>
  <c r="F750" i="3"/>
  <c r="F754" i="3"/>
  <c r="F758" i="3"/>
  <c r="F762" i="3"/>
  <c r="F766" i="3"/>
  <c r="F770" i="3"/>
  <c r="F774" i="3"/>
  <c r="F778" i="3"/>
  <c r="F782" i="3"/>
  <c r="F786" i="3"/>
  <c r="F790" i="3"/>
  <c r="F794" i="3"/>
  <c r="F798" i="3"/>
  <c r="F802" i="3"/>
  <c r="F806" i="3"/>
  <c r="F810" i="3"/>
  <c r="F814" i="3"/>
  <c r="F818" i="3"/>
  <c r="F822" i="3"/>
  <c r="F826" i="3"/>
  <c r="F830" i="3"/>
  <c r="F834" i="3"/>
  <c r="F838" i="3"/>
  <c r="F842" i="3"/>
  <c r="F846" i="3"/>
  <c r="F850" i="3"/>
  <c r="F854" i="3"/>
  <c r="F858" i="3"/>
  <c r="F862" i="3"/>
  <c r="F866" i="3"/>
  <c r="F870" i="3"/>
  <c r="F724" i="3"/>
  <c r="F728" i="3"/>
  <c r="F732" i="3"/>
  <c r="F736" i="3"/>
  <c r="F740" i="3"/>
  <c r="F744" i="3"/>
  <c r="F748" i="3"/>
  <c r="F752" i="3"/>
  <c r="F756" i="3"/>
  <c r="F760" i="3"/>
  <c r="F764" i="3"/>
  <c r="F768" i="3"/>
  <c r="F772" i="3"/>
  <c r="F776" i="3"/>
  <c r="F780" i="3"/>
  <c r="F784" i="3"/>
  <c r="F788" i="3"/>
  <c r="F792" i="3"/>
  <c r="F796" i="3"/>
  <c r="F800" i="3"/>
  <c r="F804" i="3"/>
  <c r="F808" i="3"/>
  <c r="F812" i="3"/>
  <c r="F816" i="3"/>
  <c r="F820" i="3"/>
  <c r="F824" i="3"/>
  <c r="F828" i="3"/>
  <c r="F832" i="3"/>
  <c r="F836" i="3"/>
  <c r="F840" i="3"/>
  <c r="F844" i="3"/>
  <c r="F848" i="3"/>
  <c r="F852" i="3"/>
  <c r="F856" i="3"/>
  <c r="F860" i="3"/>
  <c r="F864" i="3"/>
  <c r="F868" i="3"/>
  <c r="F872" i="3"/>
  <c r="F651" i="3"/>
  <c r="F655" i="3"/>
  <c r="F659" i="3"/>
  <c r="F663" i="3"/>
  <c r="F667" i="3"/>
  <c r="F671" i="3"/>
  <c r="F675" i="3"/>
  <c r="F679" i="3"/>
  <c r="F683" i="3"/>
  <c r="F687" i="3"/>
  <c r="F691" i="3"/>
  <c r="F695" i="3"/>
  <c r="F699" i="3"/>
  <c r="F703" i="3"/>
  <c r="F707" i="3"/>
  <c r="F711" i="3"/>
  <c r="F715" i="3"/>
  <c r="F719" i="3"/>
  <c r="F723" i="3"/>
  <c r="F727" i="3"/>
  <c r="F731" i="3"/>
  <c r="F735" i="3"/>
  <c r="F739" i="3"/>
  <c r="F743" i="3"/>
  <c r="F747" i="3"/>
  <c r="F751" i="3"/>
  <c r="F755" i="3"/>
  <c r="F759" i="3"/>
  <c r="F763" i="3"/>
  <c r="F767" i="3"/>
  <c r="F771" i="3"/>
  <c r="F775" i="3"/>
  <c r="F779" i="3"/>
  <c r="F783" i="3"/>
  <c r="F787" i="3"/>
  <c r="F791" i="3"/>
  <c r="F795" i="3"/>
  <c r="F799" i="3"/>
  <c r="F803" i="3"/>
  <c r="F807" i="3"/>
  <c r="F811" i="3"/>
  <c r="F815" i="3"/>
  <c r="F819" i="3"/>
  <c r="F823" i="3"/>
  <c r="F827" i="3"/>
  <c r="F831" i="3"/>
  <c r="F835" i="3"/>
  <c r="F839" i="3"/>
  <c r="F843" i="3"/>
  <c r="F847" i="3"/>
  <c r="F851" i="3"/>
  <c r="F855" i="3"/>
  <c r="F859" i="3"/>
  <c r="F863" i="3"/>
  <c r="F867" i="3"/>
  <c r="F871" i="3"/>
  <c r="F875" i="3"/>
  <c r="F879" i="3"/>
  <c r="F883" i="3"/>
  <c r="F887" i="3"/>
  <c r="F891" i="3"/>
  <c r="F895" i="3"/>
  <c r="F899" i="3"/>
  <c r="F903" i="3"/>
  <c r="F907" i="3"/>
  <c r="F911" i="3"/>
  <c r="F915" i="3"/>
  <c r="F919" i="3"/>
  <c r="F923" i="3"/>
  <c r="F927" i="3"/>
  <c r="F931" i="3"/>
  <c r="F935" i="3"/>
  <c r="F939" i="3"/>
  <c r="F943" i="3"/>
  <c r="F947" i="3"/>
  <c r="F951" i="3"/>
  <c r="F955" i="3"/>
  <c r="F959" i="3"/>
  <c r="F963" i="3"/>
  <c r="F967" i="3"/>
  <c r="F971" i="3"/>
  <c r="F975" i="3"/>
  <c r="F979" i="3"/>
  <c r="F983" i="3"/>
  <c r="F1051" i="3"/>
  <c r="F874" i="3"/>
  <c r="F878" i="3"/>
  <c r="F882" i="3"/>
  <c r="F886" i="3"/>
  <c r="F890" i="3"/>
  <c r="F894" i="3"/>
  <c r="F898" i="3"/>
  <c r="F902" i="3"/>
  <c r="F906" i="3"/>
  <c r="F910" i="3"/>
  <c r="F914" i="3"/>
  <c r="F918" i="3"/>
  <c r="F922" i="3"/>
  <c r="F926" i="3"/>
  <c r="F930" i="3"/>
  <c r="F934" i="3"/>
  <c r="F938" i="3"/>
  <c r="F942" i="3"/>
  <c r="F946" i="3"/>
  <c r="F950" i="3"/>
  <c r="F954" i="3"/>
  <c r="F958" i="3"/>
  <c r="F962" i="3"/>
  <c r="F966" i="3"/>
  <c r="F970" i="3"/>
  <c r="F974" i="3"/>
  <c r="F978" i="3"/>
  <c r="F982" i="3"/>
  <c r="F986" i="3"/>
  <c r="F990" i="3"/>
  <c r="F994" i="3"/>
  <c r="F998" i="3"/>
  <c r="F1002" i="3"/>
  <c r="F1006" i="3"/>
  <c r="F1010" i="3"/>
  <c r="F1014" i="3"/>
  <c r="F1018" i="3"/>
  <c r="F1022" i="3"/>
  <c r="F1026" i="3"/>
  <c r="F1030" i="3"/>
  <c r="F1034" i="3"/>
  <c r="F1038" i="3"/>
  <c r="F1042" i="3"/>
  <c r="F1046" i="3"/>
  <c r="F1050" i="3"/>
  <c r="H114" i="3"/>
  <c r="H113" i="3"/>
  <c r="H112" i="3"/>
  <c r="H228" i="3"/>
  <c r="H525" i="3"/>
  <c r="H809" i="3"/>
  <c r="H808" i="3"/>
  <c r="H524" i="3"/>
  <c r="H671" i="3"/>
  <c r="H670" i="3"/>
  <c r="H669" i="3"/>
  <c r="H668" i="3"/>
  <c r="H667" i="3"/>
  <c r="H666" i="3"/>
  <c r="H523" i="3"/>
  <c r="H522" i="3"/>
  <c r="H521" i="3"/>
  <c r="H111" i="3"/>
  <c r="H227" i="3"/>
  <c r="H110" i="3"/>
  <c r="H665" i="3"/>
  <c r="H664" i="3"/>
  <c r="H663" i="3"/>
  <c r="H520" i="3"/>
  <c r="H226" i="3"/>
  <c r="H807" i="3"/>
  <c r="H806" i="3"/>
  <c r="H109" i="3"/>
  <c r="H108" i="3"/>
  <c r="H225" i="3"/>
  <c r="H224" i="3"/>
  <c r="H962" i="3"/>
  <c r="H961" i="3"/>
  <c r="H960" i="3"/>
  <c r="H519" i="3"/>
  <c r="H107" i="3"/>
  <c r="H106" i="3"/>
  <c r="H105" i="3"/>
  <c r="H662" i="3"/>
  <c r="H661" i="3"/>
  <c r="H660" i="3"/>
  <c r="H518" i="3"/>
  <c r="H517" i="3"/>
  <c r="H805" i="3"/>
  <c r="H104" i="3"/>
  <c r="H103" i="3"/>
  <c r="H804" i="3"/>
  <c r="H957" i="3"/>
  <c r="H958" i="3"/>
  <c r="H959" i="3"/>
  <c r="H956" i="3"/>
  <c r="H516" i="3"/>
  <c r="H223" i="3"/>
  <c r="H659" i="3"/>
  <c r="H658" i="3"/>
  <c r="H657" i="3"/>
  <c r="H102" i="3"/>
  <c r="H101" i="3"/>
  <c r="H100" i="3"/>
  <c r="H515" i="3"/>
  <c r="H803" i="3"/>
  <c r="H222" i="3"/>
  <c r="H221" i="3"/>
  <c r="H656" i="3"/>
  <c r="H655" i="3"/>
  <c r="H654" i="3"/>
  <c r="H99" i="3"/>
  <c r="H98" i="3"/>
  <c r="H97" i="3"/>
  <c r="H802" i="3"/>
  <c r="H955" i="3"/>
  <c r="H220" i="3"/>
  <c r="H514" i="3"/>
  <c r="H513" i="3"/>
  <c r="H653" i="3"/>
  <c r="H652" i="3"/>
  <c r="H954" i="3"/>
  <c r="H219" i="3"/>
  <c r="H801" i="3"/>
  <c r="H651" i="3"/>
  <c r="H96" i="3"/>
  <c r="H953" i="3"/>
  <c r="H218" i="3"/>
  <c r="H952" i="3"/>
  <c r="H512" i="3"/>
  <c r="H511" i="3"/>
  <c r="H650" i="3"/>
  <c r="H95" i="3"/>
  <c r="H800" i="3"/>
  <c r="H510" i="3"/>
  <c r="H951" i="3"/>
  <c r="H348" i="3"/>
  <c r="H349" i="3"/>
  <c r="H350" i="3"/>
  <c r="H351" i="3"/>
  <c r="H352" i="3"/>
  <c r="H649" i="3"/>
  <c r="H648" i="3"/>
  <c r="H94" i="3"/>
  <c r="H93" i="3"/>
  <c r="H92" i="3"/>
  <c r="H91" i="3"/>
  <c r="H90" i="3"/>
  <c r="H347" i="3"/>
  <c r="H509" i="3"/>
  <c r="H647" i="3"/>
  <c r="H646" i="3"/>
  <c r="H89" i="3"/>
  <c r="H799" i="3"/>
  <c r="H508" i="3"/>
  <c r="H507" i="3"/>
  <c r="H506" i="3"/>
  <c r="H346" i="3"/>
  <c r="H950" i="3"/>
  <c r="H645" i="3"/>
  <c r="H88" i="3"/>
  <c r="H87" i="3"/>
  <c r="H86" i="3"/>
  <c r="H344" i="3"/>
  <c r="H505" i="3"/>
  <c r="H345" i="3"/>
  <c r="H949" i="3"/>
  <c r="H644" i="3"/>
  <c r="H504" i="3"/>
  <c r="H503" i="3"/>
  <c r="H948" i="3"/>
  <c r="H343" i="3"/>
  <c r="H798" i="3"/>
  <c r="H643" i="3"/>
  <c r="H85" i="3"/>
  <c r="H84" i="3"/>
  <c r="H342" i="3"/>
  <c r="H797" i="3"/>
  <c r="H642" i="3"/>
  <c r="H341" i="3"/>
  <c r="H796" i="3"/>
  <c r="H641" i="3"/>
  <c r="H640" i="3"/>
  <c r="H947" i="3"/>
  <c r="H83" i="3"/>
  <c r="H946" i="3"/>
  <c r="H340" i="3"/>
  <c r="H795" i="3"/>
  <c r="H82" i="3"/>
  <c r="H81" i="3"/>
  <c r="H207" i="3"/>
  <c r="H208" i="3"/>
  <c r="H209" i="3"/>
  <c r="H210" i="3"/>
  <c r="H211" i="3"/>
  <c r="H212" i="3"/>
  <c r="H213" i="3"/>
  <c r="H214" i="3"/>
  <c r="H215" i="3"/>
  <c r="H216" i="3"/>
  <c r="H217" i="3"/>
  <c r="H794" i="3"/>
  <c r="H639" i="3"/>
  <c r="H945" i="3"/>
  <c r="H80" i="3"/>
  <c r="H339" i="3"/>
  <c r="H205" i="3"/>
  <c r="H206" i="3"/>
  <c r="H79" i="3"/>
  <c r="H793" i="3"/>
  <c r="H338" i="3"/>
  <c r="H638" i="3"/>
  <c r="H78" i="3"/>
  <c r="H502" i="3"/>
  <c r="H204" i="3"/>
  <c r="H792" i="3"/>
  <c r="H943" i="3"/>
  <c r="H637" i="3"/>
  <c r="H942" i="3"/>
  <c r="H203" i="3"/>
  <c r="H202" i="3"/>
  <c r="H791" i="3"/>
  <c r="H77" i="3"/>
  <c r="H75" i="3"/>
  <c r="H76" i="3"/>
  <c r="H337" i="3"/>
  <c r="H336" i="3"/>
  <c r="H636" i="3"/>
  <c r="H635" i="3"/>
  <c r="H74" i="3"/>
  <c r="H335" i="3"/>
  <c r="H941" i="3"/>
  <c r="H201" i="3"/>
  <c r="H200" i="3"/>
  <c r="H634" i="3"/>
  <c r="H790" i="3"/>
  <c r="H73" i="3"/>
  <c r="H72" i="3"/>
  <c r="H71" i="3"/>
  <c r="H70" i="3"/>
  <c r="H199" i="3"/>
  <c r="H940" i="3"/>
  <c r="H334" i="3"/>
  <c r="H789" i="3"/>
  <c r="H633" i="3"/>
  <c r="H69" i="3"/>
  <c r="H198" i="3"/>
  <c r="H333" i="3"/>
  <c r="H501" i="3"/>
  <c r="H68" i="3"/>
  <c r="H788" i="3"/>
  <c r="H67" i="3"/>
  <c r="H66" i="3"/>
  <c r="H787" i="3"/>
  <c r="H938" i="3"/>
  <c r="H939" i="3"/>
  <c r="H937" i="3"/>
  <c r="H197" i="3"/>
  <c r="H332" i="3"/>
  <c r="H632" i="3"/>
  <c r="H500" i="3"/>
  <c r="H497" i="3"/>
  <c r="H498" i="3"/>
  <c r="H499" i="3"/>
  <c r="H65" i="3"/>
  <c r="H64" i="3"/>
  <c r="H63" i="3"/>
  <c r="H62" i="3"/>
  <c r="H786" i="3"/>
  <c r="H196" i="3"/>
  <c r="H331" i="3"/>
  <c r="H495" i="3"/>
  <c r="H496" i="3"/>
  <c r="H936" i="3"/>
  <c r="H631" i="3"/>
  <c r="H60" i="3"/>
  <c r="H61" i="3"/>
  <c r="H151" i="3"/>
  <c r="H195" i="3"/>
  <c r="H330" i="3"/>
  <c r="H935" i="3"/>
  <c r="H494" i="3"/>
  <c r="H493" i="3"/>
  <c r="H785" i="3"/>
  <c r="H630" i="3"/>
  <c r="H492" i="3"/>
  <c r="H59" i="3"/>
  <c r="H58" i="3"/>
  <c r="H57" i="3"/>
  <c r="H934" i="3"/>
  <c r="H491" i="3"/>
  <c r="H490" i="3"/>
  <c r="H329" i="3"/>
  <c r="H194" i="3"/>
  <c r="H193" i="3"/>
  <c r="H192" i="3"/>
  <c r="H784"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E9" i="2" l="1"/>
  <c r="E6" i="2"/>
  <c r="E10" i="2"/>
  <c r="E4" i="2"/>
  <c r="E8" i="2"/>
  <c r="E7" i="2"/>
  <c r="E5" i="2"/>
</calcChain>
</file>

<file path=xl/sharedStrings.xml><?xml version="1.0" encoding="utf-8"?>
<sst xmlns="http://schemas.openxmlformats.org/spreadsheetml/2006/main" count="5341" uniqueCount="1071">
  <si>
    <t>project_name</t>
  </si>
  <si>
    <t>requirement_code</t>
  </si>
  <si>
    <t>activity_type</t>
  </si>
  <si>
    <t>Bengkel Net</t>
  </si>
  <si>
    <t>DC-DS-009/BRD/04/ITE-ATPI/VII/2026-27c2fadd-b592-41bb-bde3-7b7f1a8c0254</t>
  </si>
  <si>
    <t>Development</t>
  </si>
  <si>
    <t>Bidding App SKK Migas</t>
  </si>
  <si>
    <t>DC-DS-009/BRD/04/ITE-ATPI/VII/2026-31fd9168-ac2e-48f8-bdc4-858bc2d41d71</t>
  </si>
  <si>
    <t>Bug Fixing</t>
  </si>
  <si>
    <t>Cybersecurity - Blokir Domain</t>
  </si>
  <si>
    <t>DC-DS-009/BRD/04/ITE-ATPI/VII/2026-5ed7d982-37a7-48eb-b625-06c522079cd6</t>
  </si>
  <si>
    <t>Testing &amp; QA</t>
  </si>
  <si>
    <t>Cybersecurity - Patching Aplikasi</t>
  </si>
  <si>
    <t>DC-DS-009/BRD/04/ITE-ATPI/VII/2026-6f3060bc-c5b3-4114-9959-6b7a66d8447e</t>
  </si>
  <si>
    <t>Analysis &amp; Requirement</t>
  </si>
  <si>
    <t>Cybersecurity - People Awarness</t>
  </si>
  <si>
    <t>DC-MI-009/BRD/04/ITE-ATPI/VII/2026-2eff2016-45c0-43f0-af1f-0bda1b152821</t>
  </si>
  <si>
    <t>Technical Documentation</t>
  </si>
  <si>
    <t>Cybersecurity - Rotasi Password</t>
  </si>
  <si>
    <t>DC-MI-009/BRD/04/ITE-ATPI/VII/2026-af271844-4ae8-484e-ac57-a02bd00356a4</t>
  </si>
  <si>
    <t>Meeting &amp; Discussion</t>
  </si>
  <si>
    <t>Cybersecurity - Scanning Seluruh Perangkat</t>
  </si>
  <si>
    <t>DC-MI-009/BRD/04/ITE-ATPI/VII/2026-d6d63e08-04a7-4459-baf6-1d1d5a4bfcea</t>
  </si>
  <si>
    <t>Code Review</t>
  </si>
  <si>
    <t>DOTS - Uang Muka Kerja</t>
  </si>
  <si>
    <t>DC-MI-009/BRD/04/ITE-ATPI/VII/2026-fcce5370-068a-4dd1-9d7b-35c5a980ad9c</t>
  </si>
  <si>
    <t>Deployment &amp; Infra</t>
  </si>
  <si>
    <t>DOTS SAP Integration</t>
  </si>
  <si>
    <t>DC-OUT-009/BRD/04/ITE-ATPI/VII/2026-2be1b015-7fa9-448d-95e8-ee0984d5202e</t>
  </si>
  <si>
    <t>Maintenance &amp; Support</t>
  </si>
  <si>
    <t>Enhance tDMS - Policy Workflow</t>
  </si>
  <si>
    <t>DC-OUT-009/BRD/04/ITE-ATPI/VII/2026-3516f43b-1313-4761-ae81-ab2bfef6eae4</t>
  </si>
  <si>
    <t>Knowledge Sharing</t>
  </si>
  <si>
    <t>Enhancement Extend PPW Polis Korporat</t>
  </si>
  <si>
    <t>DC-OUT-009/BRD/04/ITE-ATPI/VII/2026-7a1074ad-58b5-4502-99f5-919bd3b4c67d</t>
  </si>
  <si>
    <t>Enhancement</t>
  </si>
  <si>
    <t>Enhancement SAP</t>
  </si>
  <si>
    <t>DC-OUT-009/BRD/04/ITE-ATPI/VII/2026-f05ef68f-a831-4d30-aa51-4c2f5220350d</t>
  </si>
  <si>
    <t>Research &amp; Exploration</t>
  </si>
  <si>
    <t>Enhancement TICS - Occupancy Code</t>
  </si>
  <si>
    <t>DC-RET-009/BRD/04/ITE-ATPI/VII/2026-13670fc2-ca96-4edd-b018-fa0d3d628652</t>
  </si>
  <si>
    <t>Administration</t>
  </si>
  <si>
    <t>Enhancement Tugu Tabs</t>
  </si>
  <si>
    <t>DC-RET-009/BRD/04/ITE-ATPI/VII/2026-2ec0dc4a-a97f-4bd3-bd1f-958e03706b28</t>
  </si>
  <si>
    <t>Import Processing</t>
  </si>
  <si>
    <t>Evaluasi Master Data</t>
  </si>
  <si>
    <t>DC-RET-009/BRD/04/ITE-ATPI/VII/2026-e6f979d5-8e61-4b7b-96b3-6f5148e831cf</t>
  </si>
  <si>
    <t>UAT &amp; Verification</t>
  </si>
  <si>
    <t>Item #545</t>
  </si>
  <si>
    <t>DC-RET-009/BRD/04/ITE-ATPI/VII/2026-ec63667c-e266-48e7-a248-c6fff49cc5b8</t>
  </si>
  <si>
    <t>Kesiagaan Siber Pada Event Idul Fitri</t>
  </si>
  <si>
    <t>FR-001BRD04ITEATPIVI2026-BRYH</t>
  </si>
  <si>
    <t>Memo Formulir - In House Training (t-DMS)</t>
  </si>
  <si>
    <t>FR-001BRD04ITEATPIVI2026-EQ3S</t>
  </si>
  <si>
    <t>Migrasi Datawarehouse ke Cloud</t>
  </si>
  <si>
    <t>FR-001BRD04ITEATPIVI2026-FBKU</t>
  </si>
  <si>
    <t>New System - Application Request Management System (ARMS)</t>
  </si>
  <si>
    <t>FR-001BRD04ITEATPIVI2026-GMLW</t>
  </si>
  <si>
    <t>Otomatisasi Proses Extract Data BAF R4 ke TICS</t>
  </si>
  <si>
    <t>FR-001BRD04ITEATPIVI2026-PQ1D</t>
  </si>
  <si>
    <t>PERURI - Tugu SecureSign</t>
  </si>
  <si>
    <t>FR-001BRD04ITEATPIVI2026-QDTH</t>
  </si>
  <si>
    <t>Pemindahan API dari CARE ke TICS - BAF R2</t>
  </si>
  <si>
    <t>FR-001BRD04ITEATPIVI2026-UG5A</t>
  </si>
  <si>
    <t>Pemindahan API dari CARE ke TICS - Tfriends</t>
  </si>
  <si>
    <t>FR-001BRD04ITEATPIVI2026-ZTSG</t>
  </si>
  <si>
    <t>Penambahan Report Warranty Date Policy Corporat</t>
  </si>
  <si>
    <t>FR-009/BRD/04/ITE-ATPI/VII/2026-09d59522-11e2-4bfb-b617-03cca8e3891c</t>
  </si>
  <si>
    <t>Penambahan Status Flagging Product Pada Object Batch TICS Corporate Policy</t>
  </si>
  <si>
    <t>FR-009/BRD/04/ITE-ATPI/VII/2026-4b1ef905-21ba-46a8-81d1-b955a601cf3f</t>
  </si>
  <si>
    <t>Pengadaan Google Cloud</t>
  </si>
  <si>
    <t>FR-009/BRD/04/ITE-ATPI/VII/2026-703785a9-9e33-449e-b9d4-4a6935ab8582</t>
  </si>
  <si>
    <t>Pengadaan Lisensi Firewall</t>
  </si>
  <si>
    <t>FR-009/BRD/04/ITE-ATPI/VII/2026-9613d08e-5900-487f-8c51-6e48a2d609fb</t>
  </si>
  <si>
    <t>Pengembangan Mass Product Retail</t>
  </si>
  <si>
    <t>FR-009/BRD/04/ITE-ATPI/VII/2026-a87b5251-5543-4ea5-9325-07690af5406c</t>
  </si>
  <si>
    <t>Penyediaan VPN Forti</t>
  </si>
  <si>
    <t>FR-009/BRD/04/ITE-ATPI/VII/2026-c65ce18e-9d4e-4e68-b153-7f20a114518b</t>
  </si>
  <si>
    <t>SAP - Cash Flow</t>
  </si>
  <si>
    <t>FR-009/BRD/04/ITE-ATPI/VII/2026-cf7e8ded-01f4-48dd-8451-468552cd1788</t>
  </si>
  <si>
    <t>SAP - Coding Blok</t>
  </si>
  <si>
    <t>REQ-0009</t>
  </si>
  <si>
    <t>SAP - Corp Card</t>
  </si>
  <si>
    <t>SAP - FPSL</t>
  </si>
  <si>
    <t>SAP - ZFIR026</t>
  </si>
  <si>
    <t>SAP -Security</t>
  </si>
  <si>
    <t>SKK MIGAS</t>
  </si>
  <si>
    <t>SOA Treaty</t>
  </si>
  <si>
    <t>Sharepoint - tDMS</t>
  </si>
  <si>
    <t>TCES - Polis</t>
  </si>
  <si>
    <t>TDMS - Sistem Tata Kelola</t>
  </si>
  <si>
    <t>TEST</t>
  </si>
  <si>
    <t>TICS - Claim</t>
  </si>
  <si>
    <t>TICS - Pre Enforce</t>
  </si>
  <si>
    <t>TICS Corporate Enhancement</t>
  </si>
  <si>
    <t>TICS Enh - Warranty Date</t>
  </si>
  <si>
    <t>TICS PA - Penambahan Payment Info</t>
  </si>
  <si>
    <t>TICS PA - Perubahan Dokumen SPAU</t>
  </si>
  <si>
    <t>Training User SAP</t>
  </si>
  <si>
    <t>TuFleet</t>
  </si>
  <si>
    <t>Tugu SecureSign</t>
  </si>
  <si>
    <t>Validasi Data TICS melalui Invoice Header dan Detail -  Policy Automation</t>
  </si>
  <si>
    <t>Validasi TICS -  Policy Automation Retail</t>
  </si>
  <si>
    <t>Validasi TICS -  Reinsurance</t>
  </si>
  <si>
    <t>Validasi TICS - Master Data</t>
  </si>
  <si>
    <t>Validasi TICS - Policy Automation</t>
  </si>
  <si>
    <t>REAL-TIME TASK ANALYSIS DASHBOARD</t>
  </si>
  <si>
    <t>Person</t>
  </si>
  <si>
    <t>Total Tasks</t>
  </si>
  <si>
    <t>DONE</t>
  </si>
  <si>
    <t>IN_PROGRESS</t>
  </si>
  <si>
    <t>TODO/Other</t>
  </si>
  <si>
    <t>Chart Names</t>
  </si>
  <si>
    <t>Syafix (Business Analyst)</t>
  </si>
  <si>
    <t>Syafix</t>
  </si>
  <si>
    <t>Haviz (Developer)</t>
  </si>
  <si>
    <t>Haviz</t>
  </si>
  <si>
    <t>Danang (Quality Assurance)</t>
  </si>
  <si>
    <t>Danang</t>
  </si>
  <si>
    <t>Athallah (Technical Writer)</t>
  </si>
  <si>
    <t>Atha</t>
  </si>
  <si>
    <t>Iqbal (Developer)</t>
  </si>
  <si>
    <t>Iqbal</t>
  </si>
  <si>
    <t>Glenn (Developer)</t>
  </si>
  <si>
    <t>Glenn</t>
  </si>
  <si>
    <t>Heni (Developer)</t>
  </si>
  <si>
    <t>Heni</t>
  </si>
  <si>
    <t>Syifa (Quality Assurance)</t>
  </si>
  <si>
    <t>Syifa</t>
  </si>
  <si>
    <t xml:space="preserve">  </t>
  </si>
  <si>
    <t>;;</t>
  </si>
  <si>
    <t>Project</t>
  </si>
  <si>
    <t>Task Title</t>
  </si>
  <si>
    <t>Status</t>
  </si>
  <si>
    <t>Start Date</t>
  </si>
  <si>
    <t>Duration</t>
  </si>
  <si>
    <t>Due Date</t>
  </si>
  <si>
    <t>Gantt Label</t>
  </si>
  <si>
    <t>No.</t>
  </si>
  <si>
    <t>title</t>
  </si>
  <si>
    <t>status</t>
  </si>
  <si>
    <t>priority</t>
  </si>
  <si>
    <t>jenis_task</t>
  </si>
  <si>
    <t>module_name</t>
  </si>
  <si>
    <t>bug_type</t>
  </si>
  <si>
    <t>progress</t>
  </si>
  <si>
    <t>start_date</t>
  </si>
  <si>
    <t>due_date</t>
  </si>
  <si>
    <t>completed_date</t>
  </si>
  <si>
    <t>developer_emails</t>
  </si>
  <si>
    <t>ba_emails</t>
  </si>
  <si>
    <t>infra_emails</t>
  </si>
  <si>
    <t>master_data_emails</t>
  </si>
  <si>
    <t>tester_emails</t>
  </si>
  <si>
    <t>technical_writer_emails</t>
  </si>
  <si>
    <t>quality_assurance_emails</t>
  </si>
  <si>
    <t>system_analyst_emails</t>
  </si>
  <si>
    <t>kendala</t>
  </si>
  <si>
    <t>solusi</t>
  </si>
  <si>
    <t>evidence</t>
  </si>
  <si>
    <t>kode_task</t>
  </si>
  <si>
    <t>Milestone</t>
  </si>
  <si>
    <t>Checking &amp; Testing Product, Scheming &amp; premium class TICS vs Mass Product</t>
  </si>
  <si>
    <t>MEDIUM</t>
  </si>
  <si>
    <t>NEW_APPLICATION</t>
  </si>
  <si>
    <t>Policy Automation</t>
  </si>
  <si>
    <t>syafix.said@elistec.com</t>
  </si>
  <si>
    <t>mohammad.danang@elistec.com</t>
  </si>
  <si>
    <t>Kendala awal</t>
  </si>
  <si>
    <t>Rencana solusi awal</t>
  </si>
  <si>
    <t>Integrasi TCES TICS</t>
  </si>
  <si>
    <t>perancangan solusi integrasi TCES - TCIS</t>
  </si>
  <si>
    <t>HIGH</t>
  </si>
  <si>
    <t>TCES</t>
  </si>
  <si>
    <t>haviz.indra@elistec.com</t>
  </si>
  <si>
    <t>athallah.bariq@elistec.com</t>
  </si>
  <si>
    <t>menunggu akses ke database, repository, dan environment</t>
  </si>
  <si>
    <t>Perancangan awal pengambilan data JSON, pembagian struktur data, validasi, pengiriman ke TICS
https://tugu.sharepoint.com/:i:/r/sites/TUGUFILESHARING/Documents/IT/External%20Share/2026%20Manage%20Service%20Elistec/API%20Integration/3.%20Document/Supporting%20Data/API%20Integration%20-%20Overview%20Diagram-Architectured%20Diagram.drawio.png?d=w1e84c5e313ff44cc82a1b73bb6607700&amp;csf=1&amp;web=1&amp;e=6PYf4I</t>
  </si>
  <si>
    <t>Mendefinisikan Tugas API Endpoint (BA), Membuat Diagram Flow API Integration (BA)</t>
  </si>
  <si>
    <t>ENHANCEMENT</t>
  </si>
  <si>
    <t>Membutuhkan akses</t>
  </si>
  <si>
    <t>Mendapatkan akses untuk mengecek endpoint
https://appsdev.tugu.com/tics-mv-api/api/documentation#/TICS%20Transaction%20v2/50bcb787c24c768949e32cbc51387ee7</t>
  </si>
  <si>
    <t>Pengujian Penggunaan Product, Scheming, Premium Class di Aplikasi Mass Product</t>
  </si>
  <si>
    <t>Kebutuhan pengecekan data produk antara TICS dengan Mass Product</t>
  </si>
  <si>
    <t>Pembuatan product dari mass product dan di sesuaikan dengan kebutuhan TICS</t>
  </si>
  <si>
    <t>Membuat Diagram HLD dan LLD API Integration</t>
  </si>
  <si>
    <t>Kebutuhan meeting dengan tim vendor untuk gambaran overview dan teknis flow process</t>
  </si>
  <si>
    <t>Telah di lakukan permintaan meeting offline dengan tim vendor pada hari senin siang. Pmebuatan diagram telah selesai</t>
  </si>
  <si>
    <t>Membuat QA Tracker untuk kebutuhan pengujian testing API integration</t>
  </si>
  <si>
    <t>Pembuatan TC akan berkoordinasi dengan tim QA untuk pemetaan keseluruhan pengujian akan membutuhkan informasi dari tim vendor terkait flow process nya</t>
  </si>
  <si>
    <t>Telah di lakukan permintaan meeting offline dengan tim vendor pada hari senin siang</t>
  </si>
  <si>
    <t>Meeting Pembahasan Alur Proses API Integration, Pembahasan Teknis, Informasi Pengujian Aplikasi</t>
  </si>
  <si>
    <t>Pembahasan teknis untuk proses endpoint dan alur proses keseluruhan API Integration : 
https://appsdev.tugu.com/tics-mv-api/api/documentation#/TICS%20Transaction%20v2/50bcb787c24c768949e32cbc51387ee7</t>
  </si>
  <si>
    <t>Pembuatan Dokumen TSD - Membuat Diagram Arsitektur Flow API Integration (BA)</t>
  </si>
  <si>
    <t>Mendapatkan akses untuk mengecek endpoint</t>
  </si>
  <si>
    <t>Pembuatan Template  Dokumen FSD</t>
  </si>
  <si>
    <t>dokumen pada link berikut : https://tugu.sharepoint.com/:w:/r/sites/TUGUFILESHARING/_layouts/15/Doc.aspx?sourcedoc=%7BA0EE9E32-7BFD-467A-9DBB-3BE526AF199C%7D&amp;file=Draft%20Update%20-%20FSD.docx&amp;action=default&amp;mobileredirect=true</t>
  </si>
  <si>
    <t>Pembuatan Template Dokumen TSD</t>
  </si>
  <si>
    <t>https://tugu.sharepoint.com/:w:/r/sites/TUGUFILESHARING/Documents/IT/External%20Share/2026%20Manage%20Service%20Elistec/API%20Integration/3.%20Document/FSD/Draft%20Update%20-%20FSD.docx?d=wa917d2afb98d4c3183414e3215d95dac&amp;csf=1&amp;web=1&amp;e=wEFSN6</t>
  </si>
  <si>
    <t>Training TCES dan flow sistem aplikasi</t>
  </si>
  <si>
    <t>MAINTENANCE</t>
  </si>
  <si>
    <t>penjelasan detail aplikasi TCES oleh mas Egy. Untuk catatan meeting dengan mas Atha</t>
  </si>
  <si>
    <t>Akses ke database TICS</t>
  </si>
  <si>
    <t>CRITICAL</t>
  </si>
  <si>
    <t>belum dapat terkoneksi ke database, terdapat masalah pada windows / driver</t>
  </si>
  <si>
    <t>perlu pengecekan ke tim dev yang sukses koneksi ke database posgress : https://tugu.sharepoint.com/:i:/r/sites/TUGUFILESHARING/Documents/IT/External%20Share/2026%20Manage%20Service%20Elistec/API%20Integration/3.%20Document/Supporting%20Data/Database%20-%20Access%20TICS%20untuk%20API%20Integration.png?d=w720062a542a64700b98d4562231fe932&amp;csf=1&amp;web=1&amp;e=ULdtV3</t>
  </si>
  <si>
    <t>Pencarian bugs atau kendala dari pembuatan polis asuransi hingga claim asuransi</t>
  </si>
  <si>
    <t>Percobaan dari pembautan product dan klaim asuransi berhasil, namun memerlukan skala lebih kecil agar lebih dapat di tracing</t>
  </si>
  <si>
    <t>Pembuatan Dokumen FSD - Membuat diagram arsitektur API Integration</t>
  </si>
  <si>
    <t>Pembuatan diagram arsitektur selesai dan telah di share pada folder dokumen
Link : https://tugu.sharepoint.com/:f:/r/sites/TUGUFILESHARING/Documents/IT/External%20Share/2026%20Manage%20Service%20Elistec/API%20Integration/3.%20Document/Supporting%20Data?d=wd5b4e9c0d69b42f0a10270cfabdbe03a&amp;csf=1&amp;web=1&amp;e=96mrdg</t>
  </si>
  <si>
    <t xml:space="preserve">Pembuatan Dokumen FSD - Penambahan Penjelasan User Flow Diagram </t>
  </si>
  <si>
    <t>Penambahan informasi alur flow diagram API Integration beserta penjelasannya 
Link : https://tugu.sharepoint.com/:f:/r/sites/TUGUFILESHARING/Documents/IT/External%20Share/2026%20Manage%20Service%20Elistec/API%20Integration/3.%20Document/FSD?d=wf9d56180a2a049ea8c4d830dca7145dc&amp;csf=1&amp;web=1&amp;e=ej4DZu</t>
  </si>
  <si>
    <t>Pembuatan Draft BRD</t>
  </si>
  <si>
    <t>Pembuatan BRD pada ARMS telah dilakukan, diperlukan komunikasi dengan tim BA internal untuk review dari pembuatan dokumen BRD tersebut</t>
  </si>
  <si>
    <t>Gathering database schema dan pendokumentasian</t>
  </si>
  <si>
    <t xml:space="preserve">menunggu table object jsonb dari mas rian untuk keseuaian dengan mass product </t>
  </si>
  <si>
    <t>telah mendapatkan informasi skema database dan table yang digunakan untuk melakukan penyimpanan informasi payload TCES ke TICS - Done
https://tugu.sharepoint.com/:i:/r/sites/TUGUFILESHARING/Documents/IT/External%20Share/2026%20Manage%20Service%20Elistec/API%20Integration/3.%20Document/Supporting%20Data/API%20Integration%20-%20Overview%20Diagram-Database%20Flow%20Process.drawio.png?d=w5c6ac1a30bbe4fef85e031c2dddc0ff6&amp;csf=1&amp;web=1&amp;e=HvLxGL</t>
  </si>
  <si>
    <t>Diskusi dengan tim IT Infra dan IT App untuk kebutuhan permohonan penggunaan docker pada API Integration</t>
  </si>
  <si>
    <t>Sehubungan dengan code integrasi yang sedang di develop oleh tim DEV sudah selesai, maka diperlukan metode deploy ke dalam server dev / uat untuk dilakukan pengetesan pada selasa depan. untuk metode yang digunakan masih bersifat tradisional dan mencoba permohonan penggunaan docker sebagai techtag pengembangan project</t>
  </si>
  <si>
    <t>informasi dari mas Rian, sehubungan saat ini api integration tidak menggunakan docker dan di code langsung dari CI/CD ke server, maka penggunaan docker akan menjadi tentaive dan akan di bahas lagi nanti</t>
  </si>
  <si>
    <t>Pengujian pembuatan master product baru, scheme baru, polis baru, declaration baru, dan proses claim baru, dengan nama product terbaru adalah TPACC</t>
  </si>
  <si>
    <t>Pembuatan product baru khusus untuk skala kecil untuk pengujian proses end-to-end mass product</t>
  </si>
  <si>
    <t>Update Draft BRD</t>
  </si>
  <si>
    <t>Review pembuatan BRD di setujui dan memerlukan update dari sisi offline</t>
  </si>
  <si>
    <t>Update sedang in progress dengan penambahan informasi yang di gather dari tim infra, support, dan development. 
Link : https://intraapps.tugu.com/approval-center/brd/11
Dokumen telah di submit ke ARMS dan sedang dalam review DH dan GHIT</t>
  </si>
  <si>
    <t>Pembuatan data payload test API Integration sebanyak 1000 buah untuk pengujian performance test</t>
  </si>
  <si>
    <t>Pembentukan data sampling payload untuk performance test berhasil. 
Link : https://tugu.sharepoint.com/:t:/r/sites/TUGUFILESHARING/Documents/IT/External%20Share/2026%20Manage%20Service%20Elistec/API%20Integration/3.%20Document/Supporting%20Data/Payload%20Pengujian%20-%20Masuk%20TICS.txt?d=w687437cca59a4dcab467c4e56c0b0792&amp;csf=1&amp;web=1&amp;e=b8MQT8</t>
  </si>
  <si>
    <t>Meeting Product Mapping TProperty dengn mas julyan dan mas fergy</t>
  </si>
  <si>
    <t>Meeting pembahasan product TProperty / non MV masih terdapat ketidaksesuaian data product dengan data premium class, sehingga perlu diperjelas mapping antara TStore dengan THome, jenis All Risk dengan non All Risk, Property Only atau Property dan Content</t>
  </si>
  <si>
    <t>Mas Jul dan mas Egy sedang melakukan pengecekan object ref code untuk TProperty dengan jenis product Basic, Max, Basic+</t>
  </si>
  <si>
    <t>Membantu QA melakukan proses pengujian Stress Test dan Performance Test</t>
  </si>
  <si>
    <t>Pembentukan TC untuk pengujian API Integration berhasil di lakukan dan di update pada file berikut : 
https://tugu.sharepoint.com/:x:/r/sites/TUGUFILESHARING/Documents/IT/External%20Share/2026%20Manage%20Service%20Elistec/API%20Integration/5.%20Testing/SIT/QA_API_Endpoint_Integration_Tracker%20-%20Updated.xlsx?d=w87365ae29a1e4c53b9ef5beef22dfa62&amp;csf=1&amp;web=1&amp;e=XtAaI4</t>
  </si>
  <si>
    <t>Pengecekan hasil QA Testing dengan value yang berada pada sistem TCES untuk memastikan kesesuaian dengan TICS</t>
  </si>
  <si>
    <t xml:space="preserve">Terdapat kendala yaitu : 
1. Data TCES TRide masuk ke API Integration &amp; berhasil mendapatkan BP dummy dan masuk ke acceptance. namun di TICS g muncul, baik di TICS UAT / TICS Retail UAT (Rian)
2. Data TProperty untuk product Max tidak dapat masuk, karena object ref code tidak ada. sesuai dengan info detail product belum clear oleh tim product (Juliyan)
3. Data Travela tidak terkirim dari TCES. tim project Elistec belum integrasikan enkripsi dll untuk API Integration (Rifqi) 
 </t>
  </si>
  <si>
    <t>Pengecekan Ulang Endpoint API Integration sebelum melakukan testing</t>
  </si>
  <si>
    <t>Update sedang in progress dengan penambahan informasi yang di gather dari tim infra, support, dan development
terdapat update terbaru dari tim dev untuk menyelaraskan field yang kosong antara TCES dengan API Integration
Pembahasan dengan tim elistec (mas Rifqi) untuk informasi kolom yang kosong untuk kebutuhan informasi yang akan di kirimkan dari TCES ke TICS</t>
  </si>
  <si>
    <t>Melakukan meeting terkait progress review task yang sudah dikerjakan bersama tim dan stakeholder</t>
  </si>
  <si>
    <t>Meeting Weekly Update Progress, Meeting pembahasan strategi pengembangan API Integrasi dan Strategi Testing (SIT). catatan dengan mas Atha</t>
  </si>
  <si>
    <t>Membuat Data Order TCES untuk kebutuhan pengetesan end-to-end ke TICS</t>
  </si>
  <si>
    <t>Update tambahan pada file berikut : 
https://tugu.sharepoint.com/:x:/r/sites/TUGUFILESHARING/Documents/IT/External%20Share/2026%20Manage%20Service%20Elistec/API%20Integration/5.%20Testing/SIT/QA_API_Endpoint_Integration_Tracker%20-%20Updated.xlsx?d=w87365ae29a1e4c53b9ef5beef22dfa62&amp;csf=1&amp;web=1&amp;e=XtAaI4"</t>
  </si>
  <si>
    <t>Membuat data Payload untuk pengujian Travela dan TFire</t>
  </si>
  <si>
    <t>Payload di buat pada link berikut : 
https://tugu.sharepoint.com/:t:/r/sites/TUGUFILESHARING/Documents/IT/External%20Share/2026%20Manage%20Service%20Elistec/API%20Integration/5.%20Testing/SIT/Pengujian%20Data%20TProperty%20(3%20Sept%202026)/Payload%20Sample%20Testing%20TFire%20-%20TProperty.txt?d=w1b4006f8664f40719485f5be0bdd9cb7&amp;csf=1&amp;web=1&amp;e=T7ye88</t>
  </si>
  <si>
    <t>Pengetesan master data region untuk pencocokan data polis dengan region BP</t>
  </si>
  <si>
    <t>TODO</t>
  </si>
  <si>
    <t>saat ini sedang difokuskan ke Integrasi TCES TICS</t>
  </si>
  <si>
    <t>Membuat test case untuk end-to-end TCES untuk produk Tride dan execute testing sampai terbentuk polis number (BA)</t>
  </si>
  <si>
    <t>Mencari temuan hasil pengecekan input TCES ke TICS via API Integration (T-Ride)</t>
  </si>
  <si>
    <t>Terdapat temuan ketidakcocokan data untuk Correspondent dan Producer ID, sedang di info kan ke mas Rian</t>
  </si>
  <si>
    <t>Pembuatan Sequence Diagram untuk flow end-to-end API Integration</t>
  </si>
  <si>
    <t xml:space="preserve">Sequence diagram tersedia pada link </t>
  </si>
  <si>
    <t>Pembuatan timesheet elistec</t>
  </si>
  <si>
    <t>Timesheet membutuhkan format sesuai dengan elistec dan sedang dalam pembahasan submit timesheet</t>
  </si>
  <si>
    <t>Timesheet telah di buat dan selesai</t>
  </si>
  <si>
    <t>Pembuatan Data Travel dengan QA dan pengujian pada environment DEV</t>
  </si>
  <si>
    <t>Data berhasil masuk dengan beberapa sample yang di buat dan dalam pengecekan oleh DEV terkait integrasi dengan TICS</t>
  </si>
  <si>
    <t>Pengujian TRide 4 Roda, end-to-end dari TCES hingga SAP</t>
  </si>
  <si>
    <t>Data telah masuk ke TICS, menggunakan BP yang tersedia dan tidak tersedia. untuk pengujian dengan kendaraan bekas belum dapat dilakukan karena integrasi pada aplikasi sedang mati. 
kendala yang di dapatkan dari TICS : 
Kendala sudah di put pada file summary</t>
  </si>
  <si>
    <t>Pembuatan data pengujian TCES selesai, ada pada link berikut :  https://tugu.sharepoint.com/:f:/r/sites/TUGUFILESHARING/Documents/IT/External%20Share/2026%20Manage%20Service%20Elistec/API%20Integration/5.%20Testing/SIT/Pengujian%20Data%20TDrive%20(1%20Sept%202026)?d=w518951b3aafd41d5831983d7b22bf629&amp;csf=1&amp;web=1&amp;e=wdW3fP</t>
  </si>
  <si>
    <t>Melakukan Pengujian Perbaikan dari TDrive pada tanggal 1/9/2026 atau pada no row 31</t>
  </si>
  <si>
    <t>Membuat Test Case untuk pengujian end-to-end Travela</t>
  </si>
  <si>
    <t>Membuat Matrix Pengujian Data TFire bersama QA dan TW</t>
  </si>
  <si>
    <t>Membuat Summary Pengujian TFire u/ Tanggal 3 Sept</t>
  </si>
  <si>
    <t>File summary telah di buat, link ke file : https://tugu.sharepoint.com/:w:/r/sites/TUGUFILESHARING/Documents/IT/External%20Share/2026%20Manage%20Service%20Elistec/API%20Integration/5.%20Testing/SIT/Pengujian%20Data%20TProperty%20(3%20Sept%202026)/Summary%20-%2003%20September%202026.docx?d=wc65a2cd45ec84dce8fb8242dc2f09c2c&amp;csf=1&amp;web=1&amp;e=Sz1tfL</t>
  </si>
  <si>
    <t>Membuat data input untuk pengujian yang sudah di Fix untuk Travela dan TFire</t>
  </si>
  <si>
    <t>Pengujian kembali dari data TCES untuk TDrive, TRide, TFire, dan Travela setelah terdapat perbaikan pada aplikasi</t>
  </si>
  <si>
    <t>Meng-update kembali QA Tracker untuk pengujian sebelum dan sesudah fixing</t>
  </si>
  <si>
    <t>Meeting Pembahasan CMS TCES</t>
  </si>
  <si>
    <t>Catatan pada mas atha pada link berikut</t>
  </si>
  <si>
    <t>Meeting Pembahasan Pembagian Pekerjaan dan Percepatan untuk Go Live TCES Khusus untuk product TRide dan TDrive</t>
  </si>
  <si>
    <t>Membuat laporan BAST Elistec dan kelengkapan informasi data task pengerjaan project dari keseluruhan member</t>
  </si>
  <si>
    <t>Perbaikan Struktur BRD</t>
  </si>
  <si>
    <t>Penambahan informasi link evidence untuk semua timesheet kebutuhan BAST</t>
  </si>
  <si>
    <t>Penambahan link evidence untuk kebutuhan Timesheet BAST</t>
  </si>
  <si>
    <t>Pembuatan TC Kebutuhan Testing Mass Product</t>
  </si>
  <si>
    <t>Meeting penjelasan work flow mass product dengan developer, qa, dan BA</t>
  </si>
  <si>
    <t>Finalisasi FSD</t>
  </si>
  <si>
    <t>finalisasi semua struktur dan konten dan formatting dokumen FSD</t>
  </si>
  <si>
    <t>FSD telah di submit untuk di review</t>
  </si>
  <si>
    <t>Finalisasi TSD (BA)</t>
  </si>
  <si>
    <t>finalisasi semua struktur dan konten dan formatting dokumen TSD</t>
  </si>
  <si>
    <t>Pengujian Kembali dari Data TCES untuk TDRive, TRide, pada tanggal 8 Sept untuk penambahan pengujian promo</t>
  </si>
  <si>
    <t>Hasil pengujian pada link berikut : https://tugu.sharepoint.com/:x:/r/sites/TUGUFILESHARING/Documents/IT/External%20Share/2026%20Manage%20Service%20Elistec/API%20Integration/5.%20Testing/SIT/Pengujian%20TDrive%20%26%20TRide%20Lanjutan%20(11%20Sept%202026)/Testing%20T-Drive.xlsx?d=wc8ca09898ba44887a42cb2fbee6c31e5&amp;csf=1&amp;web=1&amp;e=LImI7L</t>
  </si>
  <si>
    <t>Lanjutan - Pengujian Kembali dari Data TCES untuk TDRive, TRide, pada tanggal 10 Sept untuk penambahan pengujian promo</t>
  </si>
  <si>
    <t>Mempelajari Treaty Travela dengan mas Egy dan mba Etha</t>
  </si>
  <si>
    <t>Informasi dari mas Egy, bahwa Travela tidak membutuhkan Treaty, dan sudah di jelaskan kepada mba etha</t>
  </si>
  <si>
    <t>Update TCES Payload untuk penambahan informasi kode kendaraan agar sync dengan TICS</t>
  </si>
  <si>
    <t>untuk integrasi masih di formulasikan oleh mas Jul dan segera setelah mendapatkan hasil akan di implementasikan ke dalam tces khusus untuk MV</t>
  </si>
  <si>
    <t>API Settlement Payment</t>
  </si>
  <si>
    <t>Perancangan Sistem dan Project API Settlement Payment</t>
  </si>
  <si>
    <t>Meeting Pembahasan Settlement Payment Flow</t>
  </si>
  <si>
    <t>Meeting pembahasan Settlement Payment TCES dengan mas Rifqi, Tim Developer, dan TW</t>
  </si>
  <si>
    <t>Membuat Diagram Proses Perancangan API Settlement Payment</t>
  </si>
  <si>
    <t>Pembuatan flow diagram, HLD, LLD, Arsitektur, Flowchart, sequence</t>
  </si>
  <si>
    <t>Meeting pembahasan Claim Polis TCES dengan Business User dan Elistec</t>
  </si>
  <si>
    <t>LOW</t>
  </si>
  <si>
    <t>Pembuatan BRD API Settlement Payment</t>
  </si>
  <si>
    <t>BRD telah di sesuaikan dan sedang dalam review BA</t>
  </si>
  <si>
    <t>Membantu QA melakukan pengecekan data testing yang blocked</t>
  </si>
  <si>
    <t>Perbaikan telah dilakukan, dan untuk data dapat berjalan masuk ke TICS</t>
  </si>
  <si>
    <t>Meeting Sharing Knowledge TCES oleh tim Elistec dan Tugu</t>
  </si>
  <si>
    <t>Melengkapi Dokumen TSD</t>
  </si>
  <si>
    <t>1. Penambahan Penjelasan dan Diagram (18/9)</t>
  </si>
  <si>
    <t xml:space="preserve">Melengkapi Dokumen FSD </t>
  </si>
  <si>
    <t>Membuat Diagram Sequence API Settlemen Payment</t>
  </si>
  <si>
    <t>Membuat ERD API Settlemen Payment</t>
  </si>
  <si>
    <t>Perancangan Struktur Payload untuk Settlement Payment TCES - TICS</t>
  </si>
  <si>
    <t>Membuat penambahan kolom untuk menggunakan table lama yang sudah dibuat untuk sesuai dengan Settlement Payment</t>
  </si>
  <si>
    <t xml:space="preserve">terdapat sebuah table kebutuhan settlement payment yang dibuat mas rian, dan table tersebut sedang digunakan namun dapat di alter untuk penambahan kolom yang dibutuhkan sesuai dengan kebutuhan rekonsiliasi Settlement Payment </t>
  </si>
  <si>
    <t>Membuat DDL query penambahan kolom untuk tces_settlement_header &amp; tces_settlement_detail</t>
  </si>
  <si>
    <t xml:space="preserve">Pendefinisian informasi pengambilan data ZSDDT0002 untuk spesifik zreq id tertentu dan informasi balikan dari SAP terkait GJAHR dan BELNR </t>
  </si>
  <si>
    <t>Informasi dari mas daus bahwa ZSDDT0002 akan dapat di sync jika mendapatkan ZREQ_ID_TICS dengan ZREQ_ID dari Stagging dapat di temukan di file log.
untuk data saat ini belum ada yang masuk ke ZSDDT0002 untuk beberapa polis terakhir yang sudah di buat. untuk informasi enforce ini dari mas Egy akan membicarakan langsung dengan mas daus</t>
  </si>
  <si>
    <t>butuh informasi untuk enforce data dari SAP ke TICS agar ZSDDT0002 dapat ter-update. 
terkait hal ini dibutuhkan meeting untuk memperjelas flow process pengambilan data tersebut</t>
  </si>
  <si>
    <t>Update diagram Sequence API Settlement Payment</t>
  </si>
  <si>
    <t>Sesuai dengan update yang diberikan, bahwa proses rekonsiliasi akan membutuhkan pengecekan ke stagging, sehingga kebutuhan value untuk zreq id di sesuaikan untuk query</t>
  </si>
  <si>
    <t>Update kembali diagram Sequence API Settlement Payment</t>
  </si>
  <si>
    <t>Update diagram FlowChart API Settlement Payment</t>
  </si>
  <si>
    <t>Update kembali diagram FlowChart API Settlement Payment</t>
  </si>
  <si>
    <t>Perancangan model scheduler pada API Settlement Payment untuk melakukan rekonsiliasi data</t>
  </si>
  <si>
    <t>untuk polis dan premium class yang belum ditemukan, aplikasi dapat melakukan pencarian kembali secara mandiri, untuk memastikan data tersebut menjadi rekonsoliasi</t>
  </si>
  <si>
    <t>dibutuhkan perancangan config scheduler, masa waktu, log. penambahan yang impact pada desain database dan proses akan di tuangkan pada dokumen TSD &amp; FSD</t>
  </si>
  <si>
    <t>Pengecekan api-doc / Swagger untuk API Settlement Payment</t>
  </si>
  <si>
    <t xml:space="preserve">Pembuatan Test Case scenario untuk melihat transaction date dan bill date sesuai </t>
  </si>
  <si>
    <t>Pengecekan API Settlement Payment integrasi antara TCES dengan TICS</t>
  </si>
  <si>
    <t>Finalisasi Diagram Arsitektural, FlowChart, Sequence API Settlement Payment</t>
  </si>
  <si>
    <t>Membuat table definition untuk kebutuhan update dokumen TSD</t>
  </si>
  <si>
    <t>pada TSD dibutuhkan informasi tambahan mengenai informasi table yang digunakan</t>
  </si>
  <si>
    <t>perlu dibuatkan table definition untuk table yang digunakan untuk API Settlement Payment</t>
  </si>
  <si>
    <t>Meeting Pembahasan rekonsiliasi Settlement Payment antara API Settlement vs Stagging</t>
  </si>
  <si>
    <t>Percobaan enforce manual stagging untuk spesifik no polis dan request id tertentu ke stagging dan SAP</t>
  </si>
  <si>
    <t>Data balikan dari SAP belum masuk ke TICS, sehingga diperlukan enforce manual ke stagging untuk menjalankan retry process ke SAP dan kembali ke TICS</t>
  </si>
  <si>
    <t>Input data sampling khusus untuk bisnis class TProperty dan Travela via payload untuk pengecekan Stagging</t>
  </si>
  <si>
    <t>dibutuhkan pengecekan untuk Non MV, dimana data yang MV sudah dapat di ambil datanya dari stagging sedangkan non-MV terdapat kendala</t>
  </si>
  <si>
    <t>Melakukan rekonsiliasi data secara manual untuk data MV dan Non-MV Pre proses oleh aplikasi</t>
  </si>
  <si>
    <t>sehubungan dengan tidak adanya proses enforcement otomatis dari stagging ke TICS, maka proses dilakukan secara manual terlebih dahulu</t>
  </si>
  <si>
    <t>hasil output dari pengujian dengan beberapa jenis kategori bisnis telah mendapatkan hasil, namun tidak berhasil utnuk TProperty, karena memerlukan update informasi product terlebih dahulu</t>
  </si>
  <si>
    <t>Pengecekan Rekonsiliasi dengan sejumlah premi yang ditambahkan dan pengecekan manual</t>
  </si>
  <si>
    <t>Proses rekonsiliasi gagal, dan membutuhkan insight dari mas DAus</t>
  </si>
  <si>
    <t>Update &amp; finalisasi laporan akhir bulan API Settlement Payment</t>
  </si>
  <si>
    <t>Pembuatan Timesheet &amp; Project Summary</t>
  </si>
  <si>
    <t>Meeting Pembahasan integrasi Settlement BengkelNet</t>
  </si>
  <si>
    <t>Pembahasan integrasi Bengkel Net dengan TCES dan TICS</t>
  </si>
  <si>
    <t>Staging Cloud</t>
  </si>
  <si>
    <t>Mempelajari Alur Process Stagging Cloud</t>
  </si>
  <si>
    <t>MIGRATION</t>
  </si>
  <si>
    <t>iqbal.ali@elistec.com</t>
  </si>
  <si>
    <t>Pengecekan input data TCES dengan sejumlah no polis untuk melakukan proses rekonsiliasi secara otomatis dengan scheduler.</t>
  </si>
  <si>
    <t>Perancangan diagram alur proses staging cloud - master data</t>
  </si>
  <si>
    <t>Berdasarkan informasi yang ada pada diagram terdapat kekurangan, sehingga perlu di buat diagram kembali untuk memberikan flow informasi secara jelas</t>
  </si>
  <si>
    <t>pembentukan diagram baru untuk staging cloud khusus untuk get BP (Business Partner) / Master Data</t>
  </si>
  <si>
    <t>Perancangan proses validasi data input untuk di proses oleh SAP dari SP ke bentuk service</t>
  </si>
  <si>
    <t>Saat ini proses validasi dilakukan dengan SP perlu di pindahkan ke bentuk service</t>
  </si>
  <si>
    <t>Pengubahan counter percobaan scheduler API Settlement menjadi 60x yang sebelumnya 84x</t>
  </si>
  <si>
    <t>Scheduler ingin di set oleh bu Etha menjadi 60 x pengambilan data per 2 jam sekali, sehingga menjadi 5 hari max</t>
  </si>
  <si>
    <t>Scheduler telah di update untuk pengambilan settlement menjadi 60x sesuai request dan sudah di deploy ke UAT</t>
  </si>
  <si>
    <t>Restrukturisasi dan merging dokumen BRD API Settlement &amp; API Integration</t>
  </si>
  <si>
    <t>Penggabungan dokumen BRD API Settlement &amp; Integration</t>
  </si>
  <si>
    <t>Restrukturisasi dan merging dokumen FSD API Settlement &amp; API Integration</t>
  </si>
  <si>
    <t>Penggabungan dokumen FSD API Settlement &amp; Integration</t>
  </si>
  <si>
    <t>Restrukturisasi dan merging dokumen TSD API Settlement &amp; API Integration</t>
  </si>
  <si>
    <t>Penggabungan dokumen TSD API Settlement &amp; Integration</t>
  </si>
  <si>
    <t>Pembuatan Test Case Staging Cloud</t>
  </si>
  <si>
    <t xml:space="preserve">Pembuatan Test Case Pengujian Staging Cloud </t>
  </si>
  <si>
    <t>Mengkomunikasikan mitirgasi terkait kebutuhan enkripsi antara TICS dengan Staging Cloud</t>
  </si>
  <si>
    <t>syifa.kurnia@elistec,com</t>
  </si>
  <si>
    <t>Pembahasan dengan mas julian, mas daus dan iqbal untuk proses pengecekan data / tracing di Staging Cloud</t>
  </si>
  <si>
    <t>Validasi pengecekan alur proses data testing untuk Staging Cloud dengan dev dan tim internal terkait</t>
  </si>
  <si>
    <t>Finalisasi Diagram Arsitektur Staging Cloud</t>
  </si>
  <si>
    <t>Persiapan Pembuatan BRD dan dokumen FSD, TSD Staging Cloud</t>
  </si>
  <si>
    <t>Implementasi Kafka UI di SC - Outbound</t>
  </si>
  <si>
    <t>Done</t>
  </si>
  <si>
    <t>dibutuhkan kafka ui untuk dapat melihat informasi data stream yang akan di kirimkan untuk di proses, dikarenakan data tersebut berada dalam topic di sebuah aplikasi kafka, maka dibutuhkan kafka ui untuk dapat melihat informasi di dalam nya</t>
  </si>
  <si>
    <t>implementasi kafka ui berhasil dan tim DEV, BA, QA, TW dapat melihat informasi tersebut secara langsung</t>
  </si>
  <si>
    <t>Implementasi Redis Insight di SC - Outbound</t>
  </si>
  <si>
    <t>ditbutuhkan redis insight untuk dapat melihat langsung data redis pada server staging cloud</t>
  </si>
  <si>
    <t>redis insight telah selesai di implementasi, namun untuk mengakses membutuhkan aplikasi desktop</t>
  </si>
  <si>
    <t>Implementasi Open Telemetry di SC - Outbound</t>
  </si>
  <si>
    <t>dibutuhkan open telemetry untuk dapat melakukan tracking data, request payload, alur proses data di dalam suatu aplikasi, untuk kebutuhan pengecekan data pengujian (testing) SIT</t>
  </si>
  <si>
    <t>open telemetry sudah di implementasikan pada SC dan dapat di akses untuk melihat informasi data atau proses di dalam aplikasi SC secara langsung</t>
  </si>
  <si>
    <t>Akses ke Kafka UI dengan user sendiri</t>
  </si>
  <si>
    <t>Dibutuhkan akses ke kafka ui yang sudah di implementasikan di Staging Cloud</t>
  </si>
  <si>
    <r>
      <rPr>
        <sz val="10"/>
        <color rgb="FF000000"/>
        <rFont val="Calibri"/>
      </rPr>
      <t xml:space="preserve">Sudah dapat di akses kafka ui pada </t>
    </r>
    <r>
      <rPr>
        <b/>
        <sz val="10"/>
        <color rgb="FF000000"/>
        <rFont val="Calibri"/>
      </rPr>
      <t>http://localhost:18090/ui/clusters/TICS-Staging-Cluster/all-topics/staging.outbound.master-data.bp/statistics</t>
    </r>
  </si>
  <si>
    <t>Akses ke Jaeger UI dengan user sendiri</t>
  </si>
  <si>
    <t>Pembuatan BRD Staging - Business Partner</t>
  </si>
  <si>
    <t>Diperlukan pembuatan BRD Staging Cloud - Master data BP, untuk memberikan penjelasan tentang struktur flow process Staging Cloud BP</t>
  </si>
  <si>
    <t>Dokumen BRD berhasil di buat dan akan selanjutnya di perbaiki</t>
  </si>
  <si>
    <t>TTS - ARMS</t>
  </si>
  <si>
    <t>Mempelajari Flow Aplikasi TTS</t>
  </si>
  <si>
    <t>TTS</t>
  </si>
  <si>
    <t>heni.rahayu@elistec.com</t>
  </si>
  <si>
    <t>Integrasi TCES Claim - BengkelNet</t>
  </si>
  <si>
    <t>Mempelajari Payload Update status Bengkel Net untuk TCES</t>
  </si>
  <si>
    <t>dibutuhkan sebuah api yang dapat digunakan untuk melakukan pengecekan apakah polis sudah di extraksi pada aplikasi TICS</t>
  </si>
  <si>
    <t>tim dev telah membuat 1 endpoint tambahan untuk melakukan pengecekan dan memberikan respon terkait status polis ke TCES</t>
  </si>
  <si>
    <t>Edit dan perbaikan dokumen BRD Staging Cloud - Part 1</t>
  </si>
  <si>
    <t>Pembuatan User Guid TTS untuk kebutuhan management &amp; users</t>
  </si>
  <si>
    <t>Pembuatan Tracker Temuan aplikasi TTS ARMS</t>
  </si>
  <si>
    <t>diperlukan suatu tracker untuk melakukan logging temuan ARMS</t>
  </si>
  <si>
    <t>file sudah di buat pada file : https://tugu.sharepoint.com/:x:/r/sites/TUGUFILESHARING/Documents/IT/External%20Share/2026%20Manage%20Service%20Elistec/TTS%20V2/TTS%20-%20Log%20Temuan%20Aplikasi.xlsx?d=w73c1cafd5d9549ba80bae631b031b415&amp;csf=1&amp;web=1&amp;e=MoWDOq</t>
  </si>
  <si>
    <t>Melakukan pengecekan TTS ARMS</t>
  </si>
  <si>
    <t>Weekly Meeting Tugu Team</t>
  </si>
  <si>
    <t>Pembahasan pekerjaan bulanan bersama tim Tugu dan progress project</t>
  </si>
  <si>
    <t>Membuat BRD TCES Claim BengkelNet</t>
  </si>
  <si>
    <t>BRD</t>
  </si>
  <si>
    <t>Membuat Draft BRD TCES Claim BengkelNet</t>
  </si>
  <si>
    <t>Pembuatan Draft BRD Berhasil, persiapan untuk melakukan edit dokumen tersedia</t>
  </si>
  <si>
    <t>Pelajari enkripsi pertukaran data di TCES &amp; Transfer knowledge API Integration TICS</t>
  </si>
  <si>
    <t>Eksplorasi Codebase API TICS Integration</t>
  </si>
  <si>
    <t>Meeting Mekanisme Enkripsi Terbaru TCES ke TICS dengan Tim Elistec</t>
  </si>
  <si>
    <t>Sharing Knowledge Penggunaan dan Alur Proses Aplikasi TCES - Pembelian Phase</t>
  </si>
  <si>
    <t>Pelajari Enkripsi Signature &amp; Payload terbaru (dari hasil meeting kemarin) + Sampling</t>
  </si>
  <si>
    <t xml:space="preserve"> Implementasi Enkripsi API TCES to TICS - Membuat endpoint baru /api/v2/tics/transaction/store untuk pertukaran data tces ke tics</t>
  </si>
  <si>
    <t>Implementasi Enkripsi API TCES to TICS - Menerapkan otentikasi baru dengan menggunakan Digital Signature pada endpoint</t>
  </si>
  <si>
    <t>Implementasi Enkripsi API TCES to TICS - Menerapkan fungsi decript pada data insured yang dikirim tces</t>
  </si>
  <si>
    <t xml:space="preserve">Implementasi Enkripsi API TCES to TICS - Testing Penerapan Signature dan Enkripsinya by Postman </t>
  </si>
  <si>
    <t>Penyesuaian mapping data pada integrasi TCES ke TICS - Penambahan fungsi untuk insert data ke tabel tces_acceptance_object_detail</t>
  </si>
  <si>
    <t>Penyesuaian mapping data pada integrasi TCES ke TICS  - Testing dan memastikan proses otentikasi signature, decrypt insured dan insert data ke database sudah berjalan.</t>
  </si>
  <si>
    <t>Proses penambahan variable baru untuk keperluan verify signature &amp; decrypt data pada file .env yang ada di server dev.
variable yang di tambahkan : INTEGRATION_PUBLIC_KEY &amp; TICS_PARTNER_PRIVATE_KEY</t>
  </si>
  <si>
    <t>Pembuatan API Docs pada Swagger : membuat sample request body, request header dan sample response untuk API v2</t>
  </si>
  <si>
    <t>Koordinasi dengan team TCES (mas Rifqi) untuk menyamakan private key dan public key yang akan digunakan untuk integrasi TCES to TICS.</t>
  </si>
  <si>
    <t>Melakukan penyesuaian ekstraksi raw HTTP Request content (json_decode($request-&gt;getContent(), true)) pada middleware verifikasi enkripsi &amp; digital signature sebelum dilakukan verifikasi payload.</t>
  </si>
  <si>
    <t>Membantu dan mendampingi tim QA dalam pengujian integrasi API TICS. Memastikan seluruh alur enkripsi, validasi signature, dan dekripsi payload pada middleware berjalan sesuai ekspektasi</t>
  </si>
  <si>
    <t>Melakukan eksplorasi terhadap Stored Procedure yang berjalan pada database tics, mencakup penelusuran logic di dalam Stored Procedure, parameter, tabel, relasi, serta Stored Procedure tersebut dipanggil dan digunakan oleh aplikasi.</t>
  </si>
  <si>
    <t>Menambahkan logging terstruktur (error &amp; warning) dengan menyertakan context nomor polis (pol_nbr) dan kuotasi (quo_nbr) pada middleware keamanan dan service verifikasi kriptografi saat terjadi kegagalan request.</t>
  </si>
  <si>
    <t>Melakukan pendampingan kepada tim QA dalam pelaksanaan End-to-End (E2E) Testing. Pengujian mencakup alur input data pada aplikasi TCES hingga memverifikasi bahwa data telah terintegrasi dan tersinkronisasi di aplikasi TICS.</t>
  </si>
  <si>
    <t>Koordinasi lanjutan dengan team TCES (Mas Rifqi) untuk dalam melakukan fixing pada jenis produk Travella yang belum bisa terintegrasi dengan TICS</t>
  </si>
  <si>
    <t>Eksplorasi Scheduler dan Store Procedur untuk Ektraksi Polis untuk produk Misceleanious dan Fire</t>
  </si>
  <si>
    <t>Monitoring &amp; Validasi Data Dashboard E2E serta Koordinasi Issue SP, ditemukan issue pada proses ekstraksi data di Store Procedure dan telah dikomunikasikan</t>
  </si>
  <si>
    <t>Membantu QA dan BA Monitoring &amp; Validasi Data Dashboard &amp; Database ketika melakukan testing E2E (T-Drive)</t>
  </si>
  <si>
    <t>Setup dan Mempelajari Aplikasi Integration Monitoring</t>
  </si>
  <si>
    <t>Eksplorasi codebase Aplikasi Integration Monitoring (Mencakup koneksi database, flow dan route yang tersedia)</t>
  </si>
  <si>
    <t>Membantu QA dan BA Monitoring &amp; Validasi Data Dashboard ketika melakukan testing E2E (Travella)</t>
  </si>
  <si>
    <t>Eksplorasi codebase Aplikasi Integration Monitoring (Route BE/API, Service dan Controller)</t>
  </si>
  <si>
    <t>Fixing penggunaan Helpers::defaultFromConfig di seluruh codebase dan memperbarui TransactionController agar parameter cob diambil secara dinamis dari biz_cls.</t>
  </si>
  <si>
    <t>Tracing Nominal TSI Amount yang belum masuk ke TICS untuk Integrasi Data Travella dari TCES. Bug tersebut disebabkan karena TCES tidak mengirim value tsi_amount. Sudah koordinasi dengan tim TCES untuk dilakukan perbaikan.</t>
  </si>
  <si>
    <t>Meeting Transfer Knowledge Aplikasi Admin CMS TCES</t>
  </si>
  <si>
    <t>Meeting Review Progress Bersama Seluruh Tim ERP Tugu</t>
  </si>
  <si>
    <t>Membantu QA dan BA Monitoring &amp; Validasi Data Dashboard &amp; Database ketika melakukan testing E2E Integrasi TCES ke TICS</t>
  </si>
  <si>
    <t>Membantu QA dan BA Monitoring &amp; Validasi Data Dashboard &amp; Database ketika melakukan testing E2E Integrasi TCES ke TICS (MV) dengan semua matrix skenario</t>
  </si>
  <si>
    <t>Membantu QA dan BA Monitoring &amp; Validasi Data Dashboard &amp; Database ketika melakukan testing E2E Integrasi TCES ke TICS (MV) dengan skema skenario yang masih belum ada</t>
  </si>
  <si>
    <t>Membantu TW melakukan review pada dokumen TSD</t>
  </si>
  <si>
    <t>Membantu QA dan BA Monitoring &amp; Validasi Data Dashboard &amp; Database ketika melakukan testing E2E Integrasi TCES ke TICS (MV) dengan Diskon/Promo</t>
  </si>
  <si>
    <t>Membantu QA dan BA Monitoring &amp; Validasi Data Dashboard &amp; Database ketika melakukan testing E2E Integrasi TCES ke TICS (MV) dengan Diskon/Promo + BP Belum Terdaftar</t>
  </si>
  <si>
    <t>Briefing Penjelasan Alur Settlement Payment bersama Bu Etha dan Mas Abel</t>
  </si>
  <si>
    <t>Meeting Terkait Espay Settlement Notification dengan Mas Rifqi (TCES)</t>
  </si>
  <si>
    <t>Meeting Integrasi Claim TCES (Tim IT Tugu, Tim Claim Tugu, Tim IT Elistec)</t>
  </si>
  <si>
    <t>Implementasi API Settlement Payment Espay to TICS - Setup middleware untuk Otentikasi Digital Signature</t>
  </si>
  <si>
    <t>Implementasi endpoint baru POST /api/v2/tics/settlement/store melalui pembuatan SettlementController untuk menerima dan menyimpan data payload settlement transaksi (Espay/Tces) ke tabel integration_payload dengan kategori TCES SETTLEMENT</t>
  </si>
  <si>
    <t>Pengembangan endpoint POST /api/v2/tics/settlement/store untuk proses validasi, dilanjutkan dengan ekstraksi data ke tces_settlement_header &amp; tces_settlement_detail serta penanganan proteksi duplikasi rq_uuid (HTTP 409)</t>
  </si>
  <si>
    <t>Mengimplementasikan data enrichment pada tces_settlement_detail untuk memetakan pol_nbr, quo_nbr (via acceptance), dan zsddt0002_docs (via zsddt0002) saat proses store settlement di endpoint POST /api/v2/tics/settlement/store.</t>
  </si>
  <si>
    <t>Membuat task scheduler SettlementService::syncMissingSettlementDocs, Artisan command settlement:sync-missing-docs, serta mendaftarkan task scheduler berkala (setiap 2 jam) untuk rekonsiliasi data settlement yang belum lengkap.</t>
  </si>
  <si>
    <t>Memperbarui dokumentasi OpenAPI/Swagger untuk endpoint settlement store beserta dokumentasi teknisnya</t>
  </si>
  <si>
    <t>Menambahkan validasi payload pada endpoint store settlement guna memastikan nilai amount sesuai dengan total akumulasi settlement_amount serta count_trx cocok dengan jumlah item detail data.</t>
  </si>
  <si>
    <t>Payload settlement rentan mengalami selisih finansial jika data detail terpotong saat transmisi, serta perbandingan angka desimal di PHP berisiko terkena floating-point precision error.</t>
  </si>
  <si>
    <t>Ditambahkan validasi kustom di SettlementStoreRequest untuk mencocokkan count_trx dengan ukuran array, serta memverifikasi nominal amount terhadap total akumulasi detail menggunakan komparasi bertoleransi presisi desimal.</t>
  </si>
  <si>
    <t>Mengimplementasikan terminable middleware beserta model TcesIntegrationLog untuk mencatat audit trail API integrasi (Settlement dan Transaction v2), dengan penanganan sanitasi data dan request headers.</t>
  </si>
  <si>
    <t>Pencatatan audit trail lengkap (payload &amp; response) berisiko menambah latensi respon API ke klien serta menimbulkan celah kebocoran data sensitif (seperti kredensial password, token Authorization, dan cookie).</t>
  </si>
  <si>
    <t>Menggunakan terminable middleware (method terminate()) agar pencatatan log dieksekusi di background setelah respon terkirim ke klien (tanpa menambah latensi), serta menerapkan sanitasi otomatis (masking ********) pada data sensitif sebelum disimpan ke tabel tces_integration_log.</t>
  </si>
  <si>
    <t>Membantu QA dan BA Monitoring &amp; Validasi Data di Database ketika melakukan testing integrasi API Settlement</t>
  </si>
  <si>
    <t>Meeting API Settlement Payment - Kelanjutan Data Stagging</t>
  </si>
  <si>
    <t>Menambahkan aturan validasi dengan menerapkan format string numerik dua desimal non-negatif untuk field finansial, validasi standar tanggal-waktu (rq_datetime dan settlement_date), serta memastikan keunikan setiap tx_id menggunakan aturan distinct.</t>
  </si>
  <si>
    <t>Field finansial rentan menerima format desimal acak atau bernilai negatif, format tanggal antar field belum seragam, dan terdapat risiko duplikasi tx_id dalam satu batch array.</t>
  </si>
  <si>
    <t>Diterapkan validasi string numerik presisi 2 desimal non-negatif (regex &amp; gte:0), standardisasi format tanggal (date_format), serta aturan distinct pada data.*.tx_id untuk memastikan keunikan data.</t>
  </si>
  <si>
    <t>Proses enforce tidak berjalan karena terdapat data yang tidak sesuai dengan SAP sehingga dokumen accounting tidak terproses</t>
  </si>
  <si>
    <t>Melakukan follow-up ke mas Egy untuk dilakukan perbaikan data</t>
  </si>
  <si>
    <t>Melakukan sinkronisasi codebase dengan dokumen TSD bersama Technical Writter</t>
  </si>
  <si>
    <t>Menyiapkan skenario untuk batas retry untuk scheduler syncMissingSettlementDocs() agar tidak terus menerus menarik data terupdate jika sudah melebihi batas yang ditentukan.</t>
  </si>
  <si>
    <t>Implementasi batas retry scheduler syncMissingSettlementDocs() max 7hari</t>
  </si>
  <si>
    <t>Scheduler sebelumnya memproses seluruh data lama tanpa batas waktu sehingga membebani database dengan data yang gagal permanen, serta perbandingan awal berbasis timestamp (jam/menit) berisiko memotong transaksi yang dibuat di hari H-7.</t>
  </si>
  <si>
    <t>Menambahkan filter whereDate('created_at', '&gt;=', ...) agar pemindaian dibatasi murni pada tanggal 7 hari terakhir (mengabaikan jam), dengan pengecualian bypass otomatis jika parameter rq_uuid dispesifikasikan untuk kebutuhan penanganan manual.</t>
  </si>
  <si>
    <t>Meeting Integrasi Claim &amp; Settlement TCES x Bengkel.net x Tugu</t>
  </si>
  <si>
    <t>Membantu QA dan BA Monitoring &amp; Validasi Data di Database ketika melakukan testing integrasi API Settlement sekaligus testing batas scheduler syncMissingSettlementDocs()</t>
  </si>
  <si>
    <t>Melakukan validasi pada dokumen TSD agar sesuai dengan codebase yang diimplementasikan</t>
  </si>
  <si>
    <t>Implementasi filter tanggal sinkronisasi missing settlement menjadi 5 hari yang dapat dikonfigurasi secara dinamis melalui .env (SETTLEMENT_SYNC_DAYS) beserta penyelarasan pada service dan command terkait</t>
  </si>
  <si>
    <t>Nilai batas hari sinkronisasi sebelumnya di-hardcode pada kode program sehingga tidak fleksibel saat ada perubahan requirement dari klien, serta berisiko null jika membaca .env secara langsung saat konfigurasi di-cache.</t>
  </si>
  <si>
    <t>Parameter batas hari dipindahkan ke variabel .env (SETTLEMENT_SYNC_DAYS) dan didaftarkan melalui config/services.php, sehingga batas hari dapat diubah sewaktu-waktu dengan mudah dan tetap aman saat dijalankan di server production.</t>
  </si>
  <si>
    <t>Melakukan riset mengenai deployment .NET ke GCP</t>
  </si>
  <si>
    <t>syifa.kurnia@elistec.com</t>
  </si>
  <si>
    <t>Melakukan validasi dan sinkronisasi pada dokumen FSD agar sesuai dengan codebase yang diimplementasikan</t>
  </si>
  <si>
    <t>Melakukan perbaikan pada case false positive di middleware IntegrationCryptoVerifyService ketika kondisi payload tidak memiliki atribut insured namun tetap menjalankan proses decrypt yang seharusnya dilewati</t>
  </si>
  <si>
    <t>Middleware kriptografi mewajibkan keberadaan objek insured, padahal payload transaksi settlement tidak memiliki objek tersebut sehingga selalu memicu error log palsu.</t>
  </si>
  <si>
    <t>Proses dekripsi insured diubah menjadi kondisional sehingga request settlement yang valid langsung ditandai sukses tanpa melempar exception atau mencemari log.</t>
  </si>
  <si>
    <t>Sanitasi Error code 500 pada endpoint transaksi dan settlement</t>
  </si>
  <si>
    <t>Pesan error $e-&gt;getMessage() dikembalikan langsung ke respon HTTP 500 sehingga berisiko mengekspos detail teknis internal dan query database ke pihak luar.</t>
  </si>
  <si>
    <t>Respon HTTP 500 disanitasi dengan pesan generik yang aman bagi klien, sedangkan detail exception lengkap dicatat secara privat ke log internal aplikasi.</t>
  </si>
  <si>
    <t>Menghapus Kunci Privat RSA yang Tertulis Langsung pada Berkas Konfigurasi Git. Pengamanan Sistem Kriptografi Kini Dialihkan ke Variabel Environment Menggunakan Prinsip Fail-Closed.</t>
  </si>
  <si>
    <t>Kunci privat RSA 2048-bit tertulis secara hardcoded di berkas config/integration.php sebagai fallback sehingga berisiko bocor melalui riwayat repositori Git.</t>
  </si>
  <si>
    <t xml:space="preserve"> Nilai hardcoded dihapus seutuhnya dan dialihkan murni ke environment variable, serta diterapkan prinsip fail-closed agar sistem menolak berjalan jika kunci belum dikonfigurasi.</t>
  </si>
  <si>
    <t>Melakukan sinkronisasi pada dokumen TSD agar sesuai dengan codebase yang diimplementasikan</t>
  </si>
  <si>
    <t>Mempelajari Dokumentasi API Bengkel.net Claim</t>
  </si>
  <si>
    <t>Koordinasi dengan tim TCES (Mas Rifqi) terkait pembuatan endpoint untuk pengecekan Polis yang sudah ter-ekstraksi untuk melakukan claim ke bengkel.net</t>
  </si>
  <si>
    <t>Di TICS, data polis dari TCES perlu melewati tahap integrasi SAP dan proses ekstraksi dari tabel staging ke tabel utama (acceptance) via scheduler. Jika proses ini belum rampung (atau sempat pending saat service SAP UAT mati), polis belum terdaftar di tabel utama, sehingga klaim di bengkel.net merespons 'polis tidak ditemukan'</t>
  </si>
  <si>
    <t>Kami sepakat untuk menyediakan endpoint POST /api/v2/tics/policy/check-status untuk mem-populate dropdown pilihan nomor polis di halaman klaim, TCES bisa memfilter hanya polis yang is_claimable = true yang bisa dipilih untuk proses klaim.</t>
  </si>
  <si>
    <t>Menyiapkan API Specification untuk Endpoint Policy Check bersama Technical Writer</t>
  </si>
  <si>
    <t>Implementasi endpoint baru POST /api/v2/tics/policy/check-status untuk memeriksa kesiapan klaim polis secara bulk</t>
  </si>
  <si>
    <t>Menyediakan endpoint POST /api/v2/tics/policy/check-status untuk mem-populate dropdown pilihan nomor polis di halaman klaim, TCES bisa memfilter hanya polis yang is_claimable = true yang bisa dipilih untuk proses klaim.</t>
  </si>
  <si>
    <t>Melakukan Meeting Progress bersama stakeholder</t>
  </si>
  <si>
    <t>Sharing knowledge mengenai sistem business flow TCIS dan TCES</t>
  </si>
  <si>
    <t>mempelajari business flow dari TCIS mengisi data di form quotation dan TECS mensimulasi perhitungan asuransi dan pengenalan produk-produk yang ada didalam TCES</t>
  </si>
  <si>
    <t>Melakukan Pengecekan TICS - Sanitize URL Evidance (QA) untuk selanjutnya dinaikkan ke tahap Production</t>
  </si>
  <si>
    <t>memiliki hasil berupa dokumentasi testing step by step testing beserta actual result dan follow up hasil testing ke mas farhan untuk dinaikkan ke tahap production</t>
  </si>
  <si>
    <t>Membuat Test Case untuk kebutuhan pengujian testing API integration terdiri dari no test case, kategori, mode fitur, skenario, expected result, actual result, status testing</t>
  </si>
  <si>
    <t>membutuhkan requirment lebih detail terkait pembuatan test case</t>
  </si>
  <si>
    <t>Telah di lakukan permintaan meeting offline dengan tim vendor pada hari senin siang dengan membahas pembuatan test case dan test execution yang dilakukan untuk test API Integration</t>
  </si>
  <si>
    <t>Meeting membahas timeline flow testing dan cara kerja untuk membuat test case dan hit scenario integrasi TICS dan TECS</t>
  </si>
  <si>
    <t>membahas mulai dari flow business dari TCES dan agen portal dev Tugu untuk alur testing, mendapatkan dokumentasi testing, dan mendapatkan dokumentasi berupa BRD dari tim vendor</t>
  </si>
  <si>
    <t>Meeting mengenai testing flow produk TCES beserta penjelasan produk TCES</t>
  </si>
  <si>
    <t>meeting mengenai testing flow produk TCES mulai dari simulasi pembayaran premi dari tdrive, tride, dan produk tces lainnya</t>
  </si>
  <si>
    <t>Membuat Tes Case Pengujian API - Update Test case untuk API Integration dengan menambahkan sheet Information capture, dan menambahkan detail seperti remarks, tgl testing</t>
  </si>
  <si>
    <t>pengecekkan dan penambahan test case untuk dokumentasi yang digunakan untuk menjalankan testing pada tanggal 18 Agustus 2026 mendatang</t>
  </si>
  <si>
    <t>Membuat Test Case Pengujian API - Update Test case untuk API Integration untuk menambahkan 3 skenario negative yaitu scenario Timestamp, signature, dan User-Id dengan masing-masing case invalid</t>
  </si>
  <si>
    <t>menambahkan scenario condition pada test case API Integration menjadi 10 TC untuk kebutuhan testing pada tanggal 18 Agustus 2026 mendatang</t>
  </si>
  <si>
    <t>Melakukan simulasi hit scenario Test Case API Integration TCES TICS - testing penerapan signature, timestamp, dan user-id menggunakan postman</t>
  </si>
  <si>
    <t>Membuat Test Case Pengujian API - Adjustment QA API Tracker TCES-TICS: Standarisasi Kolom Skenario (Payload/Expected Result) &amp; Panduan Referensi HTTP</t>
  </si>
  <si>
    <t xml:space="preserve">Melakukan approval Test Case Pengujian API TCES-TICS ke user untuk memvalidasi Test Case yang telah dibuat untuk selanjutnya bisa dilakukan execution testing </t>
  </si>
  <si>
    <t>Menjalankan execute Test Case API Integration TCES - TICS menggunakan Postman untuk mengetahui hasil testing sesuai dengan expected yang diminta sesuai dengan skenario</t>
  </si>
  <si>
    <t xml:space="preserve">Mereview test case yang sudah diexecute untuk memastikan hasil yang diterima sesuai dengan ekspektasi yang diminta dalam scenario </t>
  </si>
  <si>
    <t>Testing end-to-end fitur TCES dengan memastikan data nomor polis yang sudah terbentuk masuk kedalam TICS</t>
  </si>
  <si>
    <t>Membuat test case untuk end-to-end TCES untuk produk Tride dan execute testing sampai terbentuk polis number</t>
  </si>
  <si>
    <t>Membuat dan menjalankan test-case end-to-end TCES untuk produk Tride sampai terbentuk polis dan terintegrasi dengan TICS</t>
  </si>
  <si>
    <t>Mengexecute testing produk T-Travella dan T-Property sampai terbentuk polis dan terdaftar di Payload</t>
  </si>
  <si>
    <t>https://elistec1-my.sharepoint.com/:x:/g/personal/mohammad_danang_elistec_com/IQCvT__J-UIaQLm3PvL_eUm2AUB4angj9Gfr0Kl7KGKrLvY?rtime=-PLRQm3-3kg&amp;wdExp=TEAMS-TREATMENT&amp;web=1</t>
  </si>
  <si>
    <t>Menjalankan execute Test Case Produk TCES TDrive secara end-to-end sampai data polis masuk kedalam TICS</t>
  </si>
  <si>
    <t>https://elistec1-my.sharepoint.com/:w:/g/personal/athallah_bariq_elistec_com/IQB37tXK9ZlpQ5Y85-uIC9YJAWOGFZvYbnehNwwQkILeOJo?e=7SIuhQ</t>
  </si>
  <si>
    <t>Menjalankan execute Test Case Produk TCES TTravella secara end-to-end sampai data polis masuk kedalam TICS</t>
  </si>
  <si>
    <t>https://elistec1-my.sharepoint.com/:x:/r/personal/athallah_bariq_elistec_com/_layouts/15/Doc.aspx?sourcedoc=%7B181A00B4-5EB8-4A43-BCDD-D6F2F97DB010%7D&amp;file=Evidence%20Testing.xlsx&amp;action=default&amp;mobileredirect=true</t>
  </si>
  <si>
    <t>Menjalankan execute Test Case Produk TCES TFire secara end-to-end sampai data polis masuk kedalam TICS</t>
  </si>
  <si>
    <t>https://elistec1-my.sharepoint.com/:x:/r/personal/athallah_bariq_elistec_com/_layouts/15/Doc.aspx?sourcedoc=%7B845FE71D-6A71-4558-A0D4-176D3FD6CD77%7D&amp;file=Task%20Tracker%20-%20Update.xlsx&amp;fromShare=true&amp;action=default&amp;mobileredirect=true</t>
  </si>
  <si>
    <t xml:space="preserve">Meeting sharing knowledge pengenalan aplikasi BAST TCES </t>
  </si>
  <si>
    <t>https://cms-dev.tugu.com/dashboard/voucher/type</t>
  </si>
  <si>
    <t>Testing end-to-end produk MV (Tride dan Tdrive) di TCES sampai masuk kedalam TICS menggunakan BP yang sudah terdaftar</t>
  </si>
  <si>
    <t>Testing end-to-end produk MV (Tride dan Tdrive) di TCES sampai masuk kedalam TICS menggunakan BP yang belum terdaftar</t>
  </si>
  <si>
    <t>Retest produk MV (Tride dan Tdrive) secara end-to-end untuk memastikan promo diskon sudah masuk di TCES dan TICS</t>
  </si>
  <si>
    <t>Lanjutan : Retest produk MV (Tride dan Tdrive) secara end-to-end untuk memastikan promo diskon sudah masuk di TCES dan TICS</t>
  </si>
  <si>
    <t>Testing TDrive : https://elistec1-my.sharepoint.com/:x:/g/personal/athallah_bariq_elistec_com/IQC0ABoYuF5DSrzd1vL5fbAQAczJ-qS0H4UPLKfqLHCTvkU?e=y4y76T
Testing TRide : https://elistec1-my.sharepoint.com/:x:/g/personal/athallah_bariq_elistec_com/IQDDQ6ijwzFLS5uCjht0pVR2AVfjYFaSZGKwRKnXbTVNDZ0?e=wEetzn</t>
  </si>
  <si>
    <t>Lanjutan : Testing end-to-end produk MV (Tdrive) di TCES sampai masuk kedalam TICS menggunakan BP yang belum terdaftar</t>
  </si>
  <si>
    <t>Testing TDrive : https://elistec1-my.sharepoint.com/:x:/g/personal/athallah_bariq_elistec_com/IQC0ABoYuF5DSrzd1vL5fbAQAczJ-qS0H4UPLKfqLHCTvkU?e=y4y76T</t>
  </si>
  <si>
    <t>Lanjutan : Testing end-to-end produk MV (TRide) di TCES sampai masuk kedalam TICS menggunakan BP yang belum terdaftar</t>
  </si>
  <si>
    <t>Testing T-Ride.xlsx</t>
  </si>
  <si>
    <t xml:space="preserve">Lanjutan : Retesting end-to-end produk MV (TRide) di TCES sampai masuk kedalam TICS menggunakan BP yang belum terdaftar </t>
  </si>
  <si>
    <t>ReTesting status blocked end-to-end produk TRide dari TCES sampai polis tergenerate ke TICS karena polis belum difixing di Stagging dan SAP</t>
  </si>
  <si>
    <t>Transfer Knowledge Accessment Integrasi di TCES</t>
  </si>
  <si>
    <t>18 September 2026 - Meeting Transfer Knowledge TCES.docx</t>
  </si>
  <si>
    <t xml:space="preserve">Membuat Test case scenario untuk pembuatan quotation number di Form Quotation TICS </t>
  </si>
  <si>
    <t xml:space="preserve">testing terkait periode closing, dengan transaction date dan bill date sudah sesuai. </t>
  </si>
  <si>
    <t>Testing untuk skenario:
Manual input individual
Manual input multiple
Manual input open cover
Upload multiple, bulk enforce
Upload open cover, bulk enforce</t>
  </si>
  <si>
    <t>[Lanjutan] testing terkait periode closing, dengan transaction date dan bill date sudah sesuai (diatur ketanggal 20261001).</t>
  </si>
  <si>
    <t xml:space="preserve"> Testing untuk skenario:
Manual input individual
Manual input multiple
Manual input open cover
Upload multiple, bulk enforce
Upload open cover, bulk enforce </t>
  </si>
  <si>
    <t>Menambahkan matriks policy type untuk test case scenario TICS</t>
  </si>
  <si>
    <t xml:space="preserve">Menjalankan Scenario testing QA Tracker Settlement API TCES </t>
  </si>
  <si>
    <t>menjalankan TC-POS-001 https://elistec1-my.sharepoint.com/:x:/g/personal/syafix_said_elistec_com/IQCAjPGo_c1sRJlZsjmtI8BEAZgWIzwscBGDEBZih6ngtN0?e=3bP0WZ&amp;wdExp=TEAMS-TREATMENT&amp;web=1</t>
  </si>
  <si>
    <t xml:space="preserve">Menjalankan Scenario Negative testing  QA Tracker Settlement API TCES </t>
  </si>
  <si>
    <t>https://elistec1-my.sharepoint.com/:x:/g/personal/syafix_said_elistec_com/IQCAjPGo_c1sRJlZsjmtI8BEAZgWIzwscBGDEBZih6ngtN0?e=3bP0WZ&amp;wdExp=TEAMS-TREATMENT&amp;web=1</t>
  </si>
  <si>
    <t xml:space="preserve">Menjalankan Scenario Positive testing  QA Tracker Settlement API TCES </t>
  </si>
  <si>
    <t>Menjalankan testing Settlement API TCES secara end-to-end</t>
  </si>
  <si>
    <t>(Lanjutan) Menjalankan testing Settlement API TCES secara end-to-end</t>
  </si>
  <si>
    <t>Execute testing API Settlement melakukan enforce dan settlement polis MV dari TCES</t>
  </si>
  <si>
    <t>pilih paket Plus dan Ultimate diperluasan "Tanggung Jawab Hukum terhadap Pihak Ketiga" ini nilai defaultnya seharusnya bukan 0</t>
  </si>
  <si>
    <t>sedang dilakukan perbaikan oleh mas riefqi selaku tim TCES</t>
  </si>
  <si>
    <t>https://jam.dev/c/31bd2319-c95b-4f29-8ee6-22116f6c1755</t>
  </si>
  <si>
    <t>Melakukan Meeting terkait Settlement TCES - TICS - Bengkel Net</t>
  </si>
  <si>
    <t>Lanjutan testing Settlement API TCES untuk enforce polis MV</t>
  </si>
  <si>
    <t>list dropdown harga pada TPL lebih diperbanyak listnya dan jika memilih paket Plus Ultimate pada bagian TPL harus klik list bawah dulu baru pilih yang atas</t>
  </si>
  <si>
    <t>Membuat data polis TCES MV untuk proses enforce dan settlement API</t>
  </si>
  <si>
    <t>Membuat data polis TCES non MV untuk proses enforce dan settlement API</t>
  </si>
  <si>
    <t>Transfer Knowledge untuk handover pekerjaan ke anak baru</t>
  </si>
  <si>
    <t>Membuat Dokumen Hasil Technical Meeting, Mendalami Dokumen TCES Integration Guide</t>
  </si>
  <si>
    <t>Membuat dokumen terkait penjelasan dan panduan dari hasil technical meeting pembahasan integration TCES TICS, Mendalami Technical Integration Guide dan Mapping Product TCES Document</t>
  </si>
  <si>
    <t>Membuat Dokumen Project Management Untuk Tim</t>
  </si>
  <si>
    <t>Menambahkan Data Pada Dokumen Project Management Tim, Mempersiapkan Technical Document</t>
  </si>
  <si>
    <t>Terdapat data di dokumen project management yang kurang lengkap, membutuhkan informasi lebih lanjut mengenai requirement technical document</t>
  </si>
  <si>
    <t>Melengkapi data di dokumen project management, akan diadakan meeting pembahasan requirement technical document lebih lanjut</t>
  </si>
  <si>
    <t>Meeting Terkait Penjelasan Teknis Proses Dokumentasi Integrasi TCES TICS</t>
  </si>
  <si>
    <t>Membuat Template Functional Specification Document (FSD)</t>
  </si>
  <si>
    <t>Membuat Template Technical Specification Document (TSD)</t>
  </si>
  <si>
    <t>Membuat Dokumen FSD - Menambahkan Penulisan Terkait Document Overview</t>
  </si>
  <si>
    <t xml:space="preserve">Menambahkan detail penulisan pada FSD (Functional Specification Document) terkait dengan document overview yang terdiri dari latar belakang, tujuan, ruang lingkup proyek, istilah dan definisi </t>
  </si>
  <si>
    <t>Membuat Dokumen TSD - Menambahkan Penulisan Terkait Document Overview</t>
  </si>
  <si>
    <t xml:space="preserve">Menambahkan detail penulisan pada TSD (Technical Specification Document) terkait dengan document overview yang terdiri dari latar belakang, tujuan, ruang lingkup proyek, istilah dan definisi </t>
  </si>
  <si>
    <t>Membuat Dokumen TSD - Spesifikasi Basis Data - Melakuakan Pendefinisian Skema Tabel Pencatatan Log Integrasi</t>
  </si>
  <si>
    <t>Menambahkan penulisan spesifikasi basis data terkait terkait dengan pendefinisan skema tabel pencatatan log integrasi yang mana mendokumentasikan seluruh tabel yang terlibat dalam alur integrasi dari TCES hingga TICS</t>
  </si>
  <si>
    <t>Membuat Dokumen TSD - Menambahkan penjelasan rinci dari arsitektur diagram</t>
  </si>
  <si>
    <t>Menambahkan penulisan teknis rinici  terkait dengan pendefinisan arsitektur diagram integrasi yang mana mendokumentasikan seluruh proses yang terlibat dalam alur integrasi dari TCES hingga TICS</t>
  </si>
  <si>
    <t>Membuat Dokumen TSD - Menambahkan detail penulisan terkait mekanisme enkripsi digital signature</t>
  </si>
  <si>
    <t>Menambahkan penulisian rinci terkait mekanisme dari enkripsi digital signature, mulai dari penggunaan algoritma hingga cara kerja</t>
  </si>
  <si>
    <t xml:space="preserve">Membuat Dokumen TSD - Menambahkan detail penulisan terkait pemetaan data field integrasi </t>
  </si>
  <si>
    <t>Menambahkan penulisian rinci terkait pemetaan data field integrasi per tabel databasenya (mulai dari tces_acceptence hingga ke tces_deduction)</t>
  </si>
  <si>
    <t>Membantu dan memvalidasi QA terkait penulisan pada test case saat testing integrasi API</t>
  </si>
  <si>
    <t xml:space="preserve">Melakukan meeting terkait mapping TCES T - Property (Fire) </t>
  </si>
  <si>
    <t xml:space="preserve">Membuat Dokumen FSD - Menambahkan detail penulisan terkait modul Integrasi API </t>
  </si>
  <si>
    <t xml:space="preserve">Membuat Dokumen FSD - Membuat diagram dan penjelasan flow proses Integrasi API </t>
  </si>
  <si>
    <t>Membuat Dokumen TSD - Melengkapi API Contract (Base URL dan Header Standar, Referensi HTTP Response Code, Spesifikasi Endpoint Integrasi)</t>
  </si>
  <si>
    <t>Membuat Dokumen FSD - Update Diagram Flow Proses (Enkripsi Api dan Data Mapping)</t>
  </si>
  <si>
    <t>Membuat Dokumen FSD - Menambahkan Audit dan Pencatatan Log</t>
  </si>
  <si>
    <t>Membuat Dokumen TSD - Update Skema Pencatatan Tabel Database</t>
  </si>
  <si>
    <t>Membuat Dokumen TSD - Menambahkan Informasi Error Handling - Klasifikasi dan Kode Kesalahan</t>
  </si>
  <si>
    <t>Membuat Dokumen FSD - Menambahkan Informasi Sequence Diagram</t>
  </si>
  <si>
    <t>Membuat Dokumen Testing End to End Integrasi TCES TICS - T- Drive</t>
  </si>
  <si>
    <t>Membuat Dokumen FAQ Integrasi TCES TICS</t>
  </si>
  <si>
    <t>Membuat Dokumen FSD - Mengisi Penjelasan Point Flow Proses Keseluruhan</t>
  </si>
  <si>
    <t>Membuat Dokumen Testing End to End Integrasi TCES TICS - T-Travella</t>
  </si>
  <si>
    <t>Membuat Dokumen Testing End to End Integrasi TCES TICS - T-Property</t>
  </si>
  <si>
    <t>Meeting dan Sharing Knowledge Terkait CMS TCES</t>
  </si>
  <si>
    <t>Membantu dan memvalidasi QA untuk Testing End to End Integrasi TCES - TICS Motor Vehicle</t>
  </si>
  <si>
    <t>Membantu Pembuatan Update Untuk Test Case Testing TCES - TICS Motor Vehicle</t>
  </si>
  <si>
    <t>Membuat Dokumen Test Tracker dan Summary Untuk Integrasi TCES - TICS Motor Vehicle</t>
  </si>
  <si>
    <t>Membuat Dokumen FSD - Update Diagram Flow Proses Keseluruhan dan Lampiran</t>
  </si>
  <si>
    <t>Finalisasi Dokumen FSD</t>
  </si>
  <si>
    <t>Link File FSD : https://tugu.sharepoint.com/:w:/r/sites/TUGUFILESHARING/Documents/IT/External%20Share/2026%20Manage%20Service%20Elistec/API%20Integration/3.%20Document/FSD/FSD%20(Functional%20Specification%20Document)%20-%20Integrasi%20TCES%20TICS.docx?d=wfc9b8528413a4cd9865ba4e9d9afc924&amp;csf=1&amp;web=1&amp;e=yXXMQI</t>
  </si>
  <si>
    <t>Finalisasi Dokumen TSD</t>
  </si>
  <si>
    <t>Link File TSD :</t>
  </si>
  <si>
    <t>Melakukan pengecekan dan validasi dokumen FSD dan TSD</t>
  </si>
  <si>
    <t>Melakukan follow up terkait review dokumen FSD dan TSD</t>
  </si>
  <si>
    <t>Melakukan meeting terkait Espay settlement payment dengan developer TCES</t>
  </si>
  <si>
    <t>Membuat Template FSD - Payment Settlement TCES</t>
  </si>
  <si>
    <t>Membuat Template TSD - Payment Settlement TCES</t>
  </si>
  <si>
    <t>Update lampiran payload MV (t-ride dan t-drive), T-Property, T-Travella sebelum dan setelah terenkripsi pada dokumen FSD</t>
  </si>
  <si>
    <t>Membuat dokumen summary integrasi TCES TICS testing end to end MV (Motor Vehicle)</t>
  </si>
  <si>
    <t xml:space="preserve">Melengkapi Dokumen TSD  </t>
  </si>
  <si>
    <t>1. Penambahan Penjelasan dan Diagram (18 September 2026), 2. Penambahan Penjelasan Document Overview, Penambahan Diagram Arsitektur Low Level dan Penjelasannya (21 September 2026), 3. Penambahan Penjelasan Digital Signature dan Spesifikasi API  (22 September 2026), 4. Penambahan Penjelasan Spesifikasi Digital Signature API, Spesifikasi API (23 September 2026), 5. Update dan Penyesuain Penjelasan Arsitektur Diagram (24 September 2026), 6. Update Penyesuaian Dokumentasi API (25 September 2026), 7.Update Penulisan per Babnya, update penyesuaian penjelasan API (28 September 2026), 8. Update penjelasan Spesifikasi database (ERD, skema tabel, dan migrasi) (29 September 2026), 9. Update Penjelasan Error Handling dan Log (30 September 2026), 10 Update Lampiran dan Penulisan (1 Oktober 2026), 10. Update Lampiran dan Finalisasi Dokumen (2 Oktober 2026)</t>
  </si>
  <si>
    <t>1. Penambahan Penjelasan dan Diagram (18 September 2026), 2. Penambahan Penjelasan Document Overview (21 September 2026), 3. Penambahan Penjelasan Modul Aplikasi (22 September 2026), 4. Penambahan Penjelasan Flowchart (23 September 2026), 5. Update dan Penyesuaian Flow Diagram (24 September 2026), 6. Update Penyesuaian Penjelasan Flow (25 September 2026), 7. Update Penjelasan Sequence Diagram (28 September 2026), 8. Update penjelasan arsitektur diagram high level (29 September 2026), 9. Update Penjelasan Audit dan Pencatatn Log (30 September 2026), 10. Update Penulisan  dan Log (1 Oktober 2026), 11. Update Lampiran dan Finalisasi Dokumen (2 Oktober 2026)</t>
  </si>
  <si>
    <t>Melakukan beautify dokumen BRD - API Settlement Payment</t>
  </si>
  <si>
    <t>Membuat dokumentasi spesifikasi API</t>
  </si>
  <si>
    <t>Melakukan Update Penyesuaian Bahasa Dalam Dokumen FSD dan TSD</t>
  </si>
  <si>
    <t>Membantu Enforce Data API Settlement</t>
  </si>
  <si>
    <t>Melakukan follow up terkait review dokumen FSD</t>
  </si>
  <si>
    <t>Mengirimkan dokumen MoM terkait pembahasan bengkel net TICS untuk pihak internal IT Tugu</t>
  </si>
  <si>
    <t>Membuat dokumen summary terkait hasil pengujian settlement yang data nya sudah valid</t>
  </si>
  <si>
    <t>Update dan sinkronisasi dokumen TSD dengan codebase yang berjalan, termasuk penyesuaian update terkait scheduler</t>
  </si>
  <si>
    <t>Melakukan merge dokumen FSD dan TSD terkait service Integrasi TCES TICS pada modul Transaksi Polis dan Settlement Payment</t>
  </si>
  <si>
    <t>Transfer Knowledge terkait alur dan pengoperasian TCES  ke QA</t>
  </si>
  <si>
    <t>Transfer Knowledge terkait alur Integrasi TCES - TICS  ke QA</t>
  </si>
  <si>
    <t>Transfer Knowledge terkait pengujian dan validasi pada TICS  ke QA</t>
  </si>
  <si>
    <t>TICS</t>
  </si>
  <si>
    <t>Update penyesuaian diagram pada dokumen FSD dan TSD agar lebih sesuai dengan sistem yang berlaku</t>
  </si>
  <si>
    <t>Transfer Knowledge terkait settlement dan enforcement testing TCES TICS ke QA</t>
  </si>
  <si>
    <t>Finalisasi Dokumen TSD dan FSD yang teleh dimerge per service Integrasi TCES TICS</t>
  </si>
  <si>
    <t xml:space="preserve">Penambahan terkait alur pada dokumen oleh developer mengenai Two-Stage Batch Lookup &amp; Toleransi Transaksi Belum Terbit (Unmatched Payment ID) </t>
  </si>
  <si>
    <t>Transfer Knowledge Mengenai Alur dan Modul pada Staging Cloud</t>
  </si>
  <si>
    <t xml:space="preserve">Transfer Knowledge Mengenai Alur terkait Tugu Ticketing System </t>
  </si>
  <si>
    <t>Melakukan Analisa Terkait Alur TTS -ARMS dan Membuat Template Dokumen User Manual TTS - ARMS</t>
  </si>
  <si>
    <t>Membuat Dokumen Spesifikasi API - Check Policy untuk panduan developer</t>
  </si>
  <si>
    <t>Menganalisa dan menambahkan list temuan terkait permasalahan/kebutuhan pada TTS -ARMS</t>
  </si>
  <si>
    <t>Membuat Template User Manual TTS - ARMS</t>
  </si>
  <si>
    <t>Melakukan Meeting Progress dan Penjelasan Mengenai Project TTS - ARMS bersama stakeholder</t>
  </si>
  <si>
    <t>Mempelajari Technical Specification Staging Cloud</t>
  </si>
  <si>
    <t>Iqbal.ali@elistec.com</t>
  </si>
  <si>
    <t>Setting Environment &amp; Mencoba API yang sudah ada</t>
  </si>
  <si>
    <t>Refactor Kafka Topic dan Route agar sesuai dengan dokumentasi</t>
  </si>
  <si>
    <t>Membuat System, Integration, dan Unit Test untuk Modul Material</t>
  </si>
  <si>
    <t>Refactor Cost Center module dan menyesuaikan database sesuai dengan Dokumentasi Teknis</t>
  </si>
  <si>
    <t>Refactor response Material modul agar sesuai dengan database yang terbaru</t>
  </si>
  <si>
    <t>Refactor Entity, Repository (zmmdt0001, zmmdt0002, zfidt0001, zsddt0001) dan menghapus consumer kafka yang lama agar selaras dengan dokumentasi teknis</t>
  </si>
  <si>
    <t>Membuat API Transaction (POLIS, CLAIM, TREATY), Menyesuaikan delay retry menjadi 15000ms, 30000ms, dan 300000ms sebelum masuk ke DLQ, dan menambahkan kafka topic agar dapat menyesuaikan dengan request Transaction yang diterima</t>
  </si>
  <si>
    <t>Belum mendapatkan contoh Payload yang sesuai agar bisa success untuk mengirim data ke SAP</t>
  </si>
  <si>
    <t>Menunggu diberi oleh mas Firdaus</t>
  </si>
  <si>
    <t>Membuat API SAP Callback Transaction Insurance</t>
  </si>
  <si>
    <t xml:space="preserve">Membuat SAP API Callback Business Partner </t>
  </si>
  <si>
    <t>Menyesuaikan flow master data material(memastikan data divalidasi terlebih dahulu oleh TICS sebelum Callback ke SAP)</t>
  </si>
  <si>
    <t>Fix Alur Master Data Cost Center &amp; Business Partner(Outbound) agar melewati sistem TICS terlebih dahulu untuk divalidasi sebelum callback ke SAP</t>
  </si>
  <si>
    <t>Meeting Pembahasan Deployment staging cloud dan juga persiapan testing end to end</t>
  </si>
  <si>
    <t>Membuat dokumetasi API menggunakan Swagger</t>
  </si>
  <si>
    <t>Membuat API Payment Insurance dan non-Insurance</t>
  </si>
  <si>
    <t>Refactor dokumentasi code Swagger agar lebih mudah dibaca</t>
  </si>
  <si>
    <t>Membuat fitur stress test untuk mengetahui max RPS</t>
  </si>
  <si>
    <t>Meeting membahas agenda deployment staging ke cloud dan membahasn penambahan tools pgbouncer dan optimasi circuit breaker</t>
  </si>
  <si>
    <t>Optimasi Kafka menggunakan mini batch processing</t>
  </si>
  <si>
    <t xml:space="preserve">Optimasi query pengecekan duplicate data sebelum masuk ke dalam database yang sebelumnya manual diganti menggunakan Unique Constraint </t>
  </si>
  <si>
    <t xml:space="preserve">Menambahkan fitur masking untuk melindungi data sensitive di logs </t>
  </si>
  <si>
    <t>Menambahkan pgbouncer sebagi database pooling untuk mengurangi latency ketika traffic naik</t>
  </si>
  <si>
    <t>Standarisasi Canonical DLQ Envelope</t>
  </si>
  <si>
    <t>Merancang Penerapan Circuit Breaker</t>
  </si>
  <si>
    <t>Membuat fitur untuk menghentikan Kafka melakukan consume data ketika circuit breaker pada state ON</t>
  </si>
  <si>
    <t>Mempelajari dokumen Digital Signature TCES-TICS untuk diterapkan di staging</t>
  </si>
  <si>
    <t>Meeting Membahas Penambahan tabel di TICS untuk menampung informasi payroll, polis, dan detail SAP</t>
  </si>
  <si>
    <t>Membuat konfigurasi Nginx dan Docker untuk menjalankan project Staging di GCP</t>
  </si>
  <si>
    <t>Debug konfigurasi docker dan nginx project staging</t>
  </si>
  <si>
    <t>Sub-domain belum terdaftar sehingga project belum bisa diakses dari luar</t>
  </si>
  <si>
    <t>Transfer Knowledge TCES</t>
  </si>
  <si>
    <t>Setup core crypto foundation, security config, dan PEM Key</t>
  </si>
  <si>
    <t>Migrasi project staging cloud dari VM tugu-development ke tugu-api-integration(setup github, docker, database)</t>
  </si>
  <si>
    <t>Konfigurasi docker network dan firewall rules di VM tugu-api-integration</t>
  </si>
  <si>
    <t>Konfigurasi nginx, network redis, kafka, pgbouncer dan database</t>
  </si>
  <si>
    <r>
      <rPr>
        <sz val="10"/>
        <color rgb="FF000000"/>
        <rFont val="Calibri"/>
      </rPr>
      <t xml:space="preserve">Menyelesaikan implementasi Inbound Security Guard Middleware untuk memproteksi endpoint inbound TICS melalui validasi Digital Signature RSA-SHA256, proteksi anti-reply timestamp, dan otomasi deskripsi data sensitif </t>
    </r>
    <r>
      <rPr>
        <i/>
        <sz val="10"/>
        <color rgb="FF000000"/>
        <rFont val="Calibri"/>
      </rPr>
      <t>insured</t>
    </r>
  </si>
  <si>
    <t>Iqbal/feat/add inbound security guard middleware by Iqbal-ali_TuguRepo · Pull Request #27 · tugu-core-system/ts-staging</t>
  </si>
  <si>
    <t>Debug konfigurasi Dockerfile di VM tugu-api-integration</t>
  </si>
  <si>
    <t>BUG</t>
  </si>
  <si>
    <t>Testing endpoint(bp,material,cost-center) dan koneksi database di VM tugu-api-integration</t>
  </si>
  <si>
    <t>Add auto signing and encryption pada Enpoint Outbound</t>
  </si>
  <si>
    <t>Memperbaiki konfigurasi port container pada docker-compose agar tidak terekspose keluar</t>
  </si>
  <si>
    <t>Port docker yang ada di file docker-compose mengizinkan resource untuk dipakai di luar vm</t>
  </si>
  <si>
    <t>Mengganti port di konfigurasi docker-compose.yml agar hanya local vm nya saja yang bisa menggunakan resource, mengubah dari 0.0.0.0 menjadi 127.0.0.1</t>
  </si>
  <si>
    <t>Testing endpoint(transaction,service) dan koneksi database menggunakan konfigurasi docker yang baru</t>
  </si>
  <si>
    <t xml:space="preserve">Membuat script testing digital signature dan penyesuaian konfigurasi k6 </t>
  </si>
  <si>
    <t>Stress test endpoint(bp,material) di vm tugu-integration</t>
  </si>
  <si>
    <t>Stress test endpoint(transaction,cost-center) di vm tugu-integration</t>
  </si>
  <si>
    <t>Mempelajari Store Procedure procTICS_ValidateDataTICS_DEV</t>
  </si>
  <si>
    <t>Transfer Knowledge Staging cloud (BP Inbound)</t>
  </si>
  <si>
    <t>Transfer Knowledge Staging cloud (BP Outbound)</t>
  </si>
  <si>
    <t>Membuat Implementasi Validation Rules Payload yang masuk ke staging</t>
  </si>
  <si>
    <t>Membuat migrasi tabel channel_keys yang akan digunakan untuk menyimpan key dan credential dari channel yang berhubungan dengan staging</t>
  </si>
  <si>
    <t>Verifikasi flowchart BP inbound dan Outbound yang dibuat oleh BA</t>
  </si>
  <si>
    <t>Transfer knowledge Staging cloud tentang mekanisme topic kafka, redis cache, dan circuit breaker ke BA</t>
  </si>
  <si>
    <t>Technical spesification tidak 100% sesuai dengan sistem yang sedang di develop yang menyebabkan terhambatnya transfer knowledge</t>
  </si>
  <si>
    <t>Membuat dokumentasi diagram dan penjelasan baru yang sudah sesuai agar lebih mudah dijelaskan kepada BA,QA,dan TW</t>
  </si>
  <si>
    <t>Riset implementasi Otel di staging cloud</t>
  </si>
  <si>
    <t>Memperbaiki penanganan error redis lock acquisition dengan memberikan status 409 conflict</t>
  </si>
  <si>
    <t>Redis lock tidak memperlihatkan kinerja yang signifikan</t>
  </si>
  <si>
    <t>Menghilangkan skema redis lock karena sudah ada db constraint yang menghandle duplicate request</t>
  </si>
  <si>
    <t>Mengahpus decryptor karena data yang diterima tidak jadi di enkripsi</t>
  </si>
  <si>
    <t>Memperbaiki script K6 testing agar bisa melakukan testing endpoint diluar vm</t>
  </si>
  <si>
    <t>Posisi saat ini kalau testing harus menggunakan script yang ada di vm sehingga resourcenya tidak murni menangani traffic yang datang</t>
  </si>
  <si>
    <t>Memperbarui script testing agar stress test dapat dilakukan di laptop local dan vm hanya menerima traffic saja tanpa harus menangani compute untuk mengirim request</t>
  </si>
  <si>
    <t>Implementasi Open Telemetry dan integrasi dengan Jaeger UI di Master Data BP Outbound</t>
  </si>
  <si>
    <t>Masih belum bisa testing secara end to end untuk melihat jalannya data dikarenakan sistem TICS masih belum ready untuk implementasi Digital Signature</t>
  </si>
  <si>
    <t>Nonaktifkan validasi untuk digital signature terlebih dahulu agar tetap bisa melakukan testing open telemetry nya</t>
  </si>
  <si>
    <t>Impelmentasi dan penyesuaian penerapan kafka UI sesuai dengan arsitektur SC yang telah diperbarui</t>
  </si>
  <si>
    <t>Riset Redis Insight yang akan digunakan untuk memonitoring state Circuit breaker</t>
  </si>
  <si>
    <t>Analisis mekanisme retry existing dan identifikasi risiko consumer rebalance serta circuit breaker yang lambat terbuka</t>
  </si>
  <si>
    <t>Implementasi retry level pesan Kafka dengan backoff 15s/60s/300s sesuai NFR spesifikasi</t>
  </si>
  <si>
    <t>Memperbaiki bug resume consumer untuk topic dengan target circuit breaker yang sama</t>
  </si>
  <si>
    <t>Implementasi pause per partisi Kafka agar urutan pesan tetap terjaga saat proses retry</t>
  </si>
  <si>
    <t>Implementasi pencatatan status RETRYING dan retry_count pada tabel transactions</t>
  </si>
  <si>
    <t>Implementasi routing DLQ dengan envelope kanonik untuk transaksi yang gagal setelah retry habis</t>
  </si>
  <si>
    <t>Pemindahan penanganan pause circuit breaker dari masing-masing service ke Kafka consumer</t>
  </si>
  <si>
    <t xml:space="preserve">Refaktor alur outbound Cost Center, Material, Service, Payment, dan BP menjadi satu helper </t>
  </si>
  <si>
    <t>Implementasi resume idempoten agar data outbound tidak terkirim dua kali ke TICS saat retry</t>
  </si>
  <si>
    <t>Penyesuaian konfigurasi HTTP retry dan penambahan environment variable retry Kafka</t>
  </si>
  <si>
    <t>Membuat unit test untuk mekanisme retry, DLQ, dan alur outbound ke TICS</t>
  </si>
  <si>
    <t>Memperbaiki error tipe TypeScript pada unit test service dan callback</t>
  </si>
  <si>
    <t>DOTS</t>
  </si>
  <si>
    <t>Transfer Knowledge &amp; Ekspor Data Login User Pada DOTS</t>
  </si>
  <si>
    <t>DOTS Request</t>
  </si>
  <si>
    <t>OTHER</t>
  </si>
  <si>
    <t>glenn.hakim@elistec.com</t>
  </si>
  <si>
    <t>Ekspor data user beserta last login pada DOTS serta Transfer knowledge DOTS.</t>
  </si>
  <si>
    <t>Sharing knowledge</t>
  </si>
  <si>
    <t>Memperoleh informasi lengkap mengenai flow request DOTS beserta role accessnya</t>
  </si>
  <si>
    <t>Menambahkan validasi DOTS - Implementasi Validasi Format Input Nomor Memo Internal Sesuai Standar Tugu pada Transaksi DOTS.</t>
  </si>
  <si>
    <t>Pengguna dapat menginput nomor memo secara acak tanpa mengikuti standar baku Tugu karena belum ada validasi format pada form pengajuan.</t>
  </si>
  <si>
    <t>Enhancement DOTS - Implementasi Modal Pop-up Verifikasi Informasi Pembayaran pada Form Pembuatan Transaksi DOTS.</t>
  </si>
  <si>
    <t>Pengguna berpotensi salah memilih metode atau menginput nomor rekening yang berbeda dengan dokumen pendukung (Invoice/SharePoint).</t>
  </si>
  <si>
    <t>Menambahkan modal konfirmasi interaktif (client-side pop-up) pada tombol Next Step di tahap Payment Information sebagai pengingat sebelum melangkah ke tahap berikutnya.</t>
  </si>
  <si>
    <t>Enhancement DOTS -  Penyesuaian Modal Submission &amp; Approval Persetujuan Kebenaran Rekening Bank pada Transaksi DOTS.</t>
  </si>
  <si>
    <t>Belum ada penegasan tanggung jawab atas kebenaran nomor rekening pada modal submit pengaju awal maupun pada modal persetujuan atasan.</t>
  </si>
  <si>
    <t>Menyesuaikan modal submit awal khusus pernyataan pertanggungjawaban rekening, dan menyajikan Box Rekening Penerima + T&amp;C utuh pada modal persetujuan atasan (DH/GH).</t>
  </si>
  <si>
    <t>Menambahkan validasi DOTS - Integrasi API SharePoint untuk Validasi Status Approval Nomor Memo pada Transaksi DOTS.</t>
  </si>
  <si>
    <t>Nomor memo yang belum disetujui atau tidak valid di SharePoint lolos diajukan, sehingga menghambat verifikasi tim Cash &amp; Bank.</t>
  </si>
  <si>
    <t>Mengintegrasikan endpoint API SharePoint langsung untuk memverifikasi keabsahan memo dengan memfilter state valid: ["Pendafaran Training", "Procurement Notified", "Memo Approved"].</t>
  </si>
  <si>
    <t>Enhancement DOTS: Memunculkan modal konfirmasi rekening pada step payment informasi di create awal DOTS</t>
  </si>
  <si>
    <t>User terkadang salah menginput nomor rekening bahkan saat awal input</t>
  </si>
  <si>
    <t>untuk menghindari hal tersebut maka ditambahkan modal konfirmasi untuk memastikan nomor rekeningnya benar</t>
  </si>
  <si>
    <t>Melakukan cherry-pick perubahan validasi nomor rekening ke branch main</t>
  </si>
  <si>
    <t>User meminta untuk menaikkan perubahan validasi nomor rekening ke main terlebih dahulu</t>
  </si>
  <si>
    <t>Melakukan cherry-pick untuk perubahan validasi nomor rekening</t>
  </si>
  <si>
    <t>Analisis dan Dokumentasi Kode Enum, Status Transaksi, serta Role Sistem DOTS &amp; TKYC.</t>
  </si>
  <si>
    <t>Melakukan code tracing pada backend &amp; frontend, lalu menyusun panduan terpusat.</t>
  </si>
  <si>
    <t>TICS-POLICY-CORPORATE</t>
  </si>
  <si>
    <t>Pemahaman dan Analisis Repository TICS Policy Corporate Khususnya pada Modul Master Data.</t>
  </si>
  <si>
    <t>TICS - Corporate</t>
  </si>
  <si>
    <t>Master Data</t>
  </si>
  <si>
    <t>Melakukan code tracing dan studi mendalam pada modul master data (`TicsCoreEngine`) di backend dan frontend `tics-policy-corporate`.</t>
  </si>
  <si>
    <t>TICS_V2 - RnD</t>
  </si>
  <si>
    <t>Setup TICS_V2 di local development untuk persiapan pengembangan modul master data</t>
  </si>
  <si>
    <t>Develop User Management service pada TICS_V2 agar schema db, fitur, logic, dan flownya sama dengan TICS saat ini</t>
  </si>
  <si>
    <t>Saat ini modul user management pada TICS_V2 belum sepenuhnya sesuai dengan TICS eksisting mulai dari field tabel yang diterima smpai dengan fitur-fitur kecil didalamnya (create, update)</t>
  </si>
  <si>
    <t>Melanjutkan pengembangan modul user management service pada TICS_V2 dengan menyelaraskan tabel yang berhbungan dengan user management pada TICS eksisting, dan penyesuaian implementasi fitur-fitur CRUD nya dengan skema yang baru</t>
  </si>
  <si>
    <t>Penyesuaian role dan permission management pada TICS V2 agar sesuai dengan TICS eksisting</t>
  </si>
  <si>
    <t>Pada TICS V2, operasi service masih dibatasi berdasarkan role, bukan permission, jadi akan ada celah kesalahan jika ada role baru dengan permission yang berbeda</t>
  </si>
  <si>
    <t xml:space="preserve">Menyesuaikan pembatasan akses operasi service berdasarkan permission user, bukan role user </t>
  </si>
  <si>
    <t>Penyesuaian tabel skema user pada TICS V2 agar sesuai dengan tics yang sudah ada saat ini</t>
  </si>
  <si>
    <t>Field pada tabel app_users, app_roles, dan app_permissions pada TICS V2 belum sesuai dengan TICS saat ini</t>
  </si>
  <si>
    <t xml:space="preserve">Menambahkan field yang belum ada pada app_users, app_roles, dan app_permissions pada TICS V2 sesuai dengan TICS saat ini </t>
  </si>
  <si>
    <t xml:space="preserve">Meeting bersama tim dari Tugu Insurance, mengenai progres kerja yang sudah dikerjakan selama 3 minggu sebelumnya </t>
  </si>
  <si>
    <t>Progres mengenai apa yang sudah dikembangkan untuk DOTS dan TICS V2 belum dilaporkan secara menyeluruh tim Tugu Insurance, sehingga belum ada diskusi kebutuhan lebih lanjut dan juga tracking bukti pengerjaan menyeluruh</t>
  </si>
  <si>
    <t>Melakukan meeting dengan tim dari Tugu Insurance untuk memastikan semua pekerjaan dapat diketahui secara detail, mulai dari apa yang telah dikerjakan sampai dengan apa saja kendalanya</t>
  </si>
  <si>
    <t>Penyelarasan Navigasi CRUD dan Breadcrumb pada Modul User &amp; Role Management TICS v2.</t>
  </si>
  <si>
    <t>Aksi Create/Edit pada Usman dan Role Management TICS v2 sebelumnya masih membuka modal dialog serta belum memiliki sistem breadcrumb dan tombol kembali yang sesuai dengan standar TICS eksisting.</t>
  </si>
  <si>
    <t>Mengubah flow CRUD menjadi halaman mandiri (dedicated view), menambahkan tombol kembali yang intuitif, serta menerapkan reusable breadcrumb menggunakan komponen eksisting.</t>
  </si>
  <si>
    <t>Penyelarasan Hak Akses Granular (RBAC Permission) Service Master Data TICS v2.</t>
  </si>
  <si>
    <t>Endpoint service master data di TICS v2 masih menggunakan role guard generik (ADMIN) sehingga belum selaras dengan permission granular pada controller Laravel TICS eksisting.</t>
  </si>
  <si>
    <t>Menerapkan PermissionsGuard dan memetakan hak akses spesifik (seperti setup_product-*, master_client-*, master_bp-*, dll.) secara persis sesuai controller TICS eksisting.</t>
  </si>
  <si>
    <t>Migrasi, Penyelarasan Parity, dan Refaktor Arsitektur 7 Modul Master Data TICS v2</t>
  </si>
  <si>
    <t>Terdapat inkonsistensi permission RBAC pada Account Holder, inline CSS tag &lt;style&gt; yang belum tersentralisasi, subkomponen yang belum modular, serta perlunya kepastian kesesuaian alur Temporary Partner &amp; Uploader BP dengan TICS eksisting.</t>
  </si>
  <si>
    <t>Menata ulang subkomponen ke folder components/, memindahkan seluruh styling ke style.css, memperbaiki permission check, menyelaraskan 100% business logic 7 modul master data sesuai sistem eksisting, dan mem-push commit yang telah lulus 100% unit test ke branch glenn/dev/master-data-and-user-management.</t>
  </si>
  <si>
    <t>Penyelarasan Modul Underwriter Authority dan Master Ref Table serta Standarisasi Tombol Aksi Reusable di TICS v2.</t>
  </si>
  <si>
    <t>Fitur UW Authority dan Ref Table pada TICS v2 belum selaras dengan sistem eksisting terkait filter dinamis, CRUD, penamaan slot tabel yang menyebabkan tombol aksi hilang, serta duplikasi kode tombol baris.</t>
  </si>
  <si>
    <t>Mengimplementasikan controller dan form terdekomposisi untuk UW Authority dan Ref Table, memperbaiki fallback slot DataTable, serta membuat komponen reusable 
ActionButton.vue permission gating otomatis.</t>
  </si>
  <si>
    <t>Implementasi Engine Penyimpanan File Fisik Lokal, Penyesuaian Batas Payload, dan Proxy Preview Berkas di TICS v2.</t>
  </si>
  <si>
    <t>Service backend belum memiliki mekanisme penyimpanan fisik untuk berkas tanda tangan, paraf, dan lampiran uploader sehingga memicu error HTTP 413 Request Entity Too Large dan ketiadaan fitur preview dokumen.</t>
  </si>
  <si>
    <t>Membangun engine utilitas local storage untuk penyimpanan file terstruktur di root /storage/, menaikkan batas body parser ke 10MB di seluruh service, serta mengonfigurasi ServeStaticModule dan proxy Vite untuk file preview langsung.</t>
  </si>
  <si>
    <t>Refactor dan Optimasi Create Transaction DOTS dengan Asynchronous SharePoint Queue.</t>
  </si>
  <si>
    <t>Submit transaksi menghasilkan HTTP 500 setelah database commit karena job kosong, schema queue belum lengkap, metadata tanggal tidak valid, serta retry berhenti sebelum provisioning SharePoint selesai.</t>
  </si>
  <si>
    <t>Implementasikan encrypted queue job yang idempotent, migration dan status provisioning, app-only token, locking nomor DOTS, retry terstruktur, logging aman, serta monitoring real-time worker dan SharePoint.</t>
  </si>
  <si>
    <t>Penanganan cold start delay pada endpoint /api/dots-approval di TKYC.</t>
  </si>
  <si>
    <t>Halaman detail transaksi menggantung hingga 24 detik karena TKYC menembak URL remote yang tidak terjangkau akibat cache konfigurasi lama.</t>
  </si>
  <si>
    <t>Menyetel DOTS_API_URL ke service lokal port 8001, menurunkan HTTP timeout menjadi 3 detik, dan memperbarui cache konfigurasi TKYC.</t>
  </si>
  <si>
    <t>Dual-Mode SharePoint Provisioning &amp; Code Quality Hardening (api-dots)</t>
  </si>
  <si>
    <t>Submit transaksi DOTS lambat (15–20 detik) akibat pemanggilan HTTP perizinan berulang ke Microsoft Graph tanpa mekanisme caching token OAuth.</t>
  </si>
  <si>
    <t>Menerapkan arsitektur dual-mode yang fleksibel (Worker 11 ms vs Batch Sinkron via .env), token caching 50 menit, serta standarisasi kepatuhan kualitas kode.</t>
  </si>
  <si>
    <t>Refactor lanjutan terkait pengurangan god object dan setup aturan job worker pada api-dots</t>
  </si>
  <si>
    <t>Banyak sekali god object (satu file sangat panjang yang berisi logic dan komponen terpusat) pada project api-dots sehingga menyulitkan fase maintenance dan tracing code. Serta pada api-dots production berlum diimplementasikan background job worker untuk dapat menampung logic optimasi request create dots transaction</t>
  </si>
  <si>
    <t>Mengurangi god object dengan memisahkan komponen-komponen dan logic reusable menjadi file yang lebih kecil, serta membuat file cara setup background job yang diperlukan pada api-dots production</t>
  </si>
  <si>
    <t>Meeting bersama user DOTS dan develop penyesuain dots terutama yang berhubungan cash and bank</t>
  </si>
  <si>
    <t>Perlunya validasi dan feedback dari user DOTS terutama team cash and bank mengenai penyesuaian modul manajemen request dan transaction yang perlu dilakukan</t>
  </si>
  <si>
    <t>Melakukan meeting bersama tim cash and bank membahas validasi dan feedback yang diperlukan terkait fitur yang diperlukan</t>
  </si>
  <si>
    <t>Implementasi Focus-Based Collaborative Row Lock dan Release Cooldown pada Modul Cash &amp; Bank serta meeting progress bersama tim ERP TUGU</t>
  </si>
  <si>
    <t>Penguncian baris sebelumnya hanya aktif saat user mengetik dan hanya di input itu saja (bukan 1 rows) sehingga rawan terjadi tabrakan input ketika kursor sudah berada di dalam sel, serta ketiadaan jeda transisi saat user berpindah baris.</t>
  </si>
  <si>
    <t>Mengaktifkan penguncian seluruh baris seketika saat kursor masuk input (onFocus), mempercepat sinkronisasi heartbeat ke 2,5 detik, serta menerapkan jeda cooldown 300ms dengan indikator gembok berdenyut saat baris ditinggalkan.</t>
  </si>
  <si>
    <t>https://tugu.sharepoint.com/:i:/r/sites/TUGUFILESHARING/Documents/IT/External%20Share/2026%20Manage%20Service%20Elistec/DOTS/September%202026/07%20Sep%202026.png?d=w4935327669104314ae086051f9d0005e&amp;csf=1&amp;web=1&amp;e=dA6xAJ</t>
  </si>
  <si>
    <t>Implementasi Range Selection &amp; Multi-Row Copy ke SAP serta Refaktorisasi Cell Applicability pada Cash &amp; Bank Grid</t>
  </si>
  <si>
    <t>Tim Cash &amp; Bank masih bergantung pada spreadsheet manual karena tabel DOTS belum mendukung blok multi-baris untuk disalin massal ke SAP, serta logika penonaktifan sel sebelumnya masih rapuh dan tercampur di komponen UI.</t>
  </si>
  <si>
    <t>Dibuat custom hook useGridRangeSelection untuk fitur drag-to-select dan batch copy format SAP (Ctrl+C), tombol salin 1-klik pada header kolom rujukan, serta pemisahan logika fase transaksi ke pure function isColumnApplicable yang selaras dengan aturan backend.</t>
  </si>
  <si>
    <t>https://tugu.sharepoint.com/:i:/r/sites/TUGUFILESHARING/Documents/IT/External%20Share/2026%20Manage%20Service%20Elistec/DOTS/September%202026/08%20Sep%202026.png?d=we8d4a8d52e744bd09ed783ecde1c7df5&amp;csf=1&amp;web=1&amp;e=hBKA31</t>
  </si>
  <si>
    <t>TICS - Policy Retail</t>
  </si>
  <si>
    <t>Analisis Arsitektur Integrasi End-to-End Transaksi Polis ke SAP dan Monitoring Isu Integrasi TICS Policy Retail.</t>
  </si>
  <si>
    <t>Retail</t>
  </si>
  <si>
    <t>Perlu pemetaan menyeluruh alur data transaksi hulu-ke-hilir (TCES/Massproduct -&gt; API Integration -&gt; TICS -&gt; Staging -&gt; SAP) guna mengidentifikasi titik kegagalan enforce polis dan billing yang dialami tim QA/BA.</t>
  </si>
  <si>
    <t>Menyusun dokumentasi arsitektur integrasi lintas repositori secara komprehensif, mengidentifikasi mekanisme trigger enforce serta alur callback SAP, sembari menunggu feedback detail temuan error dari tim QA dan BA untuk ditindaklanjuti.</t>
  </si>
  <si>
    <t>https://tugu.sharepoint.com/:i:/r/sites/TUGUFILESHARING/Documents/IT/External%20Share/2026%20Manage%20Service%20Elistec/Mass%20Product/Development/September%202026/09%20Sep%202026.png?d=we8894df683fc46ae981a32258d4c47f1&amp;csf=1&amp;web=1&amp;e=43Xqsq</t>
  </si>
  <si>
    <t>Action-Driven Batch Row Lock on Cell Selection</t>
  </si>
  <si>
    <t>Seleksi blok sel untuk disalin ke SAP belum memiliki proteksi kunci sehingga rawan terjadi tabrakan edit oleh user lain.</t>
  </si>
  <si>
    <t>Mengimplementasikan penguncian baris serentak saat menyalin sel terpilih dengan masa sewa 24 jam dan highlight penuh antar pengguna.</t>
  </si>
  <si>
    <t>https://tugu.sharepoint.com/:i:/r/sites/TUGUFILESHARING/Documents/IT/External%20Share/2026%20Manage%20Service%20Elistec/DOTS/September%202026/10%20Sep%202026.png?d=wa55986a2761c484981a30ac86769783a&amp;csf=1&amp;web=1&amp;e=HgjSWh</t>
  </si>
  <si>
    <t>Pendalaman Alur Bisnis Integrasi TICS–SAP dan Penyiapan Database Lokal.</t>
  </si>
  <si>
    <t>Perlu pemahaman alur integrasi polis ke SAP (Treaty &amp; penagihan) serta kesiapan database lokal untuk kebutuhan development.</t>
  </si>
  <si>
    <t>Berhasil memetakan alur integrasi SAP (ZSDDT0001 vs ZSDDT0002) dan menuntaskan penyiapan seluruh function/procedure di database lokal.</t>
  </si>
  <si>
    <t>https://tugu.sharepoint.com/:i:/r/sites/TUGUFILESHARING/Documents/IT/External%20Share/2026%20Manage%20Service%20Elistec/Mass%20Product/Development/September%202026/11%20Sep%202026.png?d=wfc672ae4687a47b4885bcc1b3dd3e1b8&amp;csf=1&amp;web=1&amp;e=OPPrtw</t>
  </si>
  <si>
    <t>Audit Prosedur Enforce Polis Database dan Analisis Arsitektur Refactoring.</t>
  </si>
  <si>
    <t>Diperlukan pembedahan mendalam terhadap logika stored procedure enforce (80.000+ karakter) serta evaluasi risiko performa/timeout jika dipindahkan ke level kode atau microservice.</t>
  </si>
  <si>
    <t>Berhasil memetakan 5 tahapan validasi SP enforce via PostgreSQL MCP, menganalisis mitigasi risiko timeout, serta merumuskan rekomendasi arsitektur Modular Domain Service (Pipeline Pattern).</t>
  </si>
  <si>
    <t>https://tugu.sharepoint.com/:i:/r/sites/TUGUFILESHARING/Documents/IT/External%20Share/2026%20Manage%20Service%20Elistec/Mass%20Product/Development/September%202026/14%20Sep%202026.png?d=w1fa26648235a4e57beb842aea77878f1&amp;csf=1&amp;web=1&amp;e=jTU53L</t>
  </si>
  <si>
    <t>UI Improvement pada halaman home tics retail mass product</t>
  </si>
  <si>
    <t xml:space="preserve">Dari sisi tampilan tics retail perlu dibedakan dengan tics lainnya, agar user mengetahui sedang berada di tics retail non-mv, kemudian juga dibutuhkan improvement untuk ui nya agar mempunyai tampilan yang lebih modern dan enak dilihat </t>
  </si>
  <si>
    <t>Melakukan improvement pada tampilan tics retail, terutama halaman home sebagai halaman pertama kali user visit, menamabahkan label tics retail non-mv pada halaman tsb agar user mengetahui sedang akses webnya tics retail non-mv (bukan tics yang lain)</t>
  </si>
  <si>
    <t>https://tugu.sharepoint.com/:i:/r/sites/TUGUFILESHARING/Documents/IT/External%20Share/2026%20Manage%20Service%20Elistec/Mass%20Product/Development/September%202026/15%20Sep%202026.png?d=w08561cd235ad4b00b254e9fc7d83380e&amp;csf=1&amp;web=1&amp;e=WOcEKN</t>
  </si>
  <si>
    <t>Implementasi Fitur Rollback Status Pembayaran Cash &amp; Bank (*060 ke *050)</t>
  </si>
  <si>
    <t>Tidak adanya mekanisme untuk membatalkan atau merevisi nomor payment proposal/clearing saat terjadi salah input atau gagal bayar, sehingga data transaksi terkunci permanen di status Paid (*060) dan fase realisasi uang muka terbuka secara prematur.</t>
  </si>
  <si>
    <t>Menambahkan tombol dan alur rollback dari status *060 kembali ke *050 pada api-dots dan dots-frontend yang secara otomatis mereset nomor pembayaran, mengembalikan status fase uang muka, dan mencatat riwayat perubahannya ke log audit.</t>
  </si>
  <si>
    <t>https://tugu.sharepoint.com/:i:/r/sites/TUGUFILESHARING/Documents/IT/External%20Share/2026%20Manage%20Service%20Elistec/DOTS/September%202026/16%20Sep%202026.png?d=wbbb703293a5f453bbe52eca3de949a24&amp;csf=1&amp;web=1&amp;e=D5LXGK</t>
  </si>
  <si>
    <t>Modernisasi dan Optimalisasi Responsivitas Tampilan Dashboard TICS Retail Non-MV</t>
  </si>
  <si>
    <t>Antarmuka internal memiliki inkonsistensi efek hover pada sidebar tertutup, tabel DataTables terpotong saat layar di-zoom, serta sudut kartu dan banner yang masih kaku.</t>
  </si>
  <si>
    <t>Memperbaiki hover sidebar, mengaktifkan scroll horizontal tabel, memodernisasi radius kartu, dan menyematkan badge sistem di header.</t>
  </si>
  <si>
    <t>https://tugu.sharepoint.com/:i:/r/sites/TUGUFILESHARING/Documents/IT/External%20Share/2026%20Manage%20Service%20Elistec/Mass%20Product/Development/September%202026/17%20Sep%202026.png?d=w3db9f232190a44b28440ecde4180f56c&amp;csf=1&amp;web=1&amp;e=3XViOF</t>
  </si>
  <si>
    <t>Query alignment untuk hanya mendapatkan data acceptance non-mv dan retail</t>
  </si>
  <si>
    <t>Saat ini tics policy retail masih get data campuran (corp dan retail), padahal platform itu khusus untuk operational data acceptance non-mv dan retail</t>
  </si>
  <si>
    <t>Menambahkan scope query global penyesuaian query get untuk data yang dioperasikan pada tics policy retail, untuk hanya mendapatkan data khusus acceptance non-mv dan retail</t>
  </si>
  <si>
    <t>https://tugu.sharepoint.com/:i:/r/sites/TUGUFILESHARING/Documents/IT/External%20Share/2026%20Manage%20Service%20Elistec/Mass%20Product/Development/September%202026/18%20Sep%202026.png?d=w40806a5f199945258b64d69d77c15c6a&amp;csf=1&amp;web=1&amp;e=sW7SHE</t>
  </si>
  <si>
    <t>Pembaruan UI Halaman Login dengan Identitas Retail Non-MV dan mengaragkan direct link modules selain policy automation ke tics corp</t>
  </si>
  <si>
    <t>Halaman login belum memiliki penanda identitas visual Retail Non-MV, serta tautan modul operasional selain Policy Automation pada portal belum ada projectnya jadi diarahkan ke portal TICS Corp dahulu.</t>
  </si>
  <si>
    <t>Menambahkan tag identitas Retail Non-MV dan background dark blur pada form login, serta memperbarui direct link modul selain Policy Automation agar langsung mengarah ke base URL TICS Corp.</t>
  </si>
  <si>
    <t>https://tugu.sharepoint.com/:i:/r/sites/TUGUFILESHARING/Documents/IT/External%20Share/2026%20Manage%20Service%20Elistec/Mass%20Product/Development/September%202026/21%20Sep%202026.png?d=wc08820ae893d403c8331941f5b60b3c2&amp;csf=1&amp;web=1&amp;e=WQoq0T</t>
  </si>
  <si>
    <t>Investigasi Kendala Latensi Ekstrem pada Query Data Premium Overdue</t>
  </si>
  <si>
    <t>Pemuatan data pada halaman Premium Overdue mengalami stuck dan waktu respon sangat lambat akibat subquery mapping Business Partner yang memicu perkalian silang baris (Cartesian product) pada ratusan ribu data.</t>
  </si>
  <si>
    <t>Saat ini sedang dalam tahap proses analisis lebih lanjut untuk restrukturisasi relasi query menggunakan direct LEFT JOIN serta evaluasi penanganan request di sisi frontend.</t>
  </si>
  <si>
    <t>https://tugu.sharepoint.com/:i:/r/sites/TUGUFILESHARING/Documents/IT/External%20Share/2026%20Manage%20Service%20Elistec/TICS%20Retail%20Non-MV/September%202026/22%20Sep%202026.png?d=w304076d315f2414b92ec4e78b6d76070&amp;csf=1&amp;web=1&amp;e=ItwwXO</t>
  </si>
  <si>
    <t xml:space="preserve">Diskusi dan PR ke mas Riyan terkait penyesuaian query dan route tics policy retail </t>
  </si>
  <si>
    <t>Sudah dilakukan penyesuaian terhadap query filtering non mv dan retail pada tics policy retail, tapi diperlukannya diskusi langsung mengenai pendekatan query yang dilakukan agar implementasinya aman dan seragam dengan team dev internal Tugu insurance</t>
  </si>
  <si>
    <t>Melakukan diskusi dengan mas Riyan terkait pendekatan yang diimplementasikan pada penyesuaian query filtering non-mv retail pada tics policy retail, serta melakukan PR ke branch default git reponya</t>
  </si>
  <si>
    <t>https://tugu.sharepoint.com/:i:/r/sites/TUGUFILESHARING/Documents/IT/External%20Share/2026%20Manage%20Service%20Elistec/TICS%20Retail%20Non-MV/September%202026/23%20Sep%202026.png?d=wabd6e019e1f348cb94a855e34bead69c&amp;csf=1&amp;web=1&amp;e=RRZQyS</t>
  </si>
  <si>
    <t>Sentralisasi Base URL dan Routing Dinamis Berdasarkan Konfigurasi APP_URL</t>
  </si>
  <si>
    <t>Aplikasi mengalami error 404 pada rute dan alur redirect saat menggunakan subpath /massproduct karena penanganan base URL belum terpusat secara dinamis pada environment.</t>
  </si>
  <si>
    <t>Mengonfigurasi service provider dan alur redirect agar otomatis membaca subpath langsung dari APP_URL di .env sehingga base URL terpusat dan mudah di-maintain ke depannya.</t>
  </si>
  <si>
    <t>https://tugu.sharepoint.com/:i:/r/sites/TUGUFILESHARING/Documents/IT/External%20Share/2026%20Manage%20Service%20Elistec/TICS%20Retail%20Non-MV/September%202026/24%20Sep%202026.png?d=w6d55db1b0ea544aaac36d22b95c6ecde&amp;csf=1&amp;web=1&amp;e=b7stnd</t>
  </si>
  <si>
    <t>TKYC</t>
  </si>
  <si>
    <t>Resolusi 168 Kerentanan Dependabot pada Dependensi Python, NPM, dan Composer di TKYC.</t>
  </si>
  <si>
    <t>Terdapat 168 peringatan kerentanan keamanan Dependabot akibat ratusan pustaka Python yang tidak terpakai serta versi rentan pada ekosistem Vite dan library PHP.</t>
  </si>
  <si>
    <t>Memangkas 113 dependensi Python yang tidak relevan, memperbarui Vite dan plugin Laravel ke versi aman, serta meng-update paket Composer terdampak hingga mencapai 0 kerentanan.</t>
  </si>
  <si>
    <t>https://tugu.sharepoint.com/:i:/r/sites/TUGUFILESHARING/Documents/IT/External%20Share/2026%20Manage%20Service%20Elistec/TKYC/September%202026/25%20Sep%202026.png?d=w6e4b0632c80741788302e0d5606645d8&amp;csf=1&amp;web=1&amp;e=lQzzVs</t>
  </si>
  <si>
    <t>Pembaruan Dependensi Composer Terkait Temuan Vulnerability Tambahan</t>
  </si>
  <si>
    <t>Ditemukan adanya tambahan celah keamanan (vulnerability) pada beberapa paket dependensi Composer, khususnya league/commonmark dan guzzlehttp/guzzle.</t>
  </si>
  <si>
    <t>Melakukan upgrade paket dependensi terkait ke versi yang lebih aman dan memverifikasi hasilnya menggunakan composer audit untuk memastikan tidak ada lagi celah keamanan yang terdeteksi.</t>
  </si>
  <si>
    <t>https://tugu.sharepoint.com/:i:/r/sites/TUGUFILESHARING/Documents/IT/External%20Share/2026%20Manage%20Service%20Elistec/TKYC/September%202026/28%20Sep%202026.png?d=wdad51d7464124e129877b824908beae1&amp;csf=1&amp;web=1&amp;e=xEIf1U</t>
  </si>
  <si>
    <t>Audit Teknis dan Penyusunan Blueprint Optimasi Sistem TICS</t>
  </si>
  <si>
    <t>Sistem TICS mengalami kendala teknis berupa latensi query database yang tinggi, beban memori worker, serta akumulasi technical debt yang belum terpetakan secara komprehensif.</t>
  </si>
  <si>
    <t>Melakukan audit menyeluruh terhadap performa, keamanan, dan arsitektur kode serta mendokumentasikan blueprint rekomendasi peningkatan beserta matriks prioritas implementasinya.</t>
  </si>
  <si>
    <t>https://tugu.sharepoint.com/:i:/r/sites/TUGUFILESHARING/Documents/IT/External%20Share/2026%20Manage%20Service%20Elistec/TICS%20Retail%20Non-MV/September%202026/29%20Sep%202026.png?d=w65ec0bd027004133aa12f9b1f32c0301&amp;csf=1&amp;web=1&amp;e=gitbBb</t>
  </si>
  <si>
    <t>TICS - Policy Corp</t>
  </si>
  <si>
    <t xml:space="preserve">Sharing Knowledge dengan Mas Egi (internal TUGU Insurance) terkait perbaikan format template document control pada TICS CORP </t>
  </si>
  <si>
    <t xml:space="preserve">Output document pada TICS CORP di COB FIRE SIMPLE RISK mempunyai format yang masih berantakan untuk beberapa kasus dokumen, sehingga diperlukannya perbaikan format agar seluruh output document benar-benar rapi dan siap diserahkan ke tertanggung </t>
  </si>
  <si>
    <t>Melakukan diskusi sharing knowledge terkait rencana perbaikan template output document untuk COB FIRE SIMPLE RISK pada TICS CORP</t>
  </si>
  <si>
    <t xml:space="preserve">Perbaikan error saat ingin melakukan print dokumen output </t>
  </si>
  <si>
    <t>Terdapat error Cannot access offset of type string on string dan Undefined array key "MAINT DATE FROM" pada saat ingin melakukan print output dokumen pada tics corp policy, hal ini disebabkan tidak ada nya null safety pada variabel-variabel yang digunakan untuk print documentnya</t>
  </si>
  <si>
    <t>Fix error Cannot access offset of type string on string dan Undefined array key "MAINT DATE FROM" saat ingin print document dengan menambahkan handle null safety agar jika data satu variabel undefined maka dibuat null terlebih dahulu baru dilakukan processing lainnya</t>
  </si>
  <si>
    <t>https://tugu.sharepoint.com/:i:/r/sites/TUGUFILESHARING/Documents/IT/External%20Share/2026%20Manage%20Service%20Elistec/TICS%20Policy%20Corporate/September%202026/Screenshot%20from%202026-10-02%2010-23-20.png?d=w668836fb9a994cc3bb1ad7e72f38694a&amp;csf=1&amp;web=1&amp;e=BD3waq</t>
  </si>
  <si>
    <t>Refaktorisasi OOP Modul Document Output dan Standarisasi Handler COB Fire</t>
  </si>
  <si>
    <t>Controller DocumentOutputController monolitik (~5.500 baris) memicu merge conflict parah saat dikerjakan multi-developer dan memiliki cacat indentasi visual pada klausul bilingual COB Fire.</t>
  </si>
  <si>
    <t>Mengimplementasikan pola OOP (Template Method &amp; Strategy Pattern) untuk mengisolasi logika per COB, memperbaiki format tabel klausul Fire, serta mengunci kalkulasi eksisting dengan test audit paritas sebagai standar bagi developer lain.</t>
  </si>
  <si>
    <t>PR ke lingkungan UAT terkait perbaikan format output document COB Fire dan melakukan resolve terkait review PR yang dikembalikan</t>
  </si>
  <si>
    <t>Belum dilakukannya PR ke UAT terkait perbaikan format output document untuk COB Fire, sehingga pembaharuan belum bisa diakses pada lingkungan UAT</t>
  </si>
  <si>
    <t>Melakukan push dan pr ke uat terkait perbaikan format document untuk COB Fire, sekaligus resolve review yang didapatkan dari reviewer (Mas Farhan)</t>
  </si>
  <si>
    <t>Optimalisasi Layout dan Perbaikan Format Output Dokumen Polis Fire (POLICY – FIRE EQ SIMPLE RISK - FLEXAS+ &amp; EQVET)</t>
  </si>
  <si>
    <t>Tampilan dokumen polis mengalami inkonsistensi spasi vertikal antar-poin, pemotongan baris (page-break) yang tidak rapi pada bagian risiko sendiri (deductible), serta duplikasi judul pada tabel klausul tambahan.</t>
  </si>
  <si>
    <t>Melakukan normalisasi struktur layout jadwal polis, standardisasi page-break per baris, dan penyesuaian struktur tabel klausul bilingual pada FireDocumentService agar dokumen tercetak rapi dan presisi.</t>
  </si>
  <si>
    <t>Penyesuaian document output untuk COB FIRE template POLICY – FIRE EQ SIMPLE RISK - FLEXAS+ &amp; EQVET terhadap polis yang punya multiple object list</t>
  </si>
  <si>
    <t>Pada template output document POLICY – FIRE EQ SIMPLE RISK - FLEXAS+ &amp; EQVET untuk COB FIRE polis yang punya multiple object list belum dihandle pada bagian suku preminya, sehingga isi suku premi pada document outputnya belum sesuai</t>
  </si>
  <si>
    <t xml:space="preserve">Melakukan pengecekan kondisional polis yang multiple object list agar dihandle dengan menampilkan semua object suku premi dalam bentuk table  </t>
  </si>
  <si>
    <t>https://tugu.sharepoint.com/:i:/r/sites/TUGUFILESHARING/Documents/IT/External%20Share/2026%20Manage%20Service%20Elistec/TICS%20Policy%20Corporate/October%202026/09%20-%2012%20Oct%202026.png?d=wed4a960e3c974d93a944795f2d492b89&amp;csf=1&amp;web=1&amp;e=N9qwAP</t>
  </si>
  <si>
    <t>Fix Kegagalan CI Unit Test pada SQLite In-Memory</t>
  </si>
  <si>
    <t>INTEGRATION_BUG</t>
  </si>
  <si>
    <t>Unit test di CI GitHub Actions gagal karena database SQLite in-memory belum memiliki skema tabel dan fungsi SQL yang dibutuhkan saat pengujian service.</t>
  </si>
  <si>
    <t>Menambahkan skema uji terpadu dan fungsi SQL khusus SQLite di TestCase.php serta menyesuaikan HTTP mock, sehingga seluruh 202 unit test lulus 100%.</t>
  </si>
  <si>
    <t>https://tugu.sharepoint.com/:i:/r/sites/TUGUFILESHARING/Documents/IT/External%20Share/2026%20Manage%20Service%20Elistec/DOTS/October%202026/13%20Oct%202026.png?d=we6ffc19127104af4a97b35e14686265c&amp;csf=1&amp;web=1&amp;e=CzRmSe</t>
  </si>
  <si>
    <t>Fix Provisioning SharePoint &amp; Sinkronisasi Path Folder Transaksi Budget</t>
  </si>
  <si>
    <t>FUNCTIONAL_BUG</t>
  </si>
  <si>
    <t>Transaksi ber-routing budget yang belum memiliki folder gagal di-retry secara permanen karena sistem memaksa lookup BP karyawan yang bernilai null ke TKYC, serta pembuatan folder berisiko menggunakan path yang salah dan tidak sinkron dengan frontend.</t>
  </si>
  <si>
    <t>Menggunakan ApprovalRouting::sharePointCostCenter agar lokasi folder tetap konsisten, serta langsung memanfaatkan rantai persetujuan tersimpan di database (storedChain) untuk mengundang approver anggaran via /dots-approval tanpa lookup BP karyawan.</t>
  </si>
  <si>
    <t>https://tugu.sharepoint.com/:i:/r/sites/TUGUFILESHARING/Documents/IT/External%20Share/2026%20Manage%20Service%20Elistec/DOTS/October%202026/14%20Oct%202026.png?d=w2c93eb66b8d1493ab7805632acaaaf5e&amp;csf=1&amp;web=1&amp;e=mG5B5G</t>
  </si>
  <si>
    <t>Proteksi Scheduler Retry SharePoint &amp; Penanganan Transaksi Historis</t>
  </si>
  <si>
    <t>Penambahan kolom status dengan default pending menyebabkan belasan ribu transaksi historis lama dan transaksi yang sudah ditolak/batal (3010/3020) ikut masuk ke dalam antrean retry scheduler, sehingga memicu pemborosan trafik Graph API dan risiko infinite retry loop.</t>
  </si>
  <si>
    <t>Menjalankan migrasi idempoten untuk menandai transaksi lawas tanpa folder menjadi legacy, serta memperkuat query command scheduler dengan mengecualikan status gugur/batal (3010/3020) dan membatasi rentang usia transaksi yang diproses maksimal 30 hari ke belakang (--max-age-days=30).</t>
  </si>
  <si>
    <t>https://tugu.sharepoint.com/:i:/r/sites/TUGUFILESHARING/Documents/IT/External%20Share/2026%20Manage%20Service%20Elistec/DOTS/October%202026/15%20Oct%202026.png?d=w59b623aea7ba4fc3af99594d0d5e3497&amp;csf=1&amp;web=1&amp;e=4Os9lf</t>
  </si>
  <si>
    <t>Refactoring Polimorfisme Output Dokumen &amp; Rincian Suku Premi Fire</t>
  </si>
  <si>
    <t>Dokumen service sebelumnya monolitik dan mencampurkan logika spesifik Fire ke base class, mengakibatkan suku premi pada polis multi-objek terakumulasi secara otomatis dan tidak bisa dirinci per objek dalam format tabel.</t>
  </si>
  <si>
    <t>Memecah base class ke dalam 5 domain trait modular, memindahkan seluruh logika Fire ke FireDocumentService, serta menyajikan suku premi dalam tabel 2 kolom yang presisi (tarif tunggal jika seragam, atau dirinci per objek jika berbeda).</t>
  </si>
  <si>
    <t>https://tugu.sharepoint.com/:i:/r/sites/TUGUFILESHARING/Documents/IT/External%20Share/2026%20Manage%20Service%20Elistec/TICS%20Policy%20Corporate/October%202026/16%20Oct%202026.png?d=w90f4f9c42da84d17aebde6064a0fce94&amp;csf=1&amp;web=1&amp;e=mvur0p</t>
  </si>
  <si>
    <t>Resolusi Konflik Merge UAT, Preservasi Fitur Marine, &amp; Label Objek Fire</t>
  </si>
  <si>
    <t>Merge dari branch uat menimbulkan konflik Git pada BaseDocumentService yang berisiko menghilangkan fitur running number klausul Marine Cargo, serta label baris suku premi Fire multi-objek belum memuat indeks pembeda antar objek.</t>
  </si>
  <si>
    <t>Menyelesaikan konflik dengan mempertahankan base service tetap modular, mempreservasi logika Marine Cargo ke dalam trait terkait, memperbaiki penamaan label menjadi (Objek N), dan memastikan seluruh 40 skenario pengujian lulus 100%.</t>
  </si>
  <si>
    <t>https://tugu.sharepoint.com/:i:/r/sites/TUGUFILESHARING/Documents/IT/External%20Share/2026%20Manage%20Service%20Elistec/TICS%20Policy%20Corporate/October%202026/19%20Oct%202026.png?d=w223c757d38ff441ca384225f6927e849&amp;csf=1&amp;web=1&amp;e=mtyag1</t>
  </si>
  <si>
    <t>Optimasi performa dan pembersihan sisa percabangan prosedural pada trait modul document output.</t>
  </si>
  <si>
    <t>Trait generik masih memuat percabangan class of business, query N+1 pada detail objek, serta pemborosan memori akibat perulangan ratusan aset wording statis.</t>
  </si>
  <si>
    <t>Memindahkan mapping khusus ke service COB terkait, membaca relasi objek secara in-memory, dan menerapkan lazy rendering berbasis deteksi tag template.</t>
  </si>
  <si>
    <t>https://tugu.sharepoint.com/:i:/r/sites/TUGUFILESHARING/Documents/IT/External%20Share/2026%20Manage%20Service%20Elistec/TICS%20Policy%20Corporate/October%202026/20%20-%2021%20Oct%202026.png?d=we6ae32bd54434d01a49b28d497c48875&amp;csf=1&amp;web=1&amp;e=9jmSAH</t>
  </si>
  <si>
    <t>Ekstraksi logika akuntansi premium analysis ke domain service terpisah dan perapihan controller.</t>
  </si>
  <si>
    <t>Controller terbebani logika bisnis akuntansi yang kompleks dan BaseDocumentService memiliki keterikatan dependensi sirkular terhadap controller.</t>
  </si>
  <si>
    <t>Melepas relasi sirkular pada BaseDocumentService serta mengisolasi resolusi kode transaksi akuntansi ke dalam PremiumAnalysisService yang dapat diuji mandiri.</t>
  </si>
  <si>
    <t>Penelaahan kebutuhan teknis integrasi pagu dana sistem DOTS dengan data riil pada SAP.</t>
  </si>
  <si>
    <t>Implementasi teknis integrasi belum dapat dimulai karena masih menunggu penyelesaian tinjauan dokumen BRD oleh Business Analyst (Annisa Muchlisin).</t>
  </si>
  <si>
    <t>Mempelajari alur proses bisnis eksisting serta menyiapkan pemetaan kebutuhan integrasi awal sembari menunggu dokumen BRD difinalisasi.</t>
  </si>
  <si>
    <t>Rapat koordinasi bulanan bersama tim internal ERP Tugu terkait progres dan rencana pengembangan ke depan.</t>
  </si>
  <si>
    <t>Diperlukan penyelarasan rutin agar integrasi antarsistem tetap sinkron dan kendala teknis dapat diidentifikasi lebih dini.</t>
  </si>
  <si>
    <t>Melakukan evaluasi progres pengembangan yang sedang berjalan serta menyepakati roadmap dan prioritas pengerjaan untuk periode berikutnya</t>
  </si>
  <si>
    <t>Pemindahan API Care ke TICS</t>
  </si>
  <si>
    <t>Deepening Tfriends Module</t>
  </si>
  <si>
    <t>Tugu Ticketing System v2</t>
  </si>
  <si>
    <t>pull repo TTSV2 dan Explor Kode</t>
  </si>
  <si>
    <t>TICS Code Knowledge</t>
  </si>
  <si>
    <t>Setup Project TTSV2 di lokal dan seeding database migration</t>
  </si>
  <si>
    <t>Error pada lokal database dan melakukan Fixing Database</t>
  </si>
  <si>
    <t>table queues belum ada di repo yang diberikan</t>
  </si>
  <si>
    <t>create new table queues (migration) sebagai requirement, karena seluruh table terintegrasi ke table queues</t>
  </si>
  <si>
    <t>Rebuild TTS V2 (Module Ticketing) : Perbaikan CRUD pada module service management sub module work orders</t>
  </si>
  <si>
    <t>Tidak bisa insert data baru dikarenakan salah syntax pada controller</t>
  </si>
  <si>
    <t xml:space="preserve">perbaikan syntax insert pada controller di file TicketController.php </t>
  </si>
  <si>
    <t>TTS V2 : Perbaikan CRUD pada seluruh module TTS</t>
  </si>
  <si>
    <t>TTS V2 : Perbaikan modal pada seluruh module TTS</t>
  </si>
  <si>
    <t>TTS V2 : Setup Project local dari intraapps ke tkyc untuk ambil data karyawan yang akan dipakai di ttsv2</t>
  </si>
  <si>
    <t>Azure Authenticator</t>
  </si>
  <si>
    <t>integrasi SSO &amp; JWT di backend TKYC langsung dengan X-Service-Token dari env</t>
  </si>
  <si>
    <t>TTS V2 : Debug Authenticator Error</t>
  </si>
  <si>
    <t>Authenticator</t>
  </si>
  <si>
    <t>TTS V2 : Sending Requirement Deployment (.env)</t>
  </si>
  <si>
    <t>Migration seeds tidak urut sehingga tidak semua db termigrasi</t>
  </si>
  <si>
    <t>harus renaming beberapa migration seed agar urut sesuai tanggal</t>
  </si>
  <si>
    <t xml:space="preserve">TTS V2 : Perbaikan Migration Seed untuk Deployment  </t>
  </si>
  <si>
    <t>TTS V2 : Pull &amp; Request TTSV2 (update migration order and frontend pages all module)</t>
  </si>
  <si>
    <t xml:space="preserve">Melakukan meeting terkait progress review task yang sudah dikerjakan bersama tim dan stakeholder </t>
  </si>
  <si>
    <t>Menyelesaikan isu redirect loop dan hardcoded session Admin User pada NextAuth. Memperbaiki alur otentikasi dinamis (JWT, session callback, serta withAuthSSR) agar data profil (name, email, job title) dan daftar aplikasi di Dashboard membaca data riil dari PostgreSQL sesuai akun yang login</t>
  </si>
  <si>
    <t>Mengonfigurasi koneksi basis data (Pool PostgreSQL) antara schema TKYC dan modul TTS untuk sinkronisasi hak akses user. Mengimplementasikan pemetaan role dan job title berbasis DB agar menu serta otorisasi aplikasi yang muncul disesuaikan secara dinamis dengan hak akses masing-masing pengguna</t>
  </si>
  <si>
    <t>Mengimplementasikan fitur pencarian real-time dan dropdown menu profile interaktif pada header, merapikan alur navigasi sidebar</t>
  </si>
  <si>
    <t>debug dan menyelesaikan endpoint routing API ticket antara backend Laravel dan Next.js</t>
  </si>
  <si>
    <t>Tics - Corporate</t>
  </si>
  <si>
    <t>Update Dependencies Tics Policy Corporate 1- 200</t>
  </si>
  <si>
    <t>TICS Reporting</t>
  </si>
  <si>
    <t>Update Dependencies Tics Policy Corporate 201- 380</t>
  </si>
  <si>
    <t>Update Dependencies Tics Policy Corporate 381- 477</t>
  </si>
  <si>
    <t>Tics - Reinsurance</t>
  </si>
  <si>
    <t>Update Dependencies Tics Reinsurance 1- 200</t>
  </si>
  <si>
    <t>Update Dependencies Tics Reinsurance 201 - 299 &amp; Push to git</t>
  </si>
  <si>
    <t>https://github.com/tugu-tics/tics-reinsurance/pulls</t>
  </si>
  <si>
    <t>Exploring https://demo.servicedeskplus.com/ui/home?logout=true sebagai acuan ttsv2</t>
  </si>
  <si>
    <t>https://github.com/tugu-surronding-systems/TTSV2/pull/5</t>
  </si>
  <si>
    <t>Update Dashboard &amp; New Ticket (User = Technician)</t>
  </si>
  <si>
    <t>Ada field db yang kurang, untuk kebutuhan ticket</t>
  </si>
  <si>
    <t>Penambahan field pada table di DB TTS</t>
  </si>
  <si>
    <t>Update Dasboard &amp; New Ticket (User = Requester)</t>
  </si>
  <si>
    <t>Update Work Orders, Incident, Problems menu (User = Technician)</t>
  </si>
  <si>
    <t>TICS (Claim-Corporate)</t>
  </si>
  <si>
    <t>Setup local project tics</t>
  </si>
  <si>
    <t>Update Work Orders, Incident, Problems menu (User = Requester)</t>
  </si>
  <si>
    <t>Perbaikan API pada role user</t>
  </si>
  <si>
    <t>Update List Menu (User : Requester &amp; Technician), penyesuaian backend menggunakan api yg sudah dibuat untuk masing2 role</t>
  </si>
  <si>
    <t>Completing end-to-end features, RBAC, menu integrations, and testing</t>
  </si>
  <si>
    <t>Refactoring and fixing UI/UX layout issues, sidebar collapse logic, and Lottie loading animation bugs</t>
  </si>
  <si>
    <t>Fixing PostgreSQL integration and Laravel controllers, refining the Next.js Queue and Reports &amp; Analytics UI, and solidifying the overall ITSM workflow logic.</t>
  </si>
  <si>
    <t>error 404 dan 500 pada API akibat kesalahan rute serta nama controller di backend Laravel, angka metrik dasbor Reports &amp; Analytics yang menampilkan nilai 0 karena ketidaksesuaian struktur JSON dan query tanggal, antarmuka modul Queue serta Reports yang belum sesuai dengan standar desain Clean Modern Enterprise, kendala pemetaan peran dalam penyaringan Assignee tiket, serta masalah integrasi koneksi multi-database dengan PostgreSQL</t>
  </si>
  <si>
    <t>mendaftarkan ulang rute API dan memperbaiki penamaan controller, menyesuaikan struktur respons JSON serta menambahkan rentang jam pada klausa query tanggal di Laravel, memperbarui tampilan frontend menggunakan Material UI berorientasi warna soft blue dan tipografi Inter, memfilter dropdown Assignee khusus untuk pengguna berperan technician, serta mengaktifkan ekstensi PHP yang dibutuhkan dan mengonfigurasi charset PostgreSQL</t>
  </si>
  <si>
    <t>push to new-feature branches</t>
  </si>
  <si>
    <t>Sharing Knowledge TCES</t>
  </si>
  <si>
    <t>https://github.com/tugu-rnd/TICS_v2/pull/14</t>
  </si>
  <si>
    <t>TICS V2</t>
  </si>
  <si>
    <t>Setup local project tics &amp; bug fixing penomoran quotation number</t>
  </si>
  <si>
    <t>Resolved database connection issues n router duplicates</t>
  </si>
  <si>
    <t>https://github.com/tugu-surronding-systems/TTSV2/pull/6</t>
  </si>
  <si>
    <t>TTS V2</t>
  </si>
  <si>
    <t>refine auth logic, SLA module, and monitoring page</t>
  </si>
  <si>
    <t xml:space="preserve">update dependencies tics-policy-mv </t>
  </si>
  <si>
    <t>update dependencies tics-claim-retail</t>
  </si>
  <si>
    <t>SAKIT</t>
  </si>
  <si>
    <t>update dependencies tics-policy-retail</t>
  </si>
  <si>
    <t>update dependencies tics-claim-corporate</t>
  </si>
  <si>
    <t>Sharing Knowledge TICS Claim Corporate and fixing variable</t>
  </si>
  <si>
    <t>Fix Issue Format Bulleting pada Output Dokumen Marine Cargo, Traversal Marker {{start_nbr}} / {{end_nbr}} dan Pengubahan List Level Master Control</t>
  </si>
  <si>
    <t>Output dokumen Marine Cargo gagal menampilkan running number karena struktur klausul tingkat atas masih menggunakan simbol bullet standar (•) tanpa pemisah blok yang jelas</t>
  </si>
  <si>
    <t>Menambahkan mekanisme tagging parser menggunakan marker {{start_nbr}} dan {{end_nbr}} pada Master Control untuk mengonversi bullet utama menjadi angka secara dinamis tanpa merusak sub-item turunan</t>
  </si>
  <si>
    <t xml:space="preserve">Fix Feedback document output marine cargo </t>
  </si>
  <si>
    <t>Font size pada Klausul tidak sama, padding (rata kanan kiri) tidak sama, billingual incrased value tidak sejajar</t>
  </si>
  <si>
    <t>Memperbarui struktur inline styling dan menambahkan class CSS khusus pada tag HTML pembungkus list klausul di dalam prepareClausul() agar atribut font-size, padding, dan alignment mengikuti standar layout global yang konsisten.</t>
  </si>
  <si>
    <t>Meeting users (Underwiter) dengan Mas Egi pembahasan Marine Hull document</t>
  </si>
  <si>
    <t>Ada beberapa perubahan yang diminta oleh user, perubahan signifikan pada document diantaranya formatting rata kanan kiri, bullet change to number, beberapa varibel diminta dibuat dinamis</t>
  </si>
  <si>
    <t>Untuk yang berhubungan dengan sistem tics sedang di diskusikan dengan tim IT internal oleh mas Egi, untuk formatting template sedang disiapkan oleh mas egi sebagai acuan fixing</t>
  </si>
  <si>
    <t>Fix feedback Halaman root tidak membaca token dari URL</t>
  </si>
  <si>
    <t>Saat sudah di deploy redirect langsung 404 seharusnya masuk dashboard</t>
  </si>
  <si>
    <t>Menhapus token dummy dan redirect langsung ke dashboard</t>
  </si>
  <si>
    <t>Mempelajari alur COB Marine Hull</t>
  </si>
  <si>
    <t>perubahan signifikan pada document diantaranya formatting rata kanan kiri, bullet change to number, beberapa varibel diminta dibuat dinamis</t>
  </si>
  <si>
    <t>Sedang menunggu template document dari mas ego untuk pengerjaan lanjutan</t>
  </si>
  <si>
    <t>Fix 404 direct page tts</t>
  </si>
  <si>
    <t>404 redirect setelah login by intraapps</t>
  </si>
  <si>
    <r>
      <rPr>
        <sz val="11"/>
        <color rgb="FF000000"/>
        <rFont val="Calibri"/>
      </rPr>
      <t>menghapus logika pengalihan (</t>
    </r>
    <r>
      <rPr>
        <i/>
        <sz val="11"/>
        <color rgb="FF000000"/>
        <rFont val="Calibri"/>
      </rPr>
      <t>redirect</t>
    </r>
    <r>
      <rPr>
        <sz val="11"/>
        <color rgb="FF000000"/>
        <rFont val="Calibri"/>
      </rPr>
      <t xml:space="preserve">) lama yang mengarah ke halaman tujuan yang salah atau hilang, lalu memperbarui rute </t>
    </r>
    <r>
      <rPr>
        <i/>
        <sz val="11"/>
        <color rgb="FF000000"/>
        <rFont val="Calibri"/>
      </rPr>
      <t>post-login</t>
    </r>
    <r>
      <rPr>
        <sz val="11"/>
        <color rgb="FF000000"/>
        <rFont val="Calibri"/>
      </rPr>
      <t xml:space="preserve"> agar langsung mengarahkan pengguna ke halaman ticket atau </t>
    </r>
    <r>
      <rPr>
        <i/>
        <sz val="11"/>
        <color rgb="FF000000"/>
        <rFont val="Calibri"/>
      </rPr>
      <t>root</t>
    </r>
    <r>
      <rPr>
        <sz val="11"/>
        <color rgb="FF000000"/>
        <rFont val="Calibri"/>
      </rPr>
      <t xml:space="preserve"> aplikasi.</t>
    </r>
  </si>
  <si>
    <t>Marine Hull trial master document control</t>
  </si>
  <si>
    <t>Formatting Document dan penarikan persentase diskon</t>
  </si>
  <si>
    <t>Marine Hull local Setup, and Push Marine Cargo Fixing to UAT</t>
  </si>
  <si>
    <t>Melakukan monitoring pasca-deploy UAT serta uji regresi intensif pada pipeline PDF Marine Cargo guna memitigasi risiko desinkronisasi halaman dan kerusakan layout pada dokumen bilingual.</t>
  </si>
  <si>
    <t>Melakukan investigasi mendalam terhadap dependensi data objek kapal serta isolasi arsitektur service COB Marine Hull (H) agar kustomisasi template baru tidak memicu konflik pada COB lain yang sedang berjalan.</t>
  </si>
  <si>
    <t>VIRTUAL ACCOUNT</t>
  </si>
  <si>
    <t>Menyiapkan environment .NET 6 SDK, menjalankan service lokal API SAP Staging, serta membedah alur logika dan menyusun dokumentasi teknis integrasi modul Virtual Account (VA) ke gateway bank mitra.</t>
  </si>
  <si>
    <t>API VA</t>
  </si>
  <si>
    <t>Terjadi kendala file lock (error MSB3021 / MSB3027: file being used by another process) saat melakukan kompilasi ulang karena aplikasi sudah berjalan aktif di proses background</t>
  </si>
  <si>
    <t>Mengidentifikasi dan menghentikan (kill) proses background lama (PID 41036) sehingga file executable terbebas dari lock dan aplikasi dapat berjalan normal</t>
  </si>
  <si>
    <t>Melakukan analisis arsitektur dan perancangan blueprint rewrite modul Virtual Account (VA) pada project ts-staging (ElysiaJS/TypeScript), serta menyiapkan runner lokal Swagger UI untuk visualisasi dan pengujian endpoint API</t>
  </si>
  <si>
    <t>Server backend utama tidak dapat langsung dijalankan di mesin lokal untuk melihat dokumentasi API karena adanya dependensi ke service Kafka dan Redis yang belum aktif.</t>
  </si>
  <si>
    <t>Membuat script runner mandiri (serve-swagger.ts) dengan mock service terisolasi sehingga Swagger UI dapat langsung diakses di port 3000 tanpa membebani laptop dengan infrastruktur tambahan</t>
  </si>
  <si>
    <t>Melakukan komparasi dan pemetaan detail skema data (field-by-field mapping) antara DTO Model_VA di .NET dengan kontrak API baru di ts-staging, serta memetakan alur pencatatan audit log (DAL_EndpointLog) sebagai acuan pengujian tanpa mengubah source code yang ada.</t>
  </si>
  <si>
    <t>Terdapat perbedaan konvensi penamaan field (PascalCase di .NET vs camelCase di TypeScript) serta perbedaan tipe data pada parameter Stored Procedure database yang berisiko menimbulkan ketidakcocokan payload integrasi</t>
  </si>
  <si>
    <t>Menyusun dokumen matriks pemetaan data (data dictionary matrix) secara terpisah sebagai standar referensi validasi dan baseline pengujian sebelum tahap penulisan kode dimulai.</t>
  </si>
  <si>
    <t>Melakukan Meeting Progress dan Penjelasan Mengenai Project TIC dan VA bersama stakeholder</t>
  </si>
  <si>
    <t>On board &amp; sharing knowledge terkait TCES</t>
  </si>
  <si>
    <t>End-to-End testing TCES</t>
  </si>
  <si>
    <t>End-to-End testing TICS</t>
  </si>
  <si>
    <t>Testing API settlement dan enforce TCES TICS</t>
  </si>
  <si>
    <t>Transaksi dan Settlement</t>
  </si>
  <si>
    <t>Final - Pembuatan Test Case Staging Cloud</t>
  </si>
  <si>
    <t>Deepening flow bisnis staging cloud</t>
  </si>
  <si>
    <t>Sharing knowledge TTS</t>
  </si>
  <si>
    <t>Membuat test case API integrasi BengkelNet-TICS</t>
  </si>
  <si>
    <t>TICS Bengkelnet</t>
  </si>
  <si>
    <t>Testing TTS modul Service Desks - IT Service Desk</t>
  </si>
  <si>
    <t>IT Service Desk</t>
  </si>
  <si>
    <t xml:space="preserve">Membuat report temuan TTS </t>
  </si>
  <si>
    <t>Melakukan testing aplikasi TCES pasca-update PHP, meliputi pengujian fungsionalitas fitur, validasi alur bisnis dan data, pemeriksaan perhitungan nominal</t>
  </si>
  <si>
    <t xml:space="preserve">Menemukan beberapa bug serta ketidaksesuaian pada perhitungan nominal yang menyebabkan hasil perhitungan tidak balance
</t>
  </si>
  <si>
    <t>Berkoordinasi dengan tim developer terkait temuan bug dan perhitungan yang tidak balance untuk ditindaklanjuti</t>
  </si>
  <si>
    <t>Melakukan pengujian (testing) pada aplikasi TTS V2 setelah adanya pembaruan sistem untuk memastikan seluruh fitur dan fungsionalitas berjalan sesuai dengan requirement yang telah ditentukan.</t>
  </si>
  <si>
    <t xml:space="preserve">TTS - IT Service Desk </t>
  </si>
  <si>
    <t>Ditemukan beberapa bug dan ketidaksesuaian fungsionalitas selama proses testing TTS V2.</t>
  </si>
  <si>
    <t>Seluruh temuan bug telah didokumentasikan dalam bug report, disertai detail permasalahan untuk memudahkan proses analisis dan tindak lanjut oleh tim developer.</t>
  </si>
  <si>
    <t xml:space="preserve">Melakukan Meeting Progress dan Penjelasan Mengenai Project TTS - ARMS bersama stakeholder
</t>
  </si>
  <si>
    <t>Melakukan testing aplikasi TTS V2 (Lanjutan)</t>
  </si>
  <si>
    <t>CIP Maintenance Period ENGINEERING Policy Corporat</t>
  </si>
  <si>
    <t>Collection Logbook</t>
  </si>
  <si>
    <t>Corporate Secretary</t>
  </si>
  <si>
    <t>Enhancement Nota Claim</t>
  </si>
  <si>
    <t>Flagging Label Polis VIP/VVIP Pada Claim Retail</t>
  </si>
  <si>
    <t>Output Document Polis</t>
  </si>
  <si>
    <t>POC NGFW Firewall</t>
  </si>
  <si>
    <t>Pengadaan Notebook 2026</t>
  </si>
  <si>
    <t>Pertamina PRIME</t>
  </si>
  <si>
    <t>TICS - Reinsurance</t>
  </si>
  <si>
    <t>TICS v2 - RnD</t>
  </si>
  <si>
    <t>Monthly Meeting dengan tim internal Tugu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</si>
</sst>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ont>
    <font>
      <b/>
      <sz val="11"/>
      <color rgb="FF000000"/>
      <name val="Calibri"/>
      <family val="2"/>
    </font>
    <font>
      <b/>
      <sz val="14"/>
      <name val="Calibri"/>
      <family val="2"/>
    </font>
    <font>
      <b/>
      <sz val="11"/>
      <color rgb="FF000000"/>
      <name val="Calibri"/>
    </font>
    <font>
      <b/>
      <sz val="11"/>
      <name val="Calibri"/>
    </font>
    <font>
      <sz val="11"/>
      <name val="Calibri"/>
    </font>
    <font>
      <sz val="10"/>
      <name val="Calibri"/>
    </font>
    <font>
      <u/>
      <sz val="11"/>
      <color theme="10"/>
      <name val="Calibri"/>
    </font>
    <font>
      <sz val="10"/>
      <color rgb="FF000000"/>
      <name val="Calibri"/>
    </font>
    <font>
      <i/>
      <sz val="10"/>
      <color rgb="FF000000"/>
      <name val="Calibri"/>
    </font>
    <font>
      <i/>
      <sz val="11"/>
      <color rgb="FF000000"/>
      <name val="Calibri"/>
    </font>
    <font>
      <sz val="10"/>
      <color rgb="FF000000"/>
      <name val="Calibri"/>
      <charset val="1"/>
    </font>
    <font>
      <u val="double"/>
      <sz val="10"/>
      <name val="Calibri"/>
    </font>
    <font>
      <sz val="10"/>
      <color theme="1"/>
      <name val="Calibri"/>
      <scheme val="minor"/>
    </font>
    <font>
      <b/>
      <sz val="10"/>
      <color rgb="FF000000"/>
      <name val="Calibri"/>
    </font>
    <font>
      <sz val="11"/>
      <color theme="1"/>
      <name val="Calibri"/>
    </font>
    <font>
      <sz val="10"/>
      <name val="Calibri"/>
      <family val="2"/>
    </font>
  </fonts>
  <fills count="18">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ABE4"/>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6"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bottom style="thin">
        <color rgb="FFD9D9D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7" fillId="0" borderId="0" applyNumberFormat="0" applyFill="0" applyBorder="0" applyAlignment="0" applyProtection="0"/>
  </cellStyleXfs>
  <cellXfs count="107">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3" fillId="0" borderId="1" xfId="0" applyFont="1" applyBorder="1" applyAlignment="1">
      <alignment vertical="center" wrapText="1"/>
    </xf>
    <xf numFmtId="0" fontId="0" fillId="7" borderId="1" xfId="0" applyFill="1" applyBorder="1" applyAlignment="1">
      <alignment vertical="center" wrapText="1"/>
    </xf>
    <xf numFmtId="0" fontId="4" fillId="0" borderId="0" xfId="0" applyFont="1" applyAlignment="1">
      <alignment horizontal="center" vertical="center"/>
    </xf>
    <xf numFmtId="0" fontId="5" fillId="0" borderId="0" xfId="0" applyFont="1"/>
    <xf numFmtId="14" fontId="0" fillId="0" borderId="0" xfId="0" applyNumberFormat="1"/>
    <xf numFmtId="0" fontId="6" fillId="0" borderId="2"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horizontal="center" vertical="center" wrapText="1"/>
    </xf>
    <xf numFmtId="0" fontId="7" fillId="0" borderId="0" xfId="1"/>
    <xf numFmtId="0" fontId="8" fillId="0" borderId="0" xfId="0" applyFont="1"/>
    <xf numFmtId="0" fontId="6" fillId="0" borderId="2" xfId="0" applyFont="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9" fontId="6" fillId="0" borderId="3"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1" fillId="8" borderId="3" xfId="0" applyFont="1" applyFill="1" applyBorder="1" applyAlignment="1">
      <alignment horizontal="center" vertical="center" wrapText="1"/>
    </xf>
    <xf numFmtId="0" fontId="7" fillId="0" borderId="3" xfId="1" applyBorder="1"/>
    <xf numFmtId="0" fontId="1" fillId="9" borderId="3"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0" fillId="0" borderId="3" xfId="0" applyBorder="1" applyAlignment="1">
      <alignment wrapText="1"/>
    </xf>
    <xf numFmtId="0" fontId="1" fillId="13" borderId="3"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0" fillId="0" borderId="0" xfId="0"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horizontal="center" vertical="center"/>
    </xf>
    <xf numFmtId="0" fontId="6" fillId="0" borderId="8" xfId="0" applyFont="1" applyBorder="1" applyAlignment="1">
      <alignment horizontal="center" vertical="center" wrapText="1"/>
    </xf>
    <xf numFmtId="0" fontId="6" fillId="0" borderId="3" xfId="0" applyFont="1" applyBorder="1" applyAlignment="1">
      <alignment vertical="center"/>
    </xf>
    <xf numFmtId="0" fontId="8" fillId="0" borderId="3" xfId="0" applyFont="1" applyBorder="1"/>
    <xf numFmtId="0" fontId="8" fillId="0" borderId="3" xfId="0" applyFont="1" applyBorder="1" applyAlignment="1">
      <alignment wrapText="1"/>
    </xf>
    <xf numFmtId="9" fontId="8" fillId="0" borderId="3" xfId="0" applyNumberFormat="1" applyFont="1" applyBorder="1"/>
    <xf numFmtId="14" fontId="8" fillId="0" borderId="3" xfId="0" applyNumberFormat="1" applyFont="1" applyBorder="1"/>
    <xf numFmtId="0" fontId="0" fillId="0" borderId="3" xfId="0" applyBorder="1"/>
    <xf numFmtId="0" fontId="1" fillId="3" borderId="3" xfId="0" applyFont="1" applyFill="1" applyBorder="1" applyAlignment="1">
      <alignment horizontal="left" vertical="center" wrapText="1"/>
    </xf>
    <xf numFmtId="0" fontId="6" fillId="0" borderId="3" xfId="0" applyFont="1" applyBorder="1" applyAlignment="1">
      <alignment horizontal="left" vertical="center"/>
    </xf>
    <xf numFmtId="9" fontId="6" fillId="0" borderId="3" xfId="0" applyNumberFormat="1" applyFont="1" applyBorder="1" applyAlignment="1">
      <alignment horizontal="left" vertical="center" wrapText="1"/>
    </xf>
    <xf numFmtId="14" fontId="6" fillId="0" borderId="3" xfId="0" applyNumberFormat="1" applyFont="1" applyBorder="1" applyAlignment="1">
      <alignment horizontal="left" vertical="center" wrapText="1"/>
    </xf>
    <xf numFmtId="0" fontId="8" fillId="0" borderId="3" xfId="0" applyFont="1" applyBorder="1" applyAlignment="1">
      <alignment horizontal="left"/>
    </xf>
    <xf numFmtId="0" fontId="8" fillId="0" borderId="3" xfId="0" applyFont="1" applyBorder="1" applyAlignment="1">
      <alignment horizontal="left" wrapText="1"/>
    </xf>
    <xf numFmtId="9" fontId="8" fillId="0" borderId="3" xfId="0" applyNumberFormat="1" applyFont="1" applyBorder="1" applyAlignment="1">
      <alignment horizontal="left"/>
    </xf>
    <xf numFmtId="14" fontId="8" fillId="0" borderId="3" xfId="0" applyNumberFormat="1" applyFont="1" applyBorder="1" applyAlignment="1">
      <alignment horizontal="left"/>
    </xf>
    <xf numFmtId="0" fontId="0" fillId="0" borderId="3" xfId="0" applyBorder="1" applyAlignment="1">
      <alignment horizontal="left"/>
    </xf>
    <xf numFmtId="9" fontId="0" fillId="0" borderId="3" xfId="0" applyNumberFormat="1" applyBorder="1" applyAlignment="1">
      <alignment horizontal="left"/>
    </xf>
    <xf numFmtId="14" fontId="0" fillId="0" borderId="3" xfId="0" applyNumberFormat="1" applyBorder="1" applyAlignment="1">
      <alignment horizontal="left"/>
    </xf>
    <xf numFmtId="0" fontId="0" fillId="0" borderId="8" xfId="0" applyBorder="1" applyAlignment="1">
      <alignment wrapText="1"/>
    </xf>
    <xf numFmtId="14" fontId="6" fillId="0" borderId="5" xfId="0" applyNumberFormat="1" applyFont="1" applyBorder="1" applyAlignment="1">
      <alignment horizontal="center" vertical="center" wrapText="1"/>
    </xf>
    <xf numFmtId="0" fontId="6" fillId="0" borderId="8" xfId="0" applyFont="1" applyBorder="1" applyAlignment="1">
      <alignment horizontal="left" vertical="center" wrapText="1"/>
    </xf>
    <xf numFmtId="0" fontId="7" fillId="0" borderId="3" xfId="1" applyBorder="1" applyAlignment="1">
      <alignment wrapText="1"/>
    </xf>
    <xf numFmtId="0" fontId="1" fillId="13" borderId="5" xfId="0" applyFont="1" applyFill="1" applyBorder="1" applyAlignment="1">
      <alignment horizontal="center" vertical="center" wrapText="1"/>
    </xf>
    <xf numFmtId="0" fontId="0" fillId="0" borderId="5" xfId="0" applyBorder="1" applyAlignment="1">
      <alignment wrapText="1"/>
    </xf>
    <xf numFmtId="0" fontId="8" fillId="0" borderId="6" xfId="0" applyFont="1" applyBorder="1" applyAlignment="1">
      <alignment horizontal="left"/>
    </xf>
    <xf numFmtId="0" fontId="7" fillId="0" borderId="6" xfId="1" applyBorder="1"/>
    <xf numFmtId="0" fontId="0" fillId="0" borderId="7" xfId="0" applyBorder="1"/>
    <xf numFmtId="0" fontId="6" fillId="14" borderId="3" xfId="0" applyFont="1" applyFill="1" applyBorder="1" applyAlignment="1">
      <alignment horizontal="left" vertical="center" wrapText="1"/>
    </xf>
    <xf numFmtId="0" fontId="6" fillId="15" borderId="3" xfId="0" applyFont="1" applyFill="1" applyBorder="1" applyAlignment="1">
      <alignment horizontal="left" vertical="center" wrapText="1"/>
    </xf>
    <xf numFmtId="0" fontId="6" fillId="0" borderId="6" xfId="0" applyFont="1" applyBorder="1" applyAlignment="1">
      <alignment horizontal="center" vertical="center" wrapText="1"/>
    </xf>
    <xf numFmtId="9"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14" fontId="6" fillId="0" borderId="8" xfId="0" applyNumberFormat="1" applyFont="1" applyBorder="1" applyAlignment="1">
      <alignment horizontal="center" vertical="center" wrapText="1"/>
    </xf>
    <xf numFmtId="0" fontId="8" fillId="0" borderId="3" xfId="0" applyFont="1" applyBorder="1" applyAlignment="1">
      <alignment horizontal="left" vertical="center" wrapText="1"/>
    </xf>
    <xf numFmtId="0" fontId="0" fillId="0" borderId="8" xfId="0" applyBorder="1"/>
    <xf numFmtId="0" fontId="0" fillId="0" borderId="9" xfId="0" applyBorder="1"/>
    <xf numFmtId="0" fontId="6" fillId="0" borderId="6" xfId="0" applyFont="1" applyBorder="1" applyAlignment="1">
      <alignment horizontal="center" vertical="center"/>
    </xf>
    <xf numFmtId="0" fontId="6" fillId="0" borderId="6" xfId="0" applyFont="1" applyBorder="1" applyAlignment="1">
      <alignment vertical="center" wrapText="1"/>
    </xf>
    <xf numFmtId="14" fontId="6" fillId="0" borderId="6" xfId="0" applyNumberFormat="1" applyFont="1" applyBorder="1" applyAlignment="1">
      <alignment horizontal="center" vertical="center" wrapText="1"/>
    </xf>
    <xf numFmtId="0" fontId="6" fillId="0" borderId="7" xfId="0" applyFont="1" applyBorder="1" applyAlignment="1">
      <alignment horizontal="center" vertical="center"/>
    </xf>
    <xf numFmtId="0" fontId="7" fillId="0" borderId="3" xfId="1" applyBorder="1" applyAlignment="1">
      <alignment horizontal="left" vertical="center" wrapText="1"/>
    </xf>
    <xf numFmtId="0" fontId="6" fillId="14" borderId="3" xfId="0" applyFont="1" applyFill="1" applyBorder="1" applyAlignment="1">
      <alignment horizontal="center" vertical="center" wrapText="1"/>
    </xf>
    <xf numFmtId="0" fontId="6" fillId="14" borderId="3" xfId="0" applyFont="1" applyFill="1" applyBorder="1" applyAlignment="1">
      <alignment horizontal="center" vertical="center"/>
    </xf>
    <xf numFmtId="14" fontId="6" fillId="14" borderId="3" xfId="0" applyNumberFormat="1" applyFont="1" applyFill="1" applyBorder="1" applyAlignment="1">
      <alignment horizontal="center" vertical="center" wrapText="1"/>
    </xf>
    <xf numFmtId="0" fontId="6" fillId="14" borderId="5" xfId="0" applyFont="1" applyFill="1" applyBorder="1" applyAlignment="1">
      <alignment horizontal="left" vertical="center" wrapText="1"/>
    </xf>
    <xf numFmtId="0" fontId="0" fillId="14" borderId="3" xfId="0" applyFill="1" applyBorder="1"/>
    <xf numFmtId="0" fontId="7" fillId="0" borderId="0" xfId="1" applyAlignment="1">
      <alignment wrapText="1"/>
    </xf>
    <xf numFmtId="0" fontId="1" fillId="3" borderId="5" xfId="0" applyFont="1" applyFill="1" applyBorder="1" applyAlignment="1">
      <alignment horizontal="left" vertical="center" wrapText="1"/>
    </xf>
    <xf numFmtId="0" fontId="6" fillId="16" borderId="3" xfId="0" applyFont="1" applyFill="1" applyBorder="1" applyAlignment="1">
      <alignment horizontal="left" vertical="center" wrapText="1"/>
    </xf>
    <xf numFmtId="0" fontId="0" fillId="0" borderId="10" xfId="0" applyBorder="1" applyAlignment="1">
      <alignment vertical="center" wrapText="1"/>
    </xf>
    <xf numFmtId="0" fontId="0" fillId="2" borderId="10" xfId="0" applyFill="1" applyBorder="1" applyAlignment="1">
      <alignment vertical="center" wrapText="1"/>
    </xf>
    <xf numFmtId="0" fontId="0" fillId="13" borderId="3" xfId="0" applyFill="1" applyBorder="1"/>
    <xf numFmtId="0" fontId="0" fillId="0" borderId="0" xfId="0" applyAlignment="1">
      <alignment wrapText="1"/>
    </xf>
    <xf numFmtId="0" fontId="11" fillId="0" borderId="0" xfId="0" applyFont="1"/>
    <xf numFmtId="0" fontId="12" fillId="0" borderId="3" xfId="0" applyFont="1" applyBorder="1" applyAlignment="1">
      <alignment horizontal="center" vertical="center" wrapText="1"/>
    </xf>
    <xf numFmtId="0" fontId="13" fillId="0" borderId="0" xfId="0" applyFont="1" applyAlignment="1">
      <alignment wrapText="1"/>
    </xf>
    <xf numFmtId="0" fontId="1" fillId="17" borderId="3" xfId="0" applyFont="1" applyFill="1" applyBorder="1" applyAlignment="1">
      <alignment horizontal="center" vertical="center" wrapText="1"/>
    </xf>
    <xf numFmtId="0" fontId="1" fillId="17" borderId="5"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vertical="top" wrapText="1"/>
    </xf>
    <xf numFmtId="0" fontId="0" fillId="0" borderId="3" xfId="0" applyBorder="1" applyAlignment="1">
      <alignment horizontal="left" vertical="top" wrapText="1"/>
    </xf>
    <xf numFmtId="0" fontId="6" fillId="0" borderId="5" xfId="0" applyFont="1" applyBorder="1" applyAlignment="1">
      <alignment horizontal="center" vertical="center" wrapText="1"/>
    </xf>
    <xf numFmtId="0" fontId="3" fillId="0" borderId="0" xfId="0" applyFont="1"/>
    <xf numFmtId="0" fontId="15" fillId="0" borderId="0" xfId="1" applyFont="1"/>
    <xf numFmtId="0" fontId="16" fillId="0" borderId="3" xfId="0" applyFont="1" applyBorder="1" applyAlignment="1">
      <alignment horizontal="left" vertical="center" wrapText="1"/>
    </xf>
  </cellXfs>
  <cellStyles count="2">
    <cellStyle name="Hyperlink" xfId="1" builtinId="8"/>
    <cellStyle name="Normal" xfId="0" builtinId="0"/>
  </cellStyles>
  <dxfs count="4">
    <dxf>
      <font>
        <color rgb="FF006100"/>
      </font>
      <fill>
        <patternFill>
          <bgColor rgb="FFC6EFCE"/>
        </patternFill>
      </fill>
    </dxf>
    <dxf>
      <font>
        <color theme="0"/>
      </font>
      <fill>
        <patternFill patternType="solid">
          <bgColor rgb="FF00B0F0"/>
        </patternFill>
      </fill>
    </dxf>
    <dxf>
      <font>
        <color theme="0"/>
      </font>
      <fill>
        <patternFill patternType="solid">
          <bgColor rgb="FFFF0000"/>
        </patternFill>
      </fill>
    </dxf>
    <dxf>
      <font>
        <u/>
        <color theme="1"/>
      </font>
      <fill>
        <patternFill patternType="solid">
          <bgColor rgb="FFFFFF00"/>
        </patternFill>
      </fill>
    </dxf>
  </dxfs>
  <tableStyles count="0" defaultTableStyle="TableStyleMedium9" defaultPivotStyle="PivotStyleLight16"/>
  <colors>
    <mruColors>
      <color rgb="FFFFAB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D"/>
              <a:t>Task Proportion by Person (Live)</a:t>
            </a:r>
          </a:p>
        </c:rich>
      </c:tx>
      <c:overlay val="1"/>
    </c:title>
    <c:autoTitleDeleted val="0"/>
    <c:plotArea>
      <c:layout/>
      <c:pieChart>
        <c:varyColors val="1"/>
        <c:ser>
          <c:idx val="0"/>
          <c:order val="0"/>
          <c:tx>
            <c:strRef>
              <c:f>RealTime_Dashboard!$B$3</c:f>
              <c:strCache>
                <c:ptCount val="1"/>
                <c:pt idx="0">
                  <c:v>Total Tasks</c:v>
                </c:pt>
              </c:strCache>
            </c:strRef>
          </c:tx>
          <c:spPr>
            <a:ln>
              <a:prstDash val="solid"/>
            </a:ln>
          </c:spPr>
          <c:dPt>
            <c:idx val="1"/>
            <c:bubble3D val="0"/>
            <c:spPr>
              <a:solidFill>
                <a:srgbClr val="808080"/>
              </a:solidFill>
              <a:ln>
                <a:prstDash val="solid"/>
              </a:ln>
            </c:spPr>
            <c:extLst>
              <c:ext xmlns:c16="http://schemas.microsoft.com/office/drawing/2014/chart" uri="{C3380CC4-5D6E-409C-BE32-E72D297353CC}">
                <c16:uniqueId val="{00000001-401B-4E7C-BBB8-93C8C2D7D7E1}"/>
              </c:ext>
            </c:extLst>
          </c:dPt>
          <c:dLbls>
            <c:spPr>
              <a:noFill/>
              <a:ln>
                <a:noFill/>
                <a:prstDash val="solid"/>
              </a:ln>
            </c:spPr>
            <c:showLegendKey val="1"/>
            <c:showVal val="0"/>
            <c:showCatName val="1"/>
            <c:showSerName val="0"/>
            <c:showPercent val="1"/>
            <c:showBubbleSize val="1"/>
            <c:showLeaderLines val="1"/>
            <c:extLst>
              <c:ext xmlns:c15="http://schemas.microsoft.com/office/drawing/2012/chart" uri="{CE6537A1-D6FC-4f65-9D91-7224C49458BB}"/>
            </c:extLst>
          </c:dLbls>
          <c:cat>
            <c:strRef>
              <c:f>RealTime_Dashboard!$F$4:$F$11</c:f>
              <c:strCache>
                <c:ptCount val="8"/>
                <c:pt idx="0">
                  <c:v>Syafix</c:v>
                </c:pt>
                <c:pt idx="1">
                  <c:v>Haviz</c:v>
                </c:pt>
                <c:pt idx="2">
                  <c:v>Danang</c:v>
                </c:pt>
                <c:pt idx="3">
                  <c:v>Atha</c:v>
                </c:pt>
                <c:pt idx="4">
                  <c:v>Iqbal</c:v>
                </c:pt>
                <c:pt idx="5">
                  <c:v>Glenn</c:v>
                </c:pt>
                <c:pt idx="6">
                  <c:v>Heni</c:v>
                </c:pt>
                <c:pt idx="7">
                  <c:v>Syifa</c:v>
                </c:pt>
              </c:strCache>
            </c:strRef>
          </c:cat>
          <c:val>
            <c:numRef>
              <c:f>RealTime_Dashboard!$B$4:$B$11</c:f>
              <c:numCache>
                <c:formatCode>General</c:formatCode>
                <c:ptCount val="8"/>
                <c:pt idx="0">
                  <c:v>113</c:v>
                </c:pt>
                <c:pt idx="1">
                  <c:v>77</c:v>
                </c:pt>
                <c:pt idx="2">
                  <c:v>47</c:v>
                </c:pt>
                <c:pt idx="3">
                  <c:v>73</c:v>
                </c:pt>
                <c:pt idx="4">
                  <c:v>71</c:v>
                </c:pt>
                <c:pt idx="5">
                  <c:v>58</c:v>
                </c:pt>
                <c:pt idx="6">
                  <c:v>59</c:v>
                </c:pt>
                <c:pt idx="7">
                  <c:v>14</c:v>
                </c:pt>
              </c:numCache>
            </c:numRef>
          </c:val>
          <c:extLst>
            <c:ext xmlns:c16="http://schemas.microsoft.com/office/drawing/2014/chart" uri="{C3380CC4-5D6E-409C-BE32-E72D297353CC}">
              <c16:uniqueId val="{00000002-401B-4E7C-BBB8-93C8C2D7D7E1}"/>
            </c:ext>
          </c:extLst>
        </c:ser>
        <c:dLbls>
          <c:showLegendKey val="1"/>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D"/>
              <a:t>Total Tasks by Person (Live)</a:t>
            </a:r>
          </a:p>
        </c:rich>
      </c:tx>
      <c:overlay val="1"/>
    </c:title>
    <c:autoTitleDeleted val="0"/>
    <c:plotArea>
      <c:layout>
        <c:manualLayout>
          <c:layoutTarget val="inner"/>
          <c:xMode val="edge"/>
          <c:yMode val="edge"/>
          <c:x val="2.7718253968253968E-2"/>
          <c:y val="0.13758333333333331"/>
          <c:w val="0.80143730158730164"/>
          <c:h val="0.84477777777777774"/>
        </c:manualLayout>
      </c:layout>
      <c:barChart>
        <c:barDir val="col"/>
        <c:grouping val="clustered"/>
        <c:varyColors val="1"/>
        <c:ser>
          <c:idx val="0"/>
          <c:order val="0"/>
          <c:tx>
            <c:strRef>
              <c:f>RealTime_Dashboard!$B$3</c:f>
              <c:strCache>
                <c:ptCount val="1"/>
                <c:pt idx="0">
                  <c:v>Total Tasks</c:v>
                </c:pt>
              </c:strCache>
            </c:strRef>
          </c:tx>
          <c:spPr>
            <a:ln>
              <a:prstDash val="solid"/>
            </a:ln>
          </c:spPr>
          <c:invertIfNegative val="1"/>
          <c:dPt>
            <c:idx val="1"/>
            <c:invertIfNegative val="1"/>
            <c:bubble3D val="0"/>
            <c:spPr>
              <a:solidFill>
                <a:srgbClr val="808080"/>
              </a:solidFill>
              <a:ln>
                <a:prstDash val="solid"/>
              </a:ln>
            </c:spPr>
            <c:extLst>
              <c:ext xmlns:c16="http://schemas.microsoft.com/office/drawing/2014/chart" uri="{C3380CC4-5D6E-409C-BE32-E72D297353CC}">
                <c16:uniqueId val="{00000001-D1B9-4984-A347-00FC27C446B3}"/>
              </c:ext>
            </c:extLst>
          </c:dPt>
          <c:dLbls>
            <c:spPr>
              <a:noFill/>
              <a:ln>
                <a:noFill/>
                <a:prstDash val="solid"/>
              </a:ln>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RealTime_Dashboard!$F$4:$F$11</c:f>
              <c:strCache>
                <c:ptCount val="8"/>
                <c:pt idx="0">
                  <c:v>Syafix</c:v>
                </c:pt>
                <c:pt idx="1">
                  <c:v>Haviz</c:v>
                </c:pt>
                <c:pt idx="2">
                  <c:v>Danang</c:v>
                </c:pt>
                <c:pt idx="3">
                  <c:v>Atha</c:v>
                </c:pt>
                <c:pt idx="4">
                  <c:v>Iqbal</c:v>
                </c:pt>
                <c:pt idx="5">
                  <c:v>Glenn</c:v>
                </c:pt>
                <c:pt idx="6">
                  <c:v>Heni</c:v>
                </c:pt>
                <c:pt idx="7">
                  <c:v>Syifa</c:v>
                </c:pt>
              </c:strCache>
            </c:strRef>
          </c:cat>
          <c:val>
            <c:numRef>
              <c:f>RealTime_Dashboard!$B$4:$B$11</c:f>
              <c:numCache>
                <c:formatCode>General</c:formatCode>
                <c:ptCount val="8"/>
                <c:pt idx="0">
                  <c:v>113</c:v>
                </c:pt>
                <c:pt idx="1">
                  <c:v>77</c:v>
                </c:pt>
                <c:pt idx="2">
                  <c:v>47</c:v>
                </c:pt>
                <c:pt idx="3">
                  <c:v>73</c:v>
                </c:pt>
                <c:pt idx="4">
                  <c:v>71</c:v>
                </c:pt>
                <c:pt idx="5">
                  <c:v>58</c:v>
                </c:pt>
                <c:pt idx="6">
                  <c:v>59</c:v>
                </c:pt>
                <c:pt idx="7">
                  <c:v>14</c:v>
                </c:pt>
              </c:numCache>
            </c:numRef>
          </c:val>
          <c:extLst>
            <c:ext xmlns:c16="http://schemas.microsoft.com/office/drawing/2014/chart" uri="{C3380CC4-5D6E-409C-BE32-E72D297353CC}">
              <c16:uniqueId val="{00000002-D1B9-4984-A347-00FC27C446B3}"/>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D"/>
              <a:t>Task Status (%) by Person (Live)</a:t>
            </a:r>
          </a:p>
        </c:rich>
      </c:tx>
      <c:overlay val="1"/>
    </c:title>
    <c:autoTitleDeleted val="0"/>
    <c:plotArea>
      <c:layout>
        <c:manualLayout>
          <c:layoutTarget val="inner"/>
          <c:xMode val="edge"/>
          <c:yMode val="edge"/>
          <c:x val="2.587037037037037E-2"/>
          <c:y val="0.1093611111111111"/>
          <c:w val="0.94825925925925925"/>
          <c:h val="0.65780555555555553"/>
        </c:manualLayout>
      </c:layout>
      <c:barChart>
        <c:barDir val="col"/>
        <c:grouping val="percentStacked"/>
        <c:varyColors val="1"/>
        <c:ser>
          <c:idx val="0"/>
          <c:order val="0"/>
          <c:tx>
            <c:strRef>
              <c:f>RealTime_Dashboard!$C$3</c:f>
              <c:strCache>
                <c:ptCount val="1"/>
                <c:pt idx="0">
                  <c:v>DONE</c:v>
                </c:pt>
              </c:strCache>
            </c:strRef>
          </c:tx>
          <c:spPr>
            <a:ln>
              <a:prstDash val="solid"/>
            </a:ln>
          </c:spPr>
          <c:invertIfNegative val="1"/>
          <c:cat>
            <c:strRef>
              <c:f>RealTime_Dashboard!$F$4:$F$11</c:f>
              <c:strCache>
                <c:ptCount val="8"/>
                <c:pt idx="0">
                  <c:v>Syafix</c:v>
                </c:pt>
                <c:pt idx="1">
                  <c:v>Haviz</c:v>
                </c:pt>
                <c:pt idx="2">
                  <c:v>Danang</c:v>
                </c:pt>
                <c:pt idx="3">
                  <c:v>Atha</c:v>
                </c:pt>
                <c:pt idx="4">
                  <c:v>Iqbal</c:v>
                </c:pt>
                <c:pt idx="5">
                  <c:v>Glenn</c:v>
                </c:pt>
                <c:pt idx="6">
                  <c:v>Heni</c:v>
                </c:pt>
                <c:pt idx="7">
                  <c:v>Syifa</c:v>
                </c:pt>
              </c:strCache>
            </c:strRef>
          </c:cat>
          <c:val>
            <c:numRef>
              <c:f>RealTime_Dashboard!$C$4:$C$11</c:f>
              <c:numCache>
                <c:formatCode>General</c:formatCode>
                <c:ptCount val="8"/>
                <c:pt idx="0">
                  <c:v>105</c:v>
                </c:pt>
                <c:pt idx="1">
                  <c:v>76</c:v>
                </c:pt>
                <c:pt idx="2">
                  <c:v>47</c:v>
                </c:pt>
                <c:pt idx="3">
                  <c:v>71</c:v>
                </c:pt>
                <c:pt idx="4">
                  <c:v>71</c:v>
                </c:pt>
                <c:pt idx="5">
                  <c:v>57</c:v>
                </c:pt>
                <c:pt idx="6">
                  <c:v>59</c:v>
                </c:pt>
                <c:pt idx="7">
                  <c:v>14</c:v>
                </c:pt>
              </c:numCache>
            </c:numRef>
          </c:val>
          <c:extLst>
            <c:ext xmlns:c16="http://schemas.microsoft.com/office/drawing/2014/chart" uri="{C3380CC4-5D6E-409C-BE32-E72D297353CC}">
              <c16:uniqueId val="{00000000-9DE9-452D-A3E5-45F6B0D3F64E}"/>
            </c:ext>
          </c:extLst>
        </c:ser>
        <c:ser>
          <c:idx val="1"/>
          <c:order val="1"/>
          <c:tx>
            <c:strRef>
              <c:f>RealTime_Dashboard!$D$3</c:f>
              <c:strCache>
                <c:ptCount val="1"/>
                <c:pt idx="0">
                  <c:v>IN_PROGRESS</c:v>
                </c:pt>
              </c:strCache>
            </c:strRef>
          </c:tx>
          <c:spPr>
            <a:ln>
              <a:prstDash val="solid"/>
            </a:ln>
          </c:spPr>
          <c:invertIfNegative val="1"/>
          <c:cat>
            <c:strRef>
              <c:f>RealTime_Dashboard!$F$4:$F$11</c:f>
              <c:strCache>
                <c:ptCount val="8"/>
                <c:pt idx="0">
                  <c:v>Syafix</c:v>
                </c:pt>
                <c:pt idx="1">
                  <c:v>Haviz</c:v>
                </c:pt>
                <c:pt idx="2">
                  <c:v>Danang</c:v>
                </c:pt>
                <c:pt idx="3">
                  <c:v>Atha</c:v>
                </c:pt>
                <c:pt idx="4">
                  <c:v>Iqbal</c:v>
                </c:pt>
                <c:pt idx="5">
                  <c:v>Glenn</c:v>
                </c:pt>
                <c:pt idx="6">
                  <c:v>Heni</c:v>
                </c:pt>
                <c:pt idx="7">
                  <c:v>Syifa</c:v>
                </c:pt>
              </c:strCache>
            </c:strRef>
          </c:cat>
          <c:val>
            <c:numRef>
              <c:f>RealTime_Dashboard!$D$4:$D$11</c:f>
              <c:numCache>
                <c:formatCode>General</c:formatCode>
                <c:ptCount val="8"/>
                <c:pt idx="0">
                  <c:v>5</c:v>
                </c:pt>
                <c:pt idx="1">
                  <c:v>1</c:v>
                </c:pt>
                <c:pt idx="2">
                  <c:v>0</c:v>
                </c:pt>
                <c:pt idx="3">
                  <c:v>2</c:v>
                </c:pt>
                <c:pt idx="4">
                  <c:v>0</c:v>
                </c:pt>
                <c:pt idx="5">
                  <c:v>1</c:v>
                </c:pt>
                <c:pt idx="6">
                  <c:v>0</c:v>
                </c:pt>
                <c:pt idx="7">
                  <c:v>0</c:v>
                </c:pt>
              </c:numCache>
            </c:numRef>
          </c:val>
          <c:extLst>
            <c:ext xmlns:c16="http://schemas.microsoft.com/office/drawing/2014/chart" uri="{C3380CC4-5D6E-409C-BE32-E72D297353CC}">
              <c16:uniqueId val="{00000001-9DE9-452D-A3E5-45F6B0D3F64E}"/>
            </c:ext>
          </c:extLst>
        </c:ser>
        <c:ser>
          <c:idx val="2"/>
          <c:order val="2"/>
          <c:tx>
            <c:strRef>
              <c:f>RealTime_Dashboard!$E$3</c:f>
              <c:strCache>
                <c:ptCount val="1"/>
                <c:pt idx="0">
                  <c:v>TODO/Other</c:v>
                </c:pt>
              </c:strCache>
            </c:strRef>
          </c:tx>
          <c:spPr>
            <a:ln>
              <a:prstDash val="solid"/>
            </a:ln>
          </c:spPr>
          <c:invertIfNegative val="1"/>
          <c:cat>
            <c:strRef>
              <c:f>RealTime_Dashboard!$F$4:$F$11</c:f>
              <c:strCache>
                <c:ptCount val="8"/>
                <c:pt idx="0">
                  <c:v>Syafix</c:v>
                </c:pt>
                <c:pt idx="1">
                  <c:v>Haviz</c:v>
                </c:pt>
                <c:pt idx="2">
                  <c:v>Danang</c:v>
                </c:pt>
                <c:pt idx="3">
                  <c:v>Atha</c:v>
                </c:pt>
                <c:pt idx="4">
                  <c:v>Iqbal</c:v>
                </c:pt>
                <c:pt idx="5">
                  <c:v>Glenn</c:v>
                </c:pt>
                <c:pt idx="6">
                  <c:v>Heni</c:v>
                </c:pt>
                <c:pt idx="7">
                  <c:v>Syifa</c:v>
                </c:pt>
              </c:strCache>
            </c:strRef>
          </c:cat>
          <c:val>
            <c:numRef>
              <c:f>RealTime_Dashboard!$E$4:$E$11</c:f>
              <c:numCache>
                <c:formatCode>General</c:formatCode>
                <c:ptCount val="8"/>
                <c:pt idx="0">
                  <c:v>3</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9DE9-452D-A3E5-45F6B0D3F64E}"/>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legend>
      <c:legendPos val="r"/>
      <c:layout>
        <c:manualLayout>
          <c:xMode val="edge"/>
          <c:yMode val="edge"/>
          <c:x val="2.4052777777777781E-2"/>
          <c:y val="0.80647777777777774"/>
          <c:w val="0.17396574074074081"/>
          <c:h val="0.17021083333333331"/>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77982</xdr:colOff>
      <xdr:row>12</xdr:row>
      <xdr:rowOff>44561</xdr:rowOff>
    </xdr:from>
    <xdr:ext cx="5882106" cy="4099649"/>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519702</xdr:colOff>
      <xdr:row>11</xdr:row>
      <xdr:rowOff>177911</xdr:rowOff>
    </xdr:from>
    <xdr:ext cx="6045362" cy="4121929"/>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3228585</xdr:colOff>
      <xdr:row>36</xdr:row>
      <xdr:rowOff>2783</xdr:rowOff>
    </xdr:from>
    <xdr:ext cx="5915526" cy="3729233"/>
    <xdr:graphicFrame macro="">
      <xdr:nvGraphicFramePr>
        <xdr:cNvPr id="4" name="Chart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mailto:iqbal.ali@elistec.com" TargetMode="External"/><Relationship Id="rId13" Type="http://schemas.openxmlformats.org/officeDocument/2006/relationships/hyperlink" Target="mailto:iqbal.ali@elistec.com" TargetMode="External"/><Relationship Id="rId18" Type="http://schemas.openxmlformats.org/officeDocument/2006/relationships/hyperlink" Target="mailto:haviz.indra@elistec.com" TargetMode="External"/><Relationship Id="rId3" Type="http://schemas.openxmlformats.org/officeDocument/2006/relationships/hyperlink" Target="mailto:iqbal.ali@elistec.com" TargetMode="External"/><Relationship Id="rId7" Type="http://schemas.openxmlformats.org/officeDocument/2006/relationships/hyperlink" Target="mailto:iqbal.ali@elistec.com" TargetMode="External"/><Relationship Id="rId12" Type="http://schemas.openxmlformats.org/officeDocument/2006/relationships/hyperlink" Target="mailto:iqbal.ali@elistec.com" TargetMode="External"/><Relationship Id="rId17" Type="http://schemas.openxmlformats.org/officeDocument/2006/relationships/hyperlink" Target="mailto:iqbal.ali@elistec.com" TargetMode="External"/><Relationship Id="rId2" Type="http://schemas.openxmlformats.org/officeDocument/2006/relationships/hyperlink" Target="mailto:iqbal.ali@elistec.com" TargetMode="External"/><Relationship Id="rId16" Type="http://schemas.openxmlformats.org/officeDocument/2006/relationships/hyperlink" Target="mailto:haviz.indra@elistec.com" TargetMode="External"/><Relationship Id="rId1" Type="http://schemas.openxmlformats.org/officeDocument/2006/relationships/hyperlink" Target="mailto:iqbal.ali@elistec.com" TargetMode="External"/><Relationship Id="rId6" Type="http://schemas.openxmlformats.org/officeDocument/2006/relationships/hyperlink" Target="mailto:iqbal.ali@elistec.com" TargetMode="External"/><Relationship Id="rId11" Type="http://schemas.openxmlformats.org/officeDocument/2006/relationships/hyperlink" Target="mailto:iqbal.ali@elistec.com" TargetMode="External"/><Relationship Id="rId5" Type="http://schemas.openxmlformats.org/officeDocument/2006/relationships/hyperlink" Target="mailto:iqbal.ali@elistec.com" TargetMode="External"/><Relationship Id="rId15" Type="http://schemas.openxmlformats.org/officeDocument/2006/relationships/hyperlink" Target="mailto:heni.rahayu@elistec.com" TargetMode="External"/><Relationship Id="rId10" Type="http://schemas.openxmlformats.org/officeDocument/2006/relationships/hyperlink" Target="mailto:iqbal.ali@elistec.com" TargetMode="External"/><Relationship Id="rId19" Type="http://schemas.openxmlformats.org/officeDocument/2006/relationships/hyperlink" Target="mailto:haviz.indra@elistec.com" TargetMode="External"/><Relationship Id="rId4" Type="http://schemas.openxmlformats.org/officeDocument/2006/relationships/hyperlink" Target="mailto:iqbal.ali@elistec.com" TargetMode="External"/><Relationship Id="rId9" Type="http://schemas.openxmlformats.org/officeDocument/2006/relationships/hyperlink" Target="mailto:iqbal.ali@elistec.com" TargetMode="External"/><Relationship Id="rId14" Type="http://schemas.openxmlformats.org/officeDocument/2006/relationships/hyperlink" Target="mailto:iqbal.ali@elistec.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syifa.kurnia@elistec.com" TargetMode="External"/><Relationship Id="rId2" Type="http://schemas.openxmlformats.org/officeDocument/2006/relationships/hyperlink" Target="mailto:syifa.kurnia@elistec.com" TargetMode="External"/><Relationship Id="rId1" Type="http://schemas.openxmlformats.org/officeDocument/2006/relationships/hyperlink" Target="mailto:syifa.kurnia@elistec.com" TargetMode="External"/><Relationship Id="rId6" Type="http://schemas.openxmlformats.org/officeDocument/2006/relationships/hyperlink" Target="mailto:syifa.kurnia@elistec.com" TargetMode="External"/><Relationship Id="rId5" Type="http://schemas.openxmlformats.org/officeDocument/2006/relationships/hyperlink" Target="mailto:syifa.kurnia@elistec.com" TargetMode="External"/><Relationship Id="rId4" Type="http://schemas.openxmlformats.org/officeDocument/2006/relationships/hyperlink" Target="mailto:syifa.kurnia@elistec.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jam.dev/c/31bd2319-c95b-4f29-8ee6-22116f6c1755" TargetMode="External"/><Relationship Id="rId3" Type="http://schemas.openxmlformats.org/officeDocument/2006/relationships/hyperlink" Target="https://elistec1-my.sharepoint.com/:x:/g/personal/syafix_said_elistec_com/IQCAjPGo_c1sRJlZsjmtI8BEAZgWIzwscBGDEBZih6ngtN0?e=3bP0WZ&amp;wdExp=TEAMS-TREATMENT&amp;web=1" TargetMode="External"/><Relationship Id="rId7" Type="http://schemas.openxmlformats.org/officeDocument/2006/relationships/hyperlink" Target="https://elistec1-my.sharepoint.com/:x:/r/personal/athallah_bariq_elistec_com/_layouts/15/Doc.aspx?sourcedoc=%7B845FE71D-6A71-4558-A0D4-176D3FD6CD77%7D&amp;file=Task%20Tracker%20-%20Update.xlsx&amp;fromShare=true&amp;action=default&amp;mobileredirect=true" TargetMode="External"/><Relationship Id="rId2" Type="http://schemas.openxmlformats.org/officeDocument/2006/relationships/hyperlink" Target="https://elistec1-my.sharepoint.com/:w:/g/personal/athallah_bariq_elistec_com/IQBr5gU22nDDToZqWxpGNWCxAcoDii9dWPwgoixpXitax08?wdExp=TEAMS-TREATMENT&amp;web=1" TargetMode="External"/><Relationship Id="rId1" Type="http://schemas.openxmlformats.org/officeDocument/2006/relationships/hyperlink" Target="https://elistec1-my.sharepoint.com/:x:/r/personal/athallah_bariq_elistec_com/_layouts/15/Doc.aspx?sourcedoc=%7BA3A843C3-31C3-4B4B-9B82-8E1B74A55476%7D&amp;file=Evidence%20TRide%20-%20Copy.xlsx&amp;action=default&amp;mobileredirect=true" TargetMode="External"/><Relationship Id="rId6" Type="http://schemas.openxmlformats.org/officeDocument/2006/relationships/hyperlink" Target="https://cms-dev.tugu.com/dashboard/voucher/type" TargetMode="External"/><Relationship Id="rId5" Type="http://schemas.openxmlformats.org/officeDocument/2006/relationships/hyperlink" Target="https://elistec1-my.sharepoint.com/:x:/g/personal/syafix_said_elistec_com/IQCAjPGo_c1sRJlZsjmtI8BEAZgWIzwscBGDEBZih6ngtN0?e=3bP0WZ&amp;wdExp=TEAMS-TREATMENT&amp;web=1" TargetMode="External"/><Relationship Id="rId4" Type="http://schemas.openxmlformats.org/officeDocument/2006/relationships/hyperlink" Target="https://elistec1-my.sharepoint.com/:x:/g/personal/syafix_said_elistec_com/IQCAjPGo_c1sRJlZsjmtI8BEAZgWIzwscBGDEBZih6ngtN0?e=3bP0WZ&amp;wdExp=TEAMS-TREATMENT&amp;web=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yifa.kurnia@elistec.com" TargetMode="External"/><Relationship Id="rId13" Type="http://schemas.openxmlformats.org/officeDocument/2006/relationships/hyperlink" Target="mailto:syifa.kurnia@elistec.com" TargetMode="External"/><Relationship Id="rId18" Type="http://schemas.openxmlformats.org/officeDocument/2006/relationships/hyperlink" Target="mailto:syifa.kurnia@elistec.com" TargetMode="External"/><Relationship Id="rId3" Type="http://schemas.openxmlformats.org/officeDocument/2006/relationships/hyperlink" Target="mailto:haviz.indra@elistec.com" TargetMode="External"/><Relationship Id="rId21" Type="http://schemas.openxmlformats.org/officeDocument/2006/relationships/hyperlink" Target="mailto:syifa.kurnia@elistec.com" TargetMode="External"/><Relationship Id="rId7" Type="http://schemas.openxmlformats.org/officeDocument/2006/relationships/hyperlink" Target="mailto:haviz.indra@elistec.com" TargetMode="External"/><Relationship Id="rId12" Type="http://schemas.openxmlformats.org/officeDocument/2006/relationships/hyperlink" Target="mailto:syifa.kurnia@elistec.com" TargetMode="External"/><Relationship Id="rId17" Type="http://schemas.openxmlformats.org/officeDocument/2006/relationships/hyperlink" Target="mailto:iqbal.ali@elistec.com" TargetMode="External"/><Relationship Id="rId2" Type="http://schemas.openxmlformats.org/officeDocument/2006/relationships/hyperlink" Target="mailto:haviz.indra@elistec.com" TargetMode="External"/><Relationship Id="rId16" Type="http://schemas.openxmlformats.org/officeDocument/2006/relationships/hyperlink" Target="mailto:syifa.kurnia@elistec.com" TargetMode="External"/><Relationship Id="rId20" Type="http://schemas.openxmlformats.org/officeDocument/2006/relationships/hyperlink" Target="mailto:syifa.kurnia@elistec.com" TargetMode="External"/><Relationship Id="rId1" Type="http://schemas.openxmlformats.org/officeDocument/2006/relationships/hyperlink" Target="mailto:haviz.indra@elistec.com" TargetMode="External"/><Relationship Id="rId6" Type="http://schemas.openxmlformats.org/officeDocument/2006/relationships/hyperlink" Target="mailto:haviz.indra@elistec.com" TargetMode="External"/><Relationship Id="rId11" Type="http://schemas.openxmlformats.org/officeDocument/2006/relationships/hyperlink" Target="mailto:syifa.kurnia@elistec.com" TargetMode="External"/><Relationship Id="rId5" Type="http://schemas.openxmlformats.org/officeDocument/2006/relationships/hyperlink" Target="mailto:haviz.indra@elistec.com" TargetMode="External"/><Relationship Id="rId15" Type="http://schemas.openxmlformats.org/officeDocument/2006/relationships/hyperlink" Target="mailto:syifa.kurnia@elistec.com" TargetMode="External"/><Relationship Id="rId23" Type="http://schemas.openxmlformats.org/officeDocument/2006/relationships/hyperlink" Target="mailto:syifa.kurnia@elistec.com" TargetMode="External"/><Relationship Id="rId10" Type="http://schemas.openxmlformats.org/officeDocument/2006/relationships/hyperlink" Target="mailto:syifa.kurnia@elistec.com" TargetMode="External"/><Relationship Id="rId19" Type="http://schemas.openxmlformats.org/officeDocument/2006/relationships/hyperlink" Target="mailto:syifa.kurnia@elistec.com" TargetMode="External"/><Relationship Id="rId4" Type="http://schemas.openxmlformats.org/officeDocument/2006/relationships/hyperlink" Target="mailto:haviz.indra@elistec.com" TargetMode="External"/><Relationship Id="rId9" Type="http://schemas.openxmlformats.org/officeDocument/2006/relationships/hyperlink" Target="mailto:syifa.kurnia@elistec.com" TargetMode="External"/><Relationship Id="rId14" Type="http://schemas.openxmlformats.org/officeDocument/2006/relationships/hyperlink" Target="mailto:syifa.kurnia@elistec.com" TargetMode="External"/><Relationship Id="rId22" Type="http://schemas.openxmlformats.org/officeDocument/2006/relationships/hyperlink" Target="mailto:syifa.kurnia@elistec.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Iqbal.ali@elistec.com" TargetMode="External"/><Relationship Id="rId1" Type="http://schemas.openxmlformats.org/officeDocument/2006/relationships/hyperlink" Target="https://github.com/tugu-core-system/ts-staging/pull/27"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tugu.sharepoint.com/:i:/r/sites/TUGUFILESHARING/Documents/IT/External%20Share/2026%20Manage%20Service%20Elistec/TICS%20Retail%20Non-MV/September%202026/23%20Sep%202026.png?d=wabd6e019e1f348cb94a855e34bead69c&amp;csf=1&amp;web=1&amp;e=RRZQyS" TargetMode="External"/><Relationship Id="rId18" Type="http://schemas.openxmlformats.org/officeDocument/2006/relationships/hyperlink" Target="mailto:glenn.hakim@elistec.com" TargetMode="External"/><Relationship Id="rId26" Type="http://schemas.openxmlformats.org/officeDocument/2006/relationships/hyperlink" Target="mailto:glenn.hakim@elistec.com" TargetMode="External"/><Relationship Id="rId39" Type="http://schemas.openxmlformats.org/officeDocument/2006/relationships/hyperlink" Target="mailto:glenn.hakim@elistec.com" TargetMode="External"/><Relationship Id="rId21" Type="http://schemas.openxmlformats.org/officeDocument/2006/relationships/hyperlink" Target="mailto:glenn.hakim@elistec.com" TargetMode="External"/><Relationship Id="rId34" Type="http://schemas.openxmlformats.org/officeDocument/2006/relationships/hyperlink" Target="https://tugu.sharepoint.com/:i:/r/sites/TUGUFILESHARING/Documents/IT/External%20Share/2026%20Manage%20Service%20Elistec/TICS%20Policy%20Corporate/October%202026/19%20Oct%202026.png?d=w223c757d38ff441ca384225f6927e849&amp;csf=1&amp;web=1&amp;e=mtyag1" TargetMode="External"/><Relationship Id="rId7" Type="http://schemas.openxmlformats.org/officeDocument/2006/relationships/hyperlink" Target="https://tugu.sharepoint.com/:i:/r/sites/TUGUFILESHARING/Documents/IT/External%20Share/2026%20Manage%20Service%20Elistec/Mass%20Product/Development/September%202026/15%20Sep%202026.png?d=w08561cd235ad4b00b254e9fc7d83380e&amp;csf=1&amp;web=1&amp;e=WOcEKN" TargetMode="External"/><Relationship Id="rId12" Type="http://schemas.openxmlformats.org/officeDocument/2006/relationships/hyperlink" Target="https://tugu.sharepoint.com/:i:/r/sites/TUGUFILESHARING/Documents/IT/External%20Share/2026%20Manage%20Service%20Elistec/TICS%20Retail%20Non-MV/September%202026/22%20Sep%202026.png?d=w304076d315f2414b92ec4e78b6d76070&amp;csf=1&amp;web=1&amp;e=ItwwXO" TargetMode="External"/><Relationship Id="rId17" Type="http://schemas.openxmlformats.org/officeDocument/2006/relationships/hyperlink" Target="https://tugu.sharepoint.com/:i:/r/sites/TUGUFILESHARING/Documents/IT/External%20Share/2026%20Manage%20Service%20Elistec/TICS%20Retail%20Non-MV/September%202026/29%20Sep%202026.png?d=w65ec0bd027004133aa12f9b1f32c0301&amp;csf=1&amp;web=1&amp;e=gitbBb" TargetMode="External"/><Relationship Id="rId25" Type="http://schemas.openxmlformats.org/officeDocument/2006/relationships/hyperlink" Target="https://tugu.sharepoint.com/:i:/r/sites/TUGUFILESHARING/Documents/IT/External%20Share/2026%20Manage%20Service%20Elistec/DOTS/October%202026/13%20Oct%202026.png?d=we6ffc19127104af4a97b35e14686265c&amp;csf=1&amp;web=1&amp;e=CzRmSe" TargetMode="External"/><Relationship Id="rId33" Type="http://schemas.openxmlformats.org/officeDocument/2006/relationships/hyperlink" Target="mailto:glenn.hakim@elistec.com" TargetMode="External"/><Relationship Id="rId38" Type="http://schemas.openxmlformats.org/officeDocument/2006/relationships/hyperlink" Target="https://tugu.sharepoint.com/:i:/r/sites/TUGUFILESHARING/Documents/IT/External%20Share/2026%20Manage%20Service%20Elistec/TICS%20Policy%20Corporate/October%202026/20%20-%2021%20Oct%202026.png?d=we6ae32bd54434d01a49b28d497c48875&amp;csf=1&amp;web=1&amp;e=9jmSAH" TargetMode="External"/><Relationship Id="rId2" Type="http://schemas.openxmlformats.org/officeDocument/2006/relationships/hyperlink" Target="https://tugu.sharepoint.com/:i:/r/sites/TUGUFILESHARING/Documents/IT/External%20Share/2026%20Manage%20Service%20Elistec/DOTS/September%202026/08%20Sep%202026.png?d=we8d4a8d52e744bd09ed783ecde1c7df5&amp;csf=1&amp;web=1&amp;e=hBKA31" TargetMode="External"/><Relationship Id="rId16" Type="http://schemas.openxmlformats.org/officeDocument/2006/relationships/hyperlink" Target="https://tugu.sharepoint.com/:i:/r/sites/TUGUFILESHARING/Documents/IT/External%20Share/2026%20Manage%20Service%20Elistec/TKYC/September%202026/28%20Sep%202026.png?d=wdad51d7464124e129877b824908beae1&amp;csf=1&amp;web=1&amp;e=xEIf1U" TargetMode="External"/><Relationship Id="rId20" Type="http://schemas.openxmlformats.org/officeDocument/2006/relationships/hyperlink" Target="mailto:glenn.hakim@elistec.com" TargetMode="External"/><Relationship Id="rId29" Type="http://schemas.openxmlformats.org/officeDocument/2006/relationships/hyperlink" Target="https://tugu.sharepoint.com/:i:/r/sites/TUGUFILESHARING/Documents/IT/External%20Share/2026%20Manage%20Service%20Elistec/DOTS/October%202026/14%20Oct%202026.png?d=w2c93eb66b8d1493ab7805632acaaaf5e&amp;csf=1&amp;web=1&amp;e=mG5B5G" TargetMode="External"/><Relationship Id="rId1" Type="http://schemas.openxmlformats.org/officeDocument/2006/relationships/hyperlink" Target="https://tugu.sharepoint.com/:i:/r/sites/TUGUFILESHARING/Documents/IT/External%20Share/2026%20Manage%20Service%20Elistec/DOTS/September%202026/07%20Sep%202026.png?d=w4935327669104314ae086051f9d0005e&amp;csf=1&amp;web=1&amp;e=dA6xAJ" TargetMode="External"/><Relationship Id="rId6" Type="http://schemas.openxmlformats.org/officeDocument/2006/relationships/hyperlink" Target="https://tugu.sharepoint.com/:i:/r/sites/TUGUFILESHARING/Documents/IT/External%20Share/2026%20Manage%20Service%20Elistec/Mass%20Product/Development/September%202026/14%20Sep%202026.png?d=w1fa26648235a4e57beb842aea77878f1&amp;csf=1&amp;web=1&amp;e=jTU53L" TargetMode="External"/><Relationship Id="rId11" Type="http://schemas.openxmlformats.org/officeDocument/2006/relationships/hyperlink" Target="https://tugu.sharepoint.com/:i:/r/sites/TUGUFILESHARING/Documents/IT/External%20Share/2026%20Manage%20Service%20Elistec/Mass%20Product/Development/September%202026/21%20Sep%202026.png?d=wc08820ae893d403c8331941f5b60b3c2&amp;csf=1&amp;web=1&amp;e=WQoq0T" TargetMode="External"/><Relationship Id="rId24" Type="http://schemas.openxmlformats.org/officeDocument/2006/relationships/hyperlink" Target="https://tugu.sharepoint.com/:i:/r/sites/TUGUFILESHARING/Documents/IT/External%20Share/2026%20Manage%20Service%20Elistec/TICS%20Policy%20Corporate/October%202026/09%20-%2012%20Oct%202026.png?d=wed4a960e3c974d93a944795f2d492b89&amp;csf=1&amp;web=1&amp;e=N9qwAP" TargetMode="External"/><Relationship Id="rId32" Type="http://schemas.openxmlformats.org/officeDocument/2006/relationships/hyperlink" Target="https://tugu.sharepoint.com/:i:/r/sites/TUGUFILESHARING/Documents/IT/External%20Share/2026%20Manage%20Service%20Elistec/TICS%20Policy%20Corporate/October%202026/16%20Oct%202026.png?d=w90f4f9c42da84d17aebde6064a0fce94&amp;csf=1&amp;web=1&amp;e=mvur0p" TargetMode="External"/><Relationship Id="rId37" Type="http://schemas.openxmlformats.org/officeDocument/2006/relationships/hyperlink" Target="https://tugu.sharepoint.com/:i:/r/sites/TUGUFILESHARING/Documents/IT/External%20Share/2026%20Manage%20Service%20Elistec/TICS%20Policy%20Corporate/October%202026/20%20-%2021%20Oct%202026.png?d=we6ae32bd54434d01a49b28d497c48875&amp;csf=1&amp;web=1&amp;e=9jmSAH" TargetMode="External"/><Relationship Id="rId40" Type="http://schemas.openxmlformats.org/officeDocument/2006/relationships/hyperlink" Target="mailto:glenn.hakim@elistec.com" TargetMode="External"/><Relationship Id="rId5" Type="http://schemas.openxmlformats.org/officeDocument/2006/relationships/hyperlink" Target="https://tugu.sharepoint.com/:i:/r/sites/TUGUFILESHARING/Documents/IT/External%20Share/2026%20Manage%20Service%20Elistec/Mass%20Product/Development/September%202026/11%20Sep%202026.png?d=wfc672ae4687a47b4885bcc1b3dd3e1b8&amp;csf=1&amp;web=1&amp;e=OPPrtw" TargetMode="External"/><Relationship Id="rId15" Type="http://schemas.openxmlformats.org/officeDocument/2006/relationships/hyperlink" Target="https://tugu.sharepoint.com/:i:/r/sites/TUGUFILESHARING/Documents/IT/External%20Share/2026%20Manage%20Service%20Elistec/TKYC/September%202026/25%20Sep%202026.png?d=w6e4b0632c80741788302e0d5606645d8&amp;csf=1&amp;web=1&amp;e=lQzzVs" TargetMode="External"/><Relationship Id="rId23" Type="http://schemas.openxmlformats.org/officeDocument/2006/relationships/hyperlink" Target="mailto:glenn.hakim@elistec.com" TargetMode="External"/><Relationship Id="rId28" Type="http://schemas.openxmlformats.org/officeDocument/2006/relationships/hyperlink" Target="mailto:glenn.hakim@elistec.com" TargetMode="External"/><Relationship Id="rId36" Type="http://schemas.openxmlformats.org/officeDocument/2006/relationships/hyperlink" Target="mailto:glenn.hakim@elistec.com" TargetMode="External"/><Relationship Id="rId10" Type="http://schemas.openxmlformats.org/officeDocument/2006/relationships/hyperlink" Target="https://tugu.sharepoint.com/:i:/r/sites/TUGUFILESHARING/Documents/IT/External%20Share/2026%20Manage%20Service%20Elistec/Mass%20Product/Development/September%202026/18%20Sep%202026.png?d=w40806a5f199945258b64d69d77c15c6a&amp;csf=1&amp;web=1&amp;e=sW7SHE" TargetMode="External"/><Relationship Id="rId19" Type="http://schemas.openxmlformats.org/officeDocument/2006/relationships/hyperlink" Target="https://tugu.sharepoint.com/:i:/r/sites/TUGUFILESHARING/Documents/IT/External%20Share/2026%20Manage%20Service%20Elistec/TICS%20Policy%20Corporate/September%202026/Screenshot%20from%202026-10-02%2010-23-20.png?d=w668836fb9a994cc3bb1ad7e72f38694a&amp;csf=1&amp;web=1&amp;e=BD3waq" TargetMode="External"/><Relationship Id="rId31" Type="http://schemas.openxmlformats.org/officeDocument/2006/relationships/hyperlink" Target="mailto:glenn.hakim@elistec.com" TargetMode="External"/><Relationship Id="rId4" Type="http://schemas.openxmlformats.org/officeDocument/2006/relationships/hyperlink" Target="https://tugu.sharepoint.com/:i:/r/sites/TUGUFILESHARING/Documents/IT/External%20Share/2026%20Manage%20Service%20Elistec/DOTS/September%202026/10%20Sep%202026.png?d=wa55986a2761c484981a30ac86769783a&amp;csf=1&amp;web=1&amp;e=HgjSWh" TargetMode="External"/><Relationship Id="rId9" Type="http://schemas.openxmlformats.org/officeDocument/2006/relationships/hyperlink" Target="https://tugu.sharepoint.com/:i:/r/sites/TUGUFILESHARING/Documents/IT/External%20Share/2026%20Manage%20Service%20Elistec/Mass%20Product/Development/September%202026/17%20Sep%202026.png?d=w3db9f232190a44b28440ecde4180f56c&amp;csf=1&amp;web=1&amp;e=3XViOF" TargetMode="External"/><Relationship Id="rId14" Type="http://schemas.openxmlformats.org/officeDocument/2006/relationships/hyperlink" Target="https://tugu.sharepoint.com/:i:/r/sites/TUGUFILESHARING/Documents/IT/External%20Share/2026%20Manage%20Service%20Elistec/TICS%20Retail%20Non-MV/September%202026/24%20Sep%202026.png?d=w6d55db1b0ea544aaac36d22b95c6ecde&amp;csf=1&amp;web=1&amp;e=b7stnd" TargetMode="External"/><Relationship Id="rId22" Type="http://schemas.openxmlformats.org/officeDocument/2006/relationships/hyperlink" Target="mailto:glenn.hakim@elistec.com" TargetMode="External"/><Relationship Id="rId27" Type="http://schemas.openxmlformats.org/officeDocument/2006/relationships/hyperlink" Target="mailto:glenn.hakim@elistec.com" TargetMode="External"/><Relationship Id="rId30" Type="http://schemas.openxmlformats.org/officeDocument/2006/relationships/hyperlink" Target="https://tugu.sharepoint.com/:i:/r/sites/TUGUFILESHARING/Documents/IT/External%20Share/2026%20Manage%20Service%20Elistec/DOTS/October%202026/15%20Oct%202026.png?d=w59b623aea7ba4fc3af99594d0d5e3497&amp;csf=1&amp;web=1&amp;e=4Os9lf" TargetMode="External"/><Relationship Id="rId35" Type="http://schemas.openxmlformats.org/officeDocument/2006/relationships/hyperlink" Target="mailto:glenn.hakim@elistec.com" TargetMode="External"/><Relationship Id="rId8" Type="http://schemas.openxmlformats.org/officeDocument/2006/relationships/hyperlink" Target="https://tugu.sharepoint.com/:i:/r/sites/TUGUFILESHARING/Documents/IT/External%20Share/2026%20Manage%20Service%20Elistec/DOTS/September%202026/16%20Sep%202026.png?d=wbbb703293a5f453bbe52eca3de949a24&amp;csf=1&amp;web=1&amp;e=D5LXGK" TargetMode="External"/><Relationship Id="rId3" Type="http://schemas.openxmlformats.org/officeDocument/2006/relationships/hyperlink" Target="https://tugu.sharepoint.com/:i:/r/sites/TUGUFILESHARING/Documents/IT/External%20Share/2026%20Manage%20Service%20Elistec/Mass%20Product/Development/September%202026/09%20Sep%202026.png?d=we8894df683fc46ae981a32258d4c47f1&amp;csf=1&amp;web=1&amp;e=43Xqsq"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github.com/tugu-surronding-systems/TTSV2/pull/5" TargetMode="External"/><Relationship Id="rId13" Type="http://schemas.openxmlformats.org/officeDocument/2006/relationships/hyperlink" Target="https://github.com/tugu-rnd/TICS_v2/pull/14" TargetMode="External"/><Relationship Id="rId3" Type="http://schemas.openxmlformats.org/officeDocument/2006/relationships/hyperlink" Target="https://github.com/tugu-surronding-systems/TTSV2/pull/5" TargetMode="External"/><Relationship Id="rId7" Type="http://schemas.openxmlformats.org/officeDocument/2006/relationships/hyperlink" Target="https://github.com/tugu-surronding-systems/TTSV2/pull/5" TargetMode="External"/><Relationship Id="rId12" Type="http://schemas.openxmlformats.org/officeDocument/2006/relationships/hyperlink" Target="https://github.com/tugu-surronding-systems/TTSV2/pull/5" TargetMode="External"/><Relationship Id="rId2" Type="http://schemas.openxmlformats.org/officeDocument/2006/relationships/hyperlink" Target="https://github.com/tugu-surronding-systems/TTSV2/pull/5" TargetMode="External"/><Relationship Id="rId16" Type="http://schemas.openxmlformats.org/officeDocument/2006/relationships/hyperlink" Target="https://github.com/tugu-surronding-systems/TTSV2/pull/5" TargetMode="External"/><Relationship Id="rId1" Type="http://schemas.openxmlformats.org/officeDocument/2006/relationships/hyperlink" Target="https://github.com/tugu-tics/tics-reinsurance/pulls" TargetMode="External"/><Relationship Id="rId6" Type="http://schemas.openxmlformats.org/officeDocument/2006/relationships/hyperlink" Target="https://github.com/tugu-surronding-systems/TTSV2/pull/5" TargetMode="External"/><Relationship Id="rId11" Type="http://schemas.openxmlformats.org/officeDocument/2006/relationships/hyperlink" Target="https://github.com/tugu-surronding-systems/TTSV2/pull/5" TargetMode="External"/><Relationship Id="rId5" Type="http://schemas.openxmlformats.org/officeDocument/2006/relationships/hyperlink" Target="https://github.com/tugu-surronding-systems/TTSV2/pull/5" TargetMode="External"/><Relationship Id="rId15" Type="http://schemas.openxmlformats.org/officeDocument/2006/relationships/hyperlink" Target="https://github.com/tugu-surronding-systems/TTSV2/pull/6" TargetMode="External"/><Relationship Id="rId10" Type="http://schemas.openxmlformats.org/officeDocument/2006/relationships/hyperlink" Target="https://github.com/tugu-surronding-systems/TTSV2/pull/5" TargetMode="External"/><Relationship Id="rId4" Type="http://schemas.openxmlformats.org/officeDocument/2006/relationships/hyperlink" Target="https://github.com/tugu-surronding-systems/TTSV2/pull/5" TargetMode="External"/><Relationship Id="rId9" Type="http://schemas.openxmlformats.org/officeDocument/2006/relationships/hyperlink" Target="https://github.com/tugu-surronding-systems/TTSV2/pull/5" TargetMode="External"/><Relationship Id="rId14" Type="http://schemas.openxmlformats.org/officeDocument/2006/relationships/hyperlink" Target="https://github.com/tugu-rnd/TICS_v2/pull/1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syifa.kurnia@elistec.com" TargetMode="External"/><Relationship Id="rId13" Type="http://schemas.openxmlformats.org/officeDocument/2006/relationships/hyperlink" Target="mailto:syifa.kurnia@elistec.com" TargetMode="External"/><Relationship Id="rId3" Type="http://schemas.openxmlformats.org/officeDocument/2006/relationships/hyperlink" Target="mailto:syifa.kurnia@elistec.com" TargetMode="External"/><Relationship Id="rId7" Type="http://schemas.openxmlformats.org/officeDocument/2006/relationships/hyperlink" Target="mailto:syifa.kurnia@elistec.com" TargetMode="External"/><Relationship Id="rId12" Type="http://schemas.openxmlformats.org/officeDocument/2006/relationships/hyperlink" Target="mailto:syifa.kurnia@elistec.com" TargetMode="External"/><Relationship Id="rId2" Type="http://schemas.openxmlformats.org/officeDocument/2006/relationships/hyperlink" Target="mailto:syifa.kurnia@elistec.com" TargetMode="External"/><Relationship Id="rId1" Type="http://schemas.openxmlformats.org/officeDocument/2006/relationships/hyperlink" Target="mailto:syifa.kurnia@elistec.com" TargetMode="External"/><Relationship Id="rId6" Type="http://schemas.openxmlformats.org/officeDocument/2006/relationships/hyperlink" Target="mailto:syifa.kurnia@elistec.com" TargetMode="External"/><Relationship Id="rId11" Type="http://schemas.openxmlformats.org/officeDocument/2006/relationships/hyperlink" Target="mailto:syifa.kurnia@elistec.com" TargetMode="External"/><Relationship Id="rId5" Type="http://schemas.openxmlformats.org/officeDocument/2006/relationships/hyperlink" Target="mailto:syifa.kurnia@elistec.com" TargetMode="External"/><Relationship Id="rId10" Type="http://schemas.openxmlformats.org/officeDocument/2006/relationships/hyperlink" Target="mailto:syifa.kurnia@elistec.com" TargetMode="External"/><Relationship Id="rId4" Type="http://schemas.openxmlformats.org/officeDocument/2006/relationships/hyperlink" Target="mailto:syifa.kurnia@elistec.com" TargetMode="External"/><Relationship Id="rId9" Type="http://schemas.openxmlformats.org/officeDocument/2006/relationships/hyperlink" Target="mailto:syifa.kurnia@elistec.com" TargetMode="External"/><Relationship Id="rId14" Type="http://schemas.openxmlformats.org/officeDocument/2006/relationships/hyperlink" Target="mailto:syifa.kurnia@elistec.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intraapps.tugu.com/arms/projects/310" TargetMode="External"/><Relationship Id="rId1" Type="http://schemas.openxmlformats.org/officeDocument/2006/relationships/hyperlink" Target="https://intraapps.tugu.com/arms/projects/3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workbookViewId="0">
      <selection activeCell="C1" sqref="C1"/>
    </sheetView>
  </sheetViews>
  <sheetFormatPr baseColWidth="10" defaultColWidth="8.83203125" defaultRowHeight="15" x14ac:dyDescent="0.2"/>
  <cols>
    <col min="1" max="1" width="45" customWidth="1"/>
    <col min="2" max="2" width="28" customWidth="1"/>
    <col min="3" max="3" width="18.33203125" customWidth="1"/>
  </cols>
  <sheetData>
    <row r="1" spans="1:3" ht="16" x14ac:dyDescent="0.2">
      <c r="A1" s="1" t="s">
        <v>0</v>
      </c>
      <c r="B1" s="1" t="s">
        <v>1</v>
      </c>
      <c r="C1" s="11" t="s">
        <v>2</v>
      </c>
    </row>
    <row r="2" spans="1:3" ht="43.5" customHeight="1" x14ac:dyDescent="0.2">
      <c r="A2" s="2" t="s">
        <v>3</v>
      </c>
      <c r="B2" s="2" t="s">
        <v>4</v>
      </c>
      <c r="C2" s="12" t="s">
        <v>5</v>
      </c>
    </row>
    <row r="3" spans="1:3" ht="43.5" customHeight="1" x14ac:dyDescent="0.2">
      <c r="A3" s="2" t="s">
        <v>6</v>
      </c>
      <c r="B3" s="2" t="s">
        <v>7</v>
      </c>
      <c r="C3" s="12" t="s">
        <v>8</v>
      </c>
    </row>
    <row r="4" spans="1:3" ht="43.5" customHeight="1" x14ac:dyDescent="0.2">
      <c r="A4" s="2" t="s">
        <v>9</v>
      </c>
      <c r="B4" s="2" t="s">
        <v>10</v>
      </c>
      <c r="C4" s="12" t="s">
        <v>11</v>
      </c>
    </row>
    <row r="5" spans="1:3" ht="43.5" customHeight="1" x14ac:dyDescent="0.2">
      <c r="A5" s="2" t="s">
        <v>12</v>
      </c>
      <c r="B5" s="2" t="s">
        <v>13</v>
      </c>
      <c r="C5" s="12" t="s">
        <v>14</v>
      </c>
    </row>
    <row r="6" spans="1:3" ht="43.5" customHeight="1" x14ac:dyDescent="0.2">
      <c r="A6" s="2" t="s">
        <v>15</v>
      </c>
      <c r="B6" s="2" t="s">
        <v>16</v>
      </c>
      <c r="C6" s="12" t="s">
        <v>17</v>
      </c>
    </row>
    <row r="7" spans="1:3" ht="43.5" customHeight="1" x14ac:dyDescent="0.2">
      <c r="A7" s="2" t="s">
        <v>18</v>
      </c>
      <c r="B7" s="2" t="s">
        <v>19</v>
      </c>
      <c r="C7" s="12" t="s">
        <v>20</v>
      </c>
    </row>
    <row r="8" spans="1:3" ht="43.5" customHeight="1" x14ac:dyDescent="0.2">
      <c r="A8" s="2" t="s">
        <v>21</v>
      </c>
      <c r="B8" s="2" t="s">
        <v>22</v>
      </c>
      <c r="C8" s="12" t="s">
        <v>23</v>
      </c>
    </row>
    <row r="9" spans="1:3" ht="43.5" customHeight="1" x14ac:dyDescent="0.2">
      <c r="A9" s="2" t="s">
        <v>24</v>
      </c>
      <c r="B9" s="2" t="s">
        <v>25</v>
      </c>
      <c r="C9" s="12" t="s">
        <v>26</v>
      </c>
    </row>
    <row r="10" spans="1:3" ht="43.5" customHeight="1" x14ac:dyDescent="0.2">
      <c r="A10" s="2" t="s">
        <v>27</v>
      </c>
      <c r="B10" s="2" t="s">
        <v>28</v>
      </c>
      <c r="C10" s="12" t="s">
        <v>29</v>
      </c>
    </row>
    <row r="11" spans="1:3" ht="43.5" customHeight="1" x14ac:dyDescent="0.2">
      <c r="A11" s="2" t="s">
        <v>30</v>
      </c>
      <c r="B11" s="2" t="s">
        <v>31</v>
      </c>
      <c r="C11" s="12" t="s">
        <v>32</v>
      </c>
    </row>
    <row r="12" spans="1:3" ht="43.5" customHeight="1" x14ac:dyDescent="0.2">
      <c r="A12" s="2" t="s">
        <v>33</v>
      </c>
      <c r="B12" s="2" t="s">
        <v>34</v>
      </c>
      <c r="C12" s="12" t="s">
        <v>35</v>
      </c>
    </row>
    <row r="13" spans="1:3" ht="43.5" customHeight="1" x14ac:dyDescent="0.2">
      <c r="A13" s="2" t="s">
        <v>36</v>
      </c>
      <c r="B13" s="2" t="s">
        <v>37</v>
      </c>
      <c r="C13" s="12" t="s">
        <v>38</v>
      </c>
    </row>
    <row r="14" spans="1:3" ht="43.5" customHeight="1" x14ac:dyDescent="0.2">
      <c r="A14" s="2" t="s">
        <v>39</v>
      </c>
      <c r="B14" s="2" t="s">
        <v>40</v>
      </c>
      <c r="C14" s="12" t="s">
        <v>41</v>
      </c>
    </row>
    <row r="15" spans="1:3" ht="43.5" customHeight="1" x14ac:dyDescent="0.2">
      <c r="A15" s="2" t="s">
        <v>42</v>
      </c>
      <c r="B15" s="2" t="s">
        <v>43</v>
      </c>
      <c r="C15" s="12" t="s">
        <v>44</v>
      </c>
    </row>
    <row r="16" spans="1:3" ht="43.5" customHeight="1" x14ac:dyDescent="0.2">
      <c r="A16" s="2" t="s">
        <v>45</v>
      </c>
      <c r="B16" s="2" t="s">
        <v>46</v>
      </c>
      <c r="C16" s="12" t="s">
        <v>47</v>
      </c>
    </row>
    <row r="17" spans="1:2" ht="43.5" customHeight="1" x14ac:dyDescent="0.2">
      <c r="A17" s="2" t="s">
        <v>48</v>
      </c>
      <c r="B17" s="2" t="s">
        <v>49</v>
      </c>
    </row>
    <row r="18" spans="1:2" ht="29" customHeight="1" x14ac:dyDescent="0.2">
      <c r="A18" s="2" t="s">
        <v>50</v>
      </c>
      <c r="B18" s="2" t="s">
        <v>51</v>
      </c>
    </row>
    <row r="19" spans="1:2" ht="29" customHeight="1" x14ac:dyDescent="0.2">
      <c r="A19" s="2" t="s">
        <v>52</v>
      </c>
      <c r="B19" s="2" t="s">
        <v>53</v>
      </c>
    </row>
    <row r="20" spans="1:2" ht="29" customHeight="1" x14ac:dyDescent="0.2">
      <c r="A20" s="2" t="s">
        <v>54</v>
      </c>
      <c r="B20" s="2" t="s">
        <v>55</v>
      </c>
    </row>
    <row r="21" spans="1:2" ht="29" customHeight="1" x14ac:dyDescent="0.2">
      <c r="A21" s="2" t="s">
        <v>56</v>
      </c>
      <c r="B21" s="2" t="s">
        <v>57</v>
      </c>
    </row>
    <row r="22" spans="1:2" ht="29" customHeight="1" x14ac:dyDescent="0.2">
      <c r="A22" s="2" t="s">
        <v>58</v>
      </c>
      <c r="B22" s="2" t="s">
        <v>59</v>
      </c>
    </row>
    <row r="23" spans="1:2" ht="29" customHeight="1" x14ac:dyDescent="0.2">
      <c r="A23" s="2" t="s">
        <v>60</v>
      </c>
      <c r="B23" s="2" t="s">
        <v>61</v>
      </c>
    </row>
    <row r="24" spans="1:2" ht="29" customHeight="1" x14ac:dyDescent="0.2">
      <c r="A24" s="2" t="s">
        <v>62</v>
      </c>
      <c r="B24" s="2" t="s">
        <v>63</v>
      </c>
    </row>
    <row r="25" spans="1:2" ht="29" customHeight="1" x14ac:dyDescent="0.2">
      <c r="A25" s="2" t="s">
        <v>64</v>
      </c>
      <c r="B25" s="2" t="s">
        <v>65</v>
      </c>
    </row>
    <row r="26" spans="1:2" ht="43.5" customHeight="1" x14ac:dyDescent="0.2">
      <c r="A26" s="2" t="s">
        <v>66</v>
      </c>
      <c r="B26" s="2" t="s">
        <v>67</v>
      </c>
    </row>
    <row r="27" spans="1:2" ht="43.5" customHeight="1" x14ac:dyDescent="0.2">
      <c r="A27" s="2" t="s">
        <v>68</v>
      </c>
      <c r="B27" s="2" t="s">
        <v>69</v>
      </c>
    </row>
    <row r="28" spans="1:2" ht="43.5" customHeight="1" x14ac:dyDescent="0.2">
      <c r="A28" s="2" t="s">
        <v>70</v>
      </c>
      <c r="B28" s="2" t="s">
        <v>71</v>
      </c>
    </row>
    <row r="29" spans="1:2" ht="43.5" customHeight="1" x14ac:dyDescent="0.2">
      <c r="A29" s="2" t="s">
        <v>72</v>
      </c>
      <c r="B29" s="2" t="s">
        <v>73</v>
      </c>
    </row>
    <row r="30" spans="1:2" ht="43.5" customHeight="1" x14ac:dyDescent="0.2">
      <c r="A30" s="2" t="s">
        <v>74</v>
      </c>
      <c r="B30" s="2" t="s">
        <v>75</v>
      </c>
    </row>
    <row r="31" spans="1:2" ht="43.5" customHeight="1" x14ac:dyDescent="0.2">
      <c r="A31" s="2" t="s">
        <v>76</v>
      </c>
      <c r="B31" s="2" t="s">
        <v>77</v>
      </c>
    </row>
    <row r="32" spans="1:2" ht="43.5" customHeight="1" x14ac:dyDescent="0.2">
      <c r="A32" s="2" t="s">
        <v>78</v>
      </c>
      <c r="B32" s="2" t="s">
        <v>79</v>
      </c>
    </row>
    <row r="33" spans="1:2" ht="16" x14ac:dyDescent="0.2">
      <c r="A33" s="2" t="s">
        <v>80</v>
      </c>
      <c r="B33" s="2" t="s">
        <v>81</v>
      </c>
    </row>
    <row r="34" spans="1:2" ht="16" x14ac:dyDescent="0.2">
      <c r="A34" s="2" t="s">
        <v>82</v>
      </c>
    </row>
    <row r="35" spans="1:2" ht="16" x14ac:dyDescent="0.2">
      <c r="A35" s="2" t="s">
        <v>83</v>
      </c>
    </row>
    <row r="36" spans="1:2" ht="16" x14ac:dyDescent="0.2">
      <c r="A36" s="2" t="s">
        <v>84</v>
      </c>
    </row>
    <row r="37" spans="1:2" ht="16" x14ac:dyDescent="0.2">
      <c r="A37" s="2" t="s">
        <v>85</v>
      </c>
    </row>
    <row r="38" spans="1:2" ht="16" x14ac:dyDescent="0.2">
      <c r="A38" s="2" t="s">
        <v>86</v>
      </c>
    </row>
    <row r="39" spans="1:2" ht="16" x14ac:dyDescent="0.2">
      <c r="A39" s="2" t="s">
        <v>87</v>
      </c>
    </row>
    <row r="40" spans="1:2" ht="16" x14ac:dyDescent="0.2">
      <c r="A40" s="2" t="s">
        <v>88</v>
      </c>
    </row>
    <row r="41" spans="1:2" ht="16" x14ac:dyDescent="0.2">
      <c r="A41" s="2" t="s">
        <v>89</v>
      </c>
    </row>
    <row r="42" spans="1:2" ht="16" x14ac:dyDescent="0.2">
      <c r="A42" s="2" t="s">
        <v>90</v>
      </c>
    </row>
    <row r="43" spans="1:2" ht="16" x14ac:dyDescent="0.2">
      <c r="A43" s="2" t="s">
        <v>91</v>
      </c>
    </row>
    <row r="44" spans="1:2" ht="16" x14ac:dyDescent="0.2">
      <c r="A44" s="2" t="s">
        <v>92</v>
      </c>
    </row>
    <row r="45" spans="1:2" ht="16" x14ac:dyDescent="0.2">
      <c r="A45" s="2" t="s">
        <v>93</v>
      </c>
    </row>
    <row r="46" spans="1:2" ht="16" x14ac:dyDescent="0.2">
      <c r="A46" s="2" t="s">
        <v>94</v>
      </c>
    </row>
    <row r="47" spans="1:2" ht="16" x14ac:dyDescent="0.2">
      <c r="A47" s="2" t="s">
        <v>95</v>
      </c>
    </row>
    <row r="48" spans="1:2" ht="16" x14ac:dyDescent="0.2">
      <c r="A48" s="2" t="s">
        <v>96</v>
      </c>
    </row>
    <row r="49" spans="1:1" ht="16" x14ac:dyDescent="0.2">
      <c r="A49" s="2" t="s">
        <v>97</v>
      </c>
    </row>
    <row r="50" spans="1:1" ht="16" x14ac:dyDescent="0.2">
      <c r="A50" s="2" t="s">
        <v>98</v>
      </c>
    </row>
    <row r="51" spans="1:1" ht="16" x14ac:dyDescent="0.2">
      <c r="A51" s="2" t="s">
        <v>99</v>
      </c>
    </row>
    <row r="52" spans="1:1" ht="16" x14ac:dyDescent="0.2">
      <c r="A52" s="2" t="s">
        <v>100</v>
      </c>
    </row>
    <row r="53" spans="1:1" ht="29" customHeight="1" x14ac:dyDescent="0.2">
      <c r="A53" s="2" t="s">
        <v>101</v>
      </c>
    </row>
    <row r="54" spans="1:1" ht="16" x14ac:dyDescent="0.2">
      <c r="A54" s="2" t="s">
        <v>102</v>
      </c>
    </row>
    <row r="55" spans="1:1" ht="16" x14ac:dyDescent="0.2">
      <c r="A55" s="2" t="s">
        <v>103</v>
      </c>
    </row>
    <row r="56" spans="1:1" ht="16" x14ac:dyDescent="0.2">
      <c r="A56" s="2" t="s">
        <v>104</v>
      </c>
    </row>
    <row r="57" spans="1:1" ht="16" x14ac:dyDescent="0.2">
      <c r="A57" s="2"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topLeftCell="A5" zoomScale="57" zoomScaleNormal="55" workbookViewId="0">
      <selection activeCell="L7" sqref="L7"/>
    </sheetView>
  </sheetViews>
  <sheetFormatPr baseColWidth="10" defaultColWidth="8.83203125" defaultRowHeight="15" x14ac:dyDescent="0.2"/>
  <cols>
    <col min="1" max="1" width="49.83203125" customWidth="1"/>
    <col min="2" max="5" width="18" customWidth="1"/>
    <col min="6" max="6" width="15" customWidth="1"/>
  </cols>
  <sheetData>
    <row r="1" spans="1:6" ht="18.5" customHeight="1" x14ac:dyDescent="0.2">
      <c r="A1" s="3" t="s">
        <v>106</v>
      </c>
    </row>
    <row r="3" spans="1:6" ht="16" x14ac:dyDescent="0.2">
      <c r="A3" s="9" t="s">
        <v>107</v>
      </c>
      <c r="B3" s="9" t="s">
        <v>108</v>
      </c>
      <c r="C3" s="9" t="s">
        <v>109</v>
      </c>
      <c r="D3" s="9" t="s">
        <v>110</v>
      </c>
      <c r="E3" s="9" t="s">
        <v>111</v>
      </c>
      <c r="F3" s="9" t="s">
        <v>112</v>
      </c>
    </row>
    <row r="4" spans="1:6" ht="16" x14ac:dyDescent="0.2">
      <c r="A4" s="2" t="s">
        <v>113</v>
      </c>
      <c r="B4" s="2">
        <f>COUNTIFS(Master_Data!$A:$A, $A4, Master_Data!$C:$C, "&lt;&gt;")</f>
        <v>113</v>
      </c>
      <c r="C4" s="2">
        <f>COUNTIFS(Master_Data!$A:$A, $A4, Master_Data!$D:$D, "DONE")</f>
        <v>105</v>
      </c>
      <c r="D4" s="2">
        <f>COUNTIFS(Master_Data!$A:$A, $A4, Master_Data!$D:$D, "IN_PROGRESS")</f>
        <v>5</v>
      </c>
      <c r="E4" s="2">
        <f t="shared" ref="E4:E10" si="0">$B4-$C4-$D4</f>
        <v>3</v>
      </c>
      <c r="F4" s="4" t="s">
        <v>114</v>
      </c>
    </row>
    <row r="5" spans="1:6" ht="16" x14ac:dyDescent="0.2">
      <c r="A5" s="2" t="s">
        <v>115</v>
      </c>
      <c r="B5" s="2">
        <f>COUNTIFS(Master_Data!$A:$A, $A5, Master_Data!$C:$C, "&lt;&gt;")</f>
        <v>77</v>
      </c>
      <c r="C5" s="2">
        <f>COUNTIFS(Master_Data!$A:$A, $A5, Master_Data!$D:$D, "DONE")</f>
        <v>76</v>
      </c>
      <c r="D5" s="2">
        <f>COUNTIFS(Master_Data!$A:$A, $A5, Master_Data!$D:$D, "IN_PROGRESS")</f>
        <v>1</v>
      </c>
      <c r="E5" s="2">
        <f t="shared" si="0"/>
        <v>0</v>
      </c>
      <c r="F5" s="10" t="s">
        <v>116</v>
      </c>
    </row>
    <row r="6" spans="1:6" ht="16" x14ac:dyDescent="0.2">
      <c r="A6" s="2" t="s">
        <v>117</v>
      </c>
      <c r="B6" s="2">
        <f>COUNTIFS(Master_Data!$A:$A, $A6, Master_Data!$C:$C, "&lt;&gt;")</f>
        <v>47</v>
      </c>
      <c r="C6" s="2">
        <f>COUNTIFS(Master_Data!$A:$A, $A6, Master_Data!$D:$D, "DONE")</f>
        <v>47</v>
      </c>
      <c r="D6" s="2">
        <f>COUNTIFS(Master_Data!$A:$A, $A6, Master_Data!$D:$D, "IN_PROGRESS")</f>
        <v>0</v>
      </c>
      <c r="E6" s="2">
        <f t="shared" si="0"/>
        <v>0</v>
      </c>
      <c r="F6" s="5" t="s">
        <v>118</v>
      </c>
    </row>
    <row r="7" spans="1:6" ht="16" x14ac:dyDescent="0.2">
      <c r="A7" s="2" t="s">
        <v>119</v>
      </c>
      <c r="B7" s="2">
        <f>COUNTIFS(Master_Data!$A:$A, $A7, Master_Data!$C:$C, "&lt;&gt;")</f>
        <v>73</v>
      </c>
      <c r="C7" s="2">
        <f>COUNTIFS(Master_Data!$A:$A, $A7, Master_Data!$D:$D, "DONE")</f>
        <v>71</v>
      </c>
      <c r="D7" s="2">
        <f>COUNTIFS(Master_Data!$A:$A, $A7, Master_Data!$D:$D, "IN_PROGRESS")</f>
        <v>2</v>
      </c>
      <c r="E7" s="2">
        <f t="shared" si="0"/>
        <v>0</v>
      </c>
      <c r="F7" s="6" t="s">
        <v>120</v>
      </c>
    </row>
    <row r="8" spans="1:6" ht="16" x14ac:dyDescent="0.2">
      <c r="A8" s="2" t="s">
        <v>121</v>
      </c>
      <c r="B8" s="2">
        <f>COUNTIFS(Master_Data!$A:$A, $A8, Master_Data!$C:$C, "&lt;&gt;")</f>
        <v>71</v>
      </c>
      <c r="C8" s="2">
        <f>COUNTIFS(Master_Data!$A:$A, $A8, Master_Data!$D:$D, "DONE")</f>
        <v>71</v>
      </c>
      <c r="D8" s="2">
        <f>COUNTIFS(Master_Data!$A:$A, $A8, Master_Data!$D:$D, "IN_PROGRESS")</f>
        <v>0</v>
      </c>
      <c r="E8" s="2">
        <f t="shared" si="0"/>
        <v>0</v>
      </c>
      <c r="F8" s="7" t="s">
        <v>122</v>
      </c>
    </row>
    <row r="9" spans="1:6" ht="16" x14ac:dyDescent="0.2">
      <c r="A9" s="2" t="s">
        <v>123</v>
      </c>
      <c r="B9" s="2">
        <f>COUNTIFS(Master_Data!$A:$A, $A9, Master_Data!$C:$C, "&lt;&gt;")</f>
        <v>58</v>
      </c>
      <c r="C9" s="2">
        <f>COUNTIFS(Master_Data!$A:$A, $A9, Master_Data!$D:$D, "DONE")</f>
        <v>57</v>
      </c>
      <c r="D9" s="2">
        <f>COUNTIFS(Master_Data!$A:$A, $A9, Master_Data!$D:$D, "IN_PROGRESS")</f>
        <v>1</v>
      </c>
      <c r="E9" s="2">
        <f t="shared" si="0"/>
        <v>0</v>
      </c>
      <c r="F9" s="8" t="s">
        <v>124</v>
      </c>
    </row>
    <row r="10" spans="1:6" ht="16" x14ac:dyDescent="0.2">
      <c r="A10" s="91" t="s">
        <v>125</v>
      </c>
      <c r="B10" s="91">
        <f>COUNTIFS(Master_Data!$A:$A, $A10, Master_Data!$C:$C, "&lt;&gt;")</f>
        <v>59</v>
      </c>
      <c r="C10" s="91">
        <f>COUNTIFS(Master_Data!$A:$A, $A10, Master_Data!$D:$D, "DONE")</f>
        <v>59</v>
      </c>
      <c r="D10" s="91">
        <f>COUNTIFS(Master_Data!$A:$A, $A10, Master_Data!$D:$D, "IN_PROGRESS")</f>
        <v>0</v>
      </c>
      <c r="E10" s="91">
        <f t="shared" si="0"/>
        <v>0</v>
      </c>
      <c r="F10" s="92" t="s">
        <v>126</v>
      </c>
    </row>
    <row r="11" spans="1:6" x14ac:dyDescent="0.2">
      <c r="A11" s="48" t="s">
        <v>127</v>
      </c>
      <c r="B11" s="48">
        <f>COUNTIF(Syifa!$D$2:$D$198, "&lt;&gt;")</f>
        <v>14</v>
      </c>
      <c r="C11" s="48">
        <f>COUNTIF(Syifa!$E:$E, "DONE")</f>
        <v>14</v>
      </c>
      <c r="D11" s="48">
        <f>COUNTIF(Syifa!$E:$E, "IN_PROGRESS")</f>
        <v>0</v>
      </c>
      <c r="E11" s="48">
        <f>B11-C11-D11</f>
        <v>0</v>
      </c>
      <c r="F11" s="93" t="s">
        <v>128</v>
      </c>
    </row>
    <row r="13" spans="1:6" x14ac:dyDescent="0.2">
      <c r="E13" t="s">
        <v>129</v>
      </c>
    </row>
    <row r="15" spans="1:6" x14ac:dyDescent="0.2">
      <c r="E15" t="s">
        <v>129</v>
      </c>
    </row>
    <row r="46" spans="12:12" x14ac:dyDescent="0.2">
      <c r="L46" t="s">
        <v>130</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51"/>
  <sheetViews>
    <sheetView topLeftCell="A1047" workbookViewId="0">
      <selection activeCell="A902" sqref="A902"/>
    </sheetView>
  </sheetViews>
  <sheetFormatPr baseColWidth="10" defaultColWidth="8.83203125" defaultRowHeight="15" x14ac:dyDescent="0.2"/>
  <cols>
    <col min="1" max="6" width="18" customWidth="1"/>
    <col min="7" max="7" width="10.6640625" bestFit="1" customWidth="1"/>
    <col min="8" max="8" width="170.83203125" bestFit="1" customWidth="1"/>
  </cols>
  <sheetData>
    <row r="1" spans="1:8" ht="16" x14ac:dyDescent="0.2">
      <c r="A1" s="2" t="s">
        <v>107</v>
      </c>
      <c r="B1" s="2" t="s">
        <v>131</v>
      </c>
      <c r="C1" s="2" t="s">
        <v>132</v>
      </c>
      <c r="D1" s="2" t="s">
        <v>133</v>
      </c>
      <c r="E1" s="2" t="s">
        <v>134</v>
      </c>
      <c r="F1" s="2" t="s">
        <v>135</v>
      </c>
      <c r="G1" s="2" t="s">
        <v>136</v>
      </c>
      <c r="H1" s="2" t="s">
        <v>137</v>
      </c>
    </row>
    <row r="2" spans="1:8" ht="29" customHeight="1" x14ac:dyDescent="0.2">
      <c r="A2" t="str">
        <f>IF(INDEX(Syafix!$D:$D, 2)="", NA(), "Syafix (Business Analyst)")</f>
        <v>Syafix (Business Analyst)</v>
      </c>
      <c r="B2" t="str">
        <f>IF(INDEX(Syafix!$D:$D, 2)="", NA(), INDEX(Syafix!$B:$B, 2))</f>
        <v>Pengembangan Mass Product Retail</v>
      </c>
      <c r="C2" t="str">
        <f>IF(INDEX(Syafix!$D:$D, 2)="", NA(), INDEX(Syafix!$D:$D, 2))</f>
        <v>Checking &amp; Testing Product, Scheming &amp; premium class TICS vs Mass Product</v>
      </c>
      <c r="D2" t="str">
        <f>IF(INDEX(Syafix!$D:$D, 2)="", NA(), INDEX(Syafix!$E:$E, 2))</f>
        <v>DONE</v>
      </c>
      <c r="E2" s="13">
        <f>IF(INDEX(Syafix!$D:$D, 2)="", NA(), INDEX(Syafix!$K:$K, 2))</f>
        <v>46238</v>
      </c>
      <c r="F2">
        <f t="shared" ref="F2:F65" si="0">IF(OR(E2="", ISNA(E2), ISNA(G2)), 0, MAX(1, G2-E2))</f>
        <v>2</v>
      </c>
      <c r="G2" s="13">
        <f>IF(INDEX(Syafix!$D:$D, 2)="", NA(), INDEX(Syafix!$L:$L, 2))</f>
        <v>46240</v>
      </c>
      <c r="H2" t="str">
        <f t="shared" ref="H2:H65" si="1">IF(ISNA(C2), NA(), A2 &amp; " - " &amp; B2 &amp; " - " &amp; C2)</f>
        <v>Syafix (Business Analyst) - Pengembangan Mass Product Retail - Checking &amp; Testing Product, Scheming &amp; premium class TICS vs Mass Product</v>
      </c>
    </row>
    <row r="3" spans="1:8" ht="72.5" customHeight="1" x14ac:dyDescent="0.2">
      <c r="A3" t="str">
        <f>IF(INDEX(Syafix!$D:$D, 3)="", NA(), "Syafix (Business Analyst)")</f>
        <v>Syafix (Business Analyst)</v>
      </c>
      <c r="B3" t="str">
        <f>IF(INDEX(Syafix!$D:$D, 3)="", NA(), INDEX(Syafix!$B:$B, 3))</f>
        <v>Integrasi TCES TICS</v>
      </c>
      <c r="C3" t="str">
        <f>IF(INDEX(Syafix!$D:$D, 3)="", NA(), INDEX(Syafix!$D:$D, 3))</f>
        <v>perancangan solusi integrasi TCES - TCIS</v>
      </c>
      <c r="D3" t="str">
        <f>IF(INDEX(Syafix!$D:$D, 3)="", NA(), INDEX(Syafix!$E:$E, 3))</f>
        <v>DONE</v>
      </c>
      <c r="E3" s="13">
        <f>IF(INDEX(Syafix!$D:$D, 3)="", NA(), INDEX(Syafix!$K:$K, 3))</f>
        <v>46239</v>
      </c>
      <c r="F3">
        <f t="shared" si="0"/>
        <v>1</v>
      </c>
      <c r="G3" s="13">
        <f>IF(INDEX(Syafix!$D:$D, 3)="", NA(), INDEX(Syafix!$L:$L, 3))</f>
        <v>46239</v>
      </c>
      <c r="H3" t="str">
        <f t="shared" si="1"/>
        <v>Syafix (Business Analyst) - Integrasi TCES TICS - perancangan solusi integrasi TCES - TCIS</v>
      </c>
    </row>
    <row r="4" spans="1:8" ht="43.5" customHeight="1" x14ac:dyDescent="0.2">
      <c r="A4" t="str">
        <f>IF(INDEX(Syafix!$D:$D, 4)="", NA(), "Syafix (Business Analyst)")</f>
        <v>Syafix (Business Analyst)</v>
      </c>
      <c r="B4" t="str">
        <f>IF(INDEX(Syafix!$D:$D, 4)="", NA(), INDEX(Syafix!$B:$B, 4))</f>
        <v>Integrasi TCES TICS</v>
      </c>
      <c r="C4" t="str">
        <f>IF(INDEX(Syafix!$D:$D, 4)="", NA(), INDEX(Syafix!$D:$D, 4))</f>
        <v>Mendefinisikan Tugas API Endpoint (BA), Membuat Diagram Flow API Integration (BA)</v>
      </c>
      <c r="D4" t="str">
        <f>IF(INDEX(Syafix!$D:$D, 4)="", NA(), INDEX(Syafix!$E:$E, 4))</f>
        <v>DONE</v>
      </c>
      <c r="E4" s="13">
        <f>IF(INDEX(Syafix!$D:$D, 4)="", NA(), INDEX(Syafix!$K:$K, 4))</f>
        <v>46240</v>
      </c>
      <c r="F4">
        <f t="shared" si="0"/>
        <v>1</v>
      </c>
      <c r="G4" s="13">
        <f>IF(INDEX(Syafix!$D:$D, 4)="", NA(), INDEX(Syafix!$L:$L, 4))</f>
        <v>46240</v>
      </c>
      <c r="H4" t="str">
        <f t="shared" si="1"/>
        <v>Syafix (Business Analyst) - Integrasi TCES TICS - Mendefinisikan Tugas API Endpoint (BA), Membuat Diagram Flow API Integration (BA)</v>
      </c>
    </row>
    <row r="5" spans="1:8" ht="72.5" customHeight="1" x14ac:dyDescent="0.2">
      <c r="A5" t="str">
        <f>IF(INDEX(Syafix!$D:$D, 5)="", NA(), "Syafix (Business Analyst)")</f>
        <v>Syafix (Business Analyst)</v>
      </c>
      <c r="B5" t="str">
        <f>IF(INDEX(Syafix!$D:$D, 5)="", NA(), INDEX(Syafix!$B:$B, 5))</f>
        <v>Pengembangan Mass Product Retail</v>
      </c>
      <c r="C5" t="str">
        <f>IF(INDEX(Syafix!$D:$D, 5)="", NA(), INDEX(Syafix!$D:$D, 5))</f>
        <v>Pengujian Penggunaan Product, Scheming, Premium Class di Aplikasi Mass Product</v>
      </c>
      <c r="D5" t="str">
        <f>IF(INDEX(Syafix!$D:$D, 5)="", NA(), INDEX(Syafix!$E:$E, 5))</f>
        <v>DONE</v>
      </c>
      <c r="E5" s="13">
        <f>IF(INDEX(Syafix!$D:$D, 5)="", NA(), INDEX(Syafix!$K:$K, 5))</f>
        <v>46240</v>
      </c>
      <c r="F5">
        <f t="shared" si="0"/>
        <v>6</v>
      </c>
      <c r="G5" s="13">
        <f>IF(INDEX(Syafix!$D:$D, 5)="", NA(), INDEX(Syafix!$L:$L, 5))</f>
        <v>46246</v>
      </c>
      <c r="H5" t="str">
        <f t="shared" si="1"/>
        <v>Syafix (Business Analyst) - Pengembangan Mass Product Retail - Pengujian Penggunaan Product, Scheming, Premium Class di Aplikasi Mass Product</v>
      </c>
    </row>
    <row r="6" spans="1:8" ht="101.5" customHeight="1" x14ac:dyDescent="0.2">
      <c r="A6" t="str">
        <f>IF(INDEX(Syafix!$D:$D, 6)="", NA(), "Syafix (Business Analyst)")</f>
        <v>Syafix (Business Analyst)</v>
      </c>
      <c r="B6" t="str">
        <f>IF(INDEX(Syafix!$D:$D, 6)="", NA(), INDEX(Syafix!$B:$B, 6))</f>
        <v>Integrasi TCES TICS</v>
      </c>
      <c r="C6" t="str">
        <f>IF(INDEX(Syafix!$D:$D, 6)="", NA(), INDEX(Syafix!$D:$D, 6))</f>
        <v>Membuat Diagram HLD dan LLD API Integration</v>
      </c>
      <c r="D6" t="str">
        <f>IF(INDEX(Syafix!$D:$D, 6)="", NA(), INDEX(Syafix!$E:$E, 6))</f>
        <v>DONE</v>
      </c>
      <c r="E6" s="13">
        <f>IF(INDEX(Syafix!$D:$D, 6)="", NA(), INDEX(Syafix!$K:$K, 6))</f>
        <v>46241</v>
      </c>
      <c r="F6">
        <f t="shared" si="0"/>
        <v>5</v>
      </c>
      <c r="G6" s="13">
        <f>IF(INDEX(Syafix!$D:$D, 6)="", NA(), INDEX(Syafix!$L:$L, 6))</f>
        <v>46246</v>
      </c>
      <c r="H6" t="str">
        <f t="shared" si="1"/>
        <v>Syafix (Business Analyst) - Integrasi TCES TICS - Membuat Diagram HLD dan LLD API Integration</v>
      </c>
    </row>
    <row r="7" spans="1:8" ht="29" customHeight="1" x14ac:dyDescent="0.2">
      <c r="A7" t="str">
        <f>IF(INDEX(Syafix!$D:$D, 7)="", NA(), "Syafix (Business Analyst)")</f>
        <v>Syafix (Business Analyst)</v>
      </c>
      <c r="B7" t="str">
        <f>IF(INDEX(Syafix!$D:$D, 7)="", NA(), INDEX(Syafix!$B:$B, 7))</f>
        <v>Integrasi TCES TICS</v>
      </c>
      <c r="C7" t="str">
        <f>IF(INDEX(Syafix!$D:$D, 7)="", NA(), INDEX(Syafix!$D:$D, 7))</f>
        <v>Membuat QA Tracker untuk kebutuhan pengujian testing API integration</v>
      </c>
      <c r="D7" t="str">
        <f>IF(INDEX(Syafix!$D:$D, 7)="", NA(), INDEX(Syafix!$E:$E, 7))</f>
        <v>DONE</v>
      </c>
      <c r="E7" s="13">
        <f>IF(INDEX(Syafix!$D:$D, 7)="", NA(), INDEX(Syafix!$K:$K, 7))</f>
        <v>46241</v>
      </c>
      <c r="F7">
        <f t="shared" si="0"/>
        <v>5</v>
      </c>
      <c r="G7" s="13">
        <f>IF(INDEX(Syafix!$D:$D, 7)="", NA(), INDEX(Syafix!$L:$L, 7))</f>
        <v>46246</v>
      </c>
      <c r="H7" t="str">
        <f t="shared" si="1"/>
        <v>Syafix (Business Analyst) - Integrasi TCES TICS - Membuat QA Tracker untuk kebutuhan pengujian testing API integration</v>
      </c>
    </row>
    <row r="8" spans="1:8" ht="29" customHeight="1" x14ac:dyDescent="0.2">
      <c r="A8" t="str">
        <f>IF(INDEX(Syafix!$D:$D, 8)="", NA(), "Syafix (Business Analyst)")</f>
        <v>Syafix (Business Analyst)</v>
      </c>
      <c r="B8" t="str">
        <f>IF(INDEX(Syafix!$D:$D, 8)="", NA(), INDEX(Syafix!$B:$B, 8))</f>
        <v>Integrasi TCES TICS</v>
      </c>
      <c r="C8" t="str">
        <f>IF(INDEX(Syafix!$D:$D, 8)="", NA(), INDEX(Syafix!$D:$D, 8))</f>
        <v>Meeting Pembahasan Alur Proses API Integration, Pembahasan Teknis, Informasi Pengujian Aplikasi</v>
      </c>
      <c r="D8" t="str">
        <f>IF(INDEX(Syafix!$D:$D, 8)="", NA(), INDEX(Syafix!$E:$E, 8))</f>
        <v>DONE</v>
      </c>
      <c r="E8" s="13">
        <f>IF(INDEX(Syafix!$D:$D, 8)="", NA(), INDEX(Syafix!$K:$K, 8))</f>
        <v>46244</v>
      </c>
      <c r="F8">
        <f t="shared" si="0"/>
        <v>1</v>
      </c>
      <c r="G8" s="13">
        <f>IF(INDEX(Syafix!$D:$D, 8)="", NA(), INDEX(Syafix!$L:$L, 8))</f>
        <v>46244</v>
      </c>
      <c r="H8" t="str">
        <f t="shared" si="1"/>
        <v>Syafix (Business Analyst) - Integrasi TCES TICS - Meeting Pembahasan Alur Proses API Integration, Pembahasan Teknis, Informasi Pengujian Aplikasi</v>
      </c>
    </row>
    <row r="9" spans="1:8" ht="43.5" customHeight="1" x14ac:dyDescent="0.2">
      <c r="A9" t="str">
        <f>IF(INDEX(Syafix!$D:$D, 9)="", NA(), "Syafix (Business Analyst)")</f>
        <v>Syafix (Business Analyst)</v>
      </c>
      <c r="B9" t="str">
        <f>IF(INDEX(Syafix!$D:$D, 9)="", NA(), INDEX(Syafix!$B:$B, 9))</f>
        <v>Integrasi TCES TICS</v>
      </c>
      <c r="C9" t="str">
        <f>IF(INDEX(Syafix!$D:$D, 9)="", NA(), INDEX(Syafix!$D:$D, 9))</f>
        <v>Pembuatan Dokumen TSD - Membuat Diagram Arsitektur Flow API Integration (BA)</v>
      </c>
      <c r="D9" t="str">
        <f>IF(INDEX(Syafix!$D:$D, 9)="", NA(), INDEX(Syafix!$E:$E, 9))</f>
        <v>DONE</v>
      </c>
      <c r="E9" s="13">
        <f>IF(INDEX(Syafix!$D:$D, 9)="", NA(), INDEX(Syafix!$K:$K, 9))</f>
        <v>46244</v>
      </c>
      <c r="F9">
        <f t="shared" si="0"/>
        <v>4</v>
      </c>
      <c r="G9" s="13">
        <f>IF(INDEX(Syafix!$D:$D, 9)="", NA(), INDEX(Syafix!$L:$L, 9))</f>
        <v>46248</v>
      </c>
      <c r="H9" t="str">
        <f t="shared" si="1"/>
        <v>Syafix (Business Analyst) - Integrasi TCES TICS - Pembuatan Dokumen TSD - Membuat Diagram Arsitektur Flow API Integration (BA)</v>
      </c>
    </row>
    <row r="10" spans="1:8" ht="43.5" customHeight="1" x14ac:dyDescent="0.2">
      <c r="A10" t="str">
        <f>IF(INDEX(Syafix!$D:$D, 10)="", NA(), "Syafix (Business Analyst)")</f>
        <v>Syafix (Business Analyst)</v>
      </c>
      <c r="B10" t="str">
        <f>IF(INDEX(Syafix!$D:$D, 10)="", NA(), INDEX(Syafix!$B:$B, 10))</f>
        <v>Integrasi TCES TICS</v>
      </c>
      <c r="C10" t="str">
        <f>IF(INDEX(Syafix!$D:$D, 10)="", NA(), INDEX(Syafix!$D:$D, 10))</f>
        <v>Pembuatan Template  Dokumen FSD</v>
      </c>
      <c r="D10" t="str">
        <f>IF(INDEX(Syafix!$D:$D, 10)="", NA(), INDEX(Syafix!$E:$E, 10))</f>
        <v>DONE</v>
      </c>
      <c r="E10" s="13">
        <f>IF(INDEX(Syafix!$D:$D, 10)="", NA(), INDEX(Syafix!$K:$K, 10))</f>
        <v>46244</v>
      </c>
      <c r="F10">
        <f t="shared" si="0"/>
        <v>4</v>
      </c>
      <c r="G10" s="13">
        <f>IF(INDEX(Syafix!$D:$D, 10)="", NA(), INDEX(Syafix!$L:$L, 10))</f>
        <v>46248</v>
      </c>
      <c r="H10" t="str">
        <f t="shared" si="1"/>
        <v>Syafix (Business Analyst) - Integrasi TCES TICS - Pembuatan Template  Dokumen FSD</v>
      </c>
    </row>
    <row r="11" spans="1:8" ht="43.5" customHeight="1" x14ac:dyDescent="0.2">
      <c r="A11" t="str">
        <f>IF(INDEX(Syafix!$D:$D, 11)="", NA(), "Syafix (Business Analyst)")</f>
        <v>Syafix (Business Analyst)</v>
      </c>
      <c r="B11" t="str">
        <f>IF(INDEX(Syafix!$D:$D, 11)="", NA(), INDEX(Syafix!$B:$B, 11))</f>
        <v>Integrasi TCES TICS</v>
      </c>
      <c r="C11" t="str">
        <f>IF(INDEX(Syafix!$D:$D, 11)="", NA(), INDEX(Syafix!$D:$D, 11))</f>
        <v>Pembuatan Template Dokumen TSD</v>
      </c>
      <c r="D11" t="str">
        <f>IF(INDEX(Syafix!$D:$D, 11)="", NA(), INDEX(Syafix!$E:$E, 11))</f>
        <v>DONE</v>
      </c>
      <c r="E11" s="13">
        <f>IF(INDEX(Syafix!$D:$D, 11)="", NA(), INDEX(Syafix!$K:$K, 11))</f>
        <v>46244</v>
      </c>
      <c r="F11">
        <f t="shared" si="0"/>
        <v>4</v>
      </c>
      <c r="G11" s="13">
        <f>IF(INDEX(Syafix!$D:$D, 11)="", NA(), INDEX(Syafix!$L:$L, 11))</f>
        <v>46248</v>
      </c>
      <c r="H11" t="str">
        <f t="shared" si="1"/>
        <v>Syafix (Business Analyst) - Integrasi TCES TICS - Pembuatan Template Dokumen TSD</v>
      </c>
    </row>
    <row r="12" spans="1:8" ht="72.5" customHeight="1" x14ac:dyDescent="0.2">
      <c r="A12" t="str">
        <f>IF(INDEX(Syafix!$D:$D, 12)="", NA(), "Syafix (Business Analyst)")</f>
        <v>Syafix (Business Analyst)</v>
      </c>
      <c r="B12" t="str">
        <f>IF(INDEX(Syafix!$D:$D, 12)="", NA(), INDEX(Syafix!$B:$B, 12))</f>
        <v>Integrasi TCES TICS</v>
      </c>
      <c r="C12" t="str">
        <f>IF(INDEX(Syafix!$D:$D, 12)="", NA(), INDEX(Syafix!$D:$D, 12))</f>
        <v>Training TCES dan flow sistem aplikasi</v>
      </c>
      <c r="D12" t="str">
        <f>IF(INDEX(Syafix!$D:$D, 12)="", NA(), INDEX(Syafix!$E:$E, 12))</f>
        <v>DONE</v>
      </c>
      <c r="E12" s="13">
        <f>IF(INDEX(Syafix!$D:$D, 12)="", NA(), INDEX(Syafix!$K:$K, 12))</f>
        <v>46245</v>
      </c>
      <c r="F12">
        <f t="shared" si="0"/>
        <v>1</v>
      </c>
      <c r="G12" s="13">
        <f>IF(INDEX(Syafix!$D:$D, 12)="", NA(), INDEX(Syafix!$L:$L, 12))</f>
        <v>46245</v>
      </c>
      <c r="H12" t="str">
        <f t="shared" si="1"/>
        <v>Syafix (Business Analyst) - Integrasi TCES TICS - Training TCES dan flow sistem aplikasi</v>
      </c>
    </row>
    <row r="13" spans="1:8" ht="72.5" customHeight="1" x14ac:dyDescent="0.2">
      <c r="A13" t="str">
        <f>IF(INDEX(Syafix!$D:$D, 13)="", NA(), "Syafix (Business Analyst)")</f>
        <v>Syafix (Business Analyst)</v>
      </c>
      <c r="B13" t="str">
        <f>IF(INDEX(Syafix!$D:$D, 13)="", NA(), INDEX(Syafix!$B:$B, 13))</f>
        <v>Integrasi TCES TICS</v>
      </c>
      <c r="C13" t="str">
        <f>IF(INDEX(Syafix!$D:$D, 13)="", NA(), INDEX(Syafix!$D:$D, 13))</f>
        <v>Akses ke database TICS</v>
      </c>
      <c r="D13" t="str">
        <f>IF(INDEX(Syafix!$D:$D, 13)="", NA(), INDEX(Syafix!$E:$E, 13))</f>
        <v>DONE</v>
      </c>
      <c r="E13" s="13">
        <f>IF(INDEX(Syafix!$D:$D, 13)="", NA(), INDEX(Syafix!$K:$K, 13))</f>
        <v>46246</v>
      </c>
      <c r="F13">
        <f t="shared" si="0"/>
        <v>2</v>
      </c>
      <c r="G13" s="13">
        <f>IF(INDEX(Syafix!$D:$D, 13)="", NA(), INDEX(Syafix!$L:$L, 13))</f>
        <v>46248</v>
      </c>
      <c r="H13" t="str">
        <f t="shared" si="1"/>
        <v>Syafix (Business Analyst) - Integrasi TCES TICS - Akses ke database TICS</v>
      </c>
    </row>
    <row r="14" spans="1:8" ht="29" customHeight="1" x14ac:dyDescent="0.2">
      <c r="A14" t="str">
        <f>IF(INDEX(Syafix!$D:$D, 14)="", NA(), "Syafix (Business Analyst)")</f>
        <v>Syafix (Business Analyst)</v>
      </c>
      <c r="B14" t="str">
        <f>IF(INDEX(Syafix!$D:$D, 14)="", NA(), INDEX(Syafix!$B:$B, 14))</f>
        <v>Pengembangan Mass Product Retail</v>
      </c>
      <c r="C14" t="str">
        <f>IF(INDEX(Syafix!$D:$D, 14)="", NA(), INDEX(Syafix!$D:$D, 14))</f>
        <v>Pencarian bugs atau kendala dari pembuatan polis asuransi hingga claim asuransi</v>
      </c>
      <c r="D14" t="str">
        <f>IF(INDEX(Syafix!$D:$D, 14)="", NA(), INDEX(Syafix!$E:$E, 14))</f>
        <v>DONE</v>
      </c>
      <c r="E14" s="13">
        <f>IF(INDEX(Syafix!$D:$D, 14)="", NA(), INDEX(Syafix!$K:$K, 14))</f>
        <v>46247</v>
      </c>
      <c r="F14">
        <f t="shared" si="0"/>
        <v>5</v>
      </c>
      <c r="G14" s="13">
        <f>IF(INDEX(Syafix!$D:$D, 14)="", NA(), INDEX(Syafix!$L:$L, 14))</f>
        <v>46252</v>
      </c>
      <c r="H14" t="str">
        <f t="shared" si="1"/>
        <v>Syafix (Business Analyst) - Pengembangan Mass Product Retail - Pencarian bugs atau kendala dari pembuatan polis asuransi hingga claim asuransi</v>
      </c>
    </row>
    <row r="15" spans="1:8" ht="87" customHeight="1" x14ac:dyDescent="0.2">
      <c r="A15" t="str">
        <f>IF(INDEX(Syafix!$D:$D, 15)="", NA(), "Syafix (Business Analyst)")</f>
        <v>Syafix (Business Analyst)</v>
      </c>
      <c r="B15" t="str">
        <f>IF(INDEX(Syafix!$D:$D, 15)="", NA(), INDEX(Syafix!$B:$B, 15))</f>
        <v>Integrasi TCES TICS</v>
      </c>
      <c r="C15" t="str">
        <f>IF(INDEX(Syafix!$D:$D, 15)="", NA(), INDEX(Syafix!$D:$D, 15))</f>
        <v>Pembuatan Dokumen FSD - Membuat diagram arsitektur API Integration</v>
      </c>
      <c r="D15" t="str">
        <f>IF(INDEX(Syafix!$D:$D, 15)="", NA(), INDEX(Syafix!$E:$E, 15))</f>
        <v>DONE</v>
      </c>
      <c r="E15" s="13">
        <f>IF(INDEX(Syafix!$D:$D, 15)="", NA(), INDEX(Syafix!$K:$K, 15))</f>
        <v>46248</v>
      </c>
      <c r="F15">
        <f t="shared" si="0"/>
        <v>1</v>
      </c>
      <c r="G15" s="13">
        <f>IF(INDEX(Syafix!$D:$D, 15)="", NA(), INDEX(Syafix!$L:$L, 15))</f>
        <v>46248</v>
      </c>
      <c r="H15" t="str">
        <f t="shared" si="1"/>
        <v>Syafix (Business Analyst) - Integrasi TCES TICS - Pembuatan Dokumen FSD - Membuat diagram arsitektur API Integration</v>
      </c>
    </row>
    <row r="16" spans="1:8" ht="29" customHeight="1" x14ac:dyDescent="0.2">
      <c r="A16" t="str">
        <f>IF(INDEX(Syafix!$D:$D, 16)="", NA(), "Syafix (Business Analyst)")</f>
        <v>Syafix (Business Analyst)</v>
      </c>
      <c r="B16" t="str">
        <f>IF(INDEX(Syafix!$D:$D, 16)="", NA(), INDEX(Syafix!$B:$B, 16))</f>
        <v>Integrasi TCES TICS</v>
      </c>
      <c r="C16" t="str">
        <f>IF(INDEX(Syafix!$D:$D, 16)="", NA(), INDEX(Syafix!$D:$D, 16))</f>
        <v xml:space="preserve">Pembuatan Dokumen FSD - Penambahan Penjelasan User Flow Diagram </v>
      </c>
      <c r="D16" t="str">
        <f>IF(INDEX(Syafix!$D:$D, 16)="", NA(), INDEX(Syafix!$E:$E, 16))</f>
        <v>DONE</v>
      </c>
      <c r="E16" s="13">
        <f>IF(INDEX(Syafix!$D:$D, 16)="", NA(), INDEX(Syafix!$K:$K, 16))</f>
        <v>46248</v>
      </c>
      <c r="F16">
        <f t="shared" si="0"/>
        <v>4</v>
      </c>
      <c r="G16" s="13">
        <f>IF(INDEX(Syafix!$D:$D, 16)="", NA(), INDEX(Syafix!$L:$L, 16))</f>
        <v>46252</v>
      </c>
      <c r="H16" t="str">
        <f t="shared" si="1"/>
        <v xml:space="preserve">Syafix (Business Analyst) - Integrasi TCES TICS - Pembuatan Dokumen FSD - Penambahan Penjelasan User Flow Diagram </v>
      </c>
    </row>
    <row r="17" spans="1:8" ht="58" customHeight="1" x14ac:dyDescent="0.2">
      <c r="A17" t="str">
        <f>IF(INDEX(Syafix!$D:$D, 17)="", NA(), "Syafix (Business Analyst)")</f>
        <v>Syafix (Business Analyst)</v>
      </c>
      <c r="B17" t="str">
        <f>IF(INDEX(Syafix!$D:$D, 17)="", NA(), INDEX(Syafix!$B:$B, 17))</f>
        <v>Integrasi TCES TICS</v>
      </c>
      <c r="C17" t="str">
        <f>IF(INDEX(Syafix!$D:$D, 17)="", NA(), INDEX(Syafix!$D:$D, 17))</f>
        <v>Pembuatan Draft BRD</v>
      </c>
      <c r="D17" t="str">
        <f>IF(INDEX(Syafix!$D:$D, 17)="", NA(), INDEX(Syafix!$E:$E, 17))</f>
        <v>DONE</v>
      </c>
      <c r="E17" s="13">
        <f>IF(INDEX(Syafix!$D:$D, 17)="", NA(), INDEX(Syafix!$K:$K, 17))</f>
        <v>46248</v>
      </c>
      <c r="F17">
        <f t="shared" si="0"/>
        <v>4</v>
      </c>
      <c r="G17" s="13">
        <f>IF(INDEX(Syafix!$D:$D, 17)="", NA(), INDEX(Syafix!$L:$L, 17))</f>
        <v>46252</v>
      </c>
      <c r="H17" t="str">
        <f t="shared" si="1"/>
        <v>Syafix (Business Analyst) - Integrasi TCES TICS - Pembuatan Draft BRD</v>
      </c>
    </row>
    <row r="18" spans="1:8" ht="87" customHeight="1" x14ac:dyDescent="0.2">
      <c r="A18" t="str">
        <f>IF(INDEX(Syafix!$D:$D, 18)="", NA(), "Syafix (Business Analyst)")</f>
        <v>Syafix (Business Analyst)</v>
      </c>
      <c r="B18" t="str">
        <f>IF(INDEX(Syafix!$D:$D, 18)="", NA(), INDEX(Syafix!$B:$B, 18))</f>
        <v>Integrasi TCES TICS</v>
      </c>
      <c r="C18" t="str">
        <f>IF(INDEX(Syafix!$D:$D, 18)="", NA(), INDEX(Syafix!$D:$D, 18))</f>
        <v>Gathering database schema dan pendokumentasian</v>
      </c>
      <c r="D18" t="str">
        <f>IF(INDEX(Syafix!$D:$D, 18)="", NA(), INDEX(Syafix!$E:$E, 18))</f>
        <v>DONE</v>
      </c>
      <c r="E18" s="13">
        <f>IF(INDEX(Syafix!$D:$D, 18)="", NA(), INDEX(Syafix!$K:$K, 18))</f>
        <v>46248</v>
      </c>
      <c r="F18">
        <f t="shared" si="0"/>
        <v>5</v>
      </c>
      <c r="G18" s="13">
        <f>IF(INDEX(Syafix!$D:$D, 18)="", NA(), INDEX(Syafix!$L:$L, 18))</f>
        <v>46253</v>
      </c>
      <c r="H18" t="str">
        <f t="shared" si="1"/>
        <v>Syafix (Business Analyst) - Integrasi TCES TICS - Gathering database schema dan pendokumentasian</v>
      </c>
    </row>
    <row r="19" spans="1:8" ht="72.5" customHeight="1" x14ac:dyDescent="0.2">
      <c r="A19" t="str">
        <f>IF(INDEX(Syafix!$D:$D, 19)="", NA(), "Syafix (Business Analyst)")</f>
        <v>Syafix (Business Analyst)</v>
      </c>
      <c r="B19" t="str">
        <f>IF(INDEX(Syafix!$D:$D, 19)="", NA(), INDEX(Syafix!$B:$B, 19))</f>
        <v>Integrasi TCES TICS</v>
      </c>
      <c r="C19" t="str">
        <f>IF(INDEX(Syafix!$D:$D, 19)="", NA(), INDEX(Syafix!$D:$D, 19))</f>
        <v>Diskusi dengan tim IT Infra dan IT App untuk kebutuhan permohonan penggunaan docker pada API Integration</v>
      </c>
      <c r="D19" t="str">
        <f>IF(INDEX(Syafix!$D:$D, 19)="", NA(), INDEX(Syafix!$E:$E, 19))</f>
        <v>DONE</v>
      </c>
      <c r="E19" s="13">
        <f>IF(INDEX(Syafix!$D:$D, 19)="", NA(), INDEX(Syafix!$K:$K, 19))</f>
        <v>46248</v>
      </c>
      <c r="F19">
        <f t="shared" si="0"/>
        <v>5</v>
      </c>
      <c r="G19" s="13">
        <f>IF(INDEX(Syafix!$D:$D, 19)="", NA(), INDEX(Syafix!$L:$L, 19))</f>
        <v>46253</v>
      </c>
      <c r="H19" t="str">
        <f t="shared" si="1"/>
        <v>Syafix (Business Analyst) - Integrasi TCES TICS - Diskusi dengan tim IT Infra dan IT App untuk kebutuhan permohonan penggunaan docker pada API Integration</v>
      </c>
    </row>
    <row r="20" spans="1:8" ht="58" customHeight="1" x14ac:dyDescent="0.2">
      <c r="A20" t="str">
        <f>IF(INDEX(Syafix!$D:$D, 20)="", NA(), "Syafix (Business Analyst)")</f>
        <v>Syafix (Business Analyst)</v>
      </c>
      <c r="B20" t="str">
        <f>IF(INDEX(Syafix!$D:$D, 20)="", NA(), INDEX(Syafix!$B:$B, 20))</f>
        <v>Pengembangan Mass Product Retail</v>
      </c>
      <c r="C20" t="str">
        <f>IF(INDEX(Syafix!$D:$D, 20)="", NA(), INDEX(Syafix!$D:$D, 20))</f>
        <v>Pengujian pembuatan master product baru, scheme baru, polis baru, declaration baru, dan proses claim baru, dengan nama product terbaru adalah TPACC</v>
      </c>
      <c r="D20" t="str">
        <f>IF(INDEX(Syafix!$D:$D, 20)="", NA(), INDEX(Syafix!$E:$E, 20))</f>
        <v>DONE</v>
      </c>
      <c r="E20" s="13">
        <f>IF(INDEX(Syafix!$D:$D, 20)="", NA(), INDEX(Syafix!$K:$K, 20))</f>
        <v>46252</v>
      </c>
      <c r="F20">
        <f t="shared" si="0"/>
        <v>2</v>
      </c>
      <c r="G20" s="13">
        <f>IF(INDEX(Syafix!$D:$D, 20)="", NA(), INDEX(Syafix!$L:$L, 20))</f>
        <v>46254</v>
      </c>
      <c r="H20" t="str">
        <f t="shared" si="1"/>
        <v>Syafix (Business Analyst) - Pengembangan Mass Product Retail - Pengujian pembuatan master product baru, scheme baru, polis baru, declaration baru, dan proses claim baru, dengan nama product terbaru adalah TPACC</v>
      </c>
    </row>
    <row r="21" spans="1:8" ht="101.5" customHeight="1" x14ac:dyDescent="0.2">
      <c r="A21" t="str">
        <f>IF(INDEX(Syafix!$D:$D, 21)="", NA(), "Syafix (Business Analyst)")</f>
        <v>Syafix (Business Analyst)</v>
      </c>
      <c r="B21" t="str">
        <f>IF(INDEX(Syafix!$D:$D, 21)="", NA(), INDEX(Syafix!$B:$B, 21))</f>
        <v>Integrasi TCES TICS</v>
      </c>
      <c r="C21" t="str">
        <f>IF(INDEX(Syafix!$D:$D, 21)="", NA(), INDEX(Syafix!$D:$D, 21))</f>
        <v>Update Draft BRD</v>
      </c>
      <c r="D21" t="str">
        <f>IF(INDEX(Syafix!$D:$D, 21)="", NA(), INDEX(Syafix!$E:$E, 21))</f>
        <v>DONE</v>
      </c>
      <c r="E21" s="13">
        <f>IF(INDEX(Syafix!$D:$D, 21)="", NA(), INDEX(Syafix!$K:$K, 21))</f>
        <v>46252</v>
      </c>
      <c r="F21">
        <f t="shared" si="0"/>
        <v>24</v>
      </c>
      <c r="G21" s="13">
        <f>IF(INDEX(Syafix!$D:$D, 21)="", NA(), INDEX(Syafix!$L:$L, 21))</f>
        <v>46276</v>
      </c>
      <c r="H21" t="str">
        <f t="shared" si="1"/>
        <v>Syafix (Business Analyst) - Integrasi TCES TICS - Update Draft BRD</v>
      </c>
    </row>
    <row r="22" spans="1:8" ht="72.5" customHeight="1" x14ac:dyDescent="0.2">
      <c r="A22" t="str">
        <f>IF(INDEX(Syafix!$D:$D, 22)="", NA(), "Syafix (Business Analyst)")</f>
        <v>Syafix (Business Analyst)</v>
      </c>
      <c r="B22" t="str">
        <f>IF(INDEX(Syafix!$D:$D, 22)="", NA(), INDEX(Syafix!$B:$B, 22))</f>
        <v>Integrasi TCES TICS</v>
      </c>
      <c r="C22" t="str">
        <f>IF(INDEX(Syafix!$D:$D, 22)="", NA(), INDEX(Syafix!$D:$D, 22))</f>
        <v>Pembuatan data payload test API Integration sebanyak 1000 buah untuk pengujian performance test</v>
      </c>
      <c r="D22" t="str">
        <f>IF(INDEX(Syafix!$D:$D, 22)="", NA(), INDEX(Syafix!$E:$E, 22))</f>
        <v>DONE</v>
      </c>
      <c r="E22" s="13">
        <f>IF(INDEX(Syafix!$D:$D, 22)="", NA(), INDEX(Syafix!$K:$K, 22))</f>
        <v>46254</v>
      </c>
      <c r="F22">
        <f t="shared" si="0"/>
        <v>1</v>
      </c>
      <c r="G22" s="13">
        <f>IF(INDEX(Syafix!$D:$D, 22)="", NA(), INDEX(Syafix!$L:$L, 22))</f>
        <v>46254</v>
      </c>
      <c r="H22" t="str">
        <f t="shared" si="1"/>
        <v>Syafix (Business Analyst) - Integrasi TCES TICS - Pembuatan data payload test API Integration sebanyak 1000 buah untuk pengujian performance test</v>
      </c>
    </row>
    <row r="23" spans="1:8" ht="87" customHeight="1" x14ac:dyDescent="0.2">
      <c r="A23" t="str">
        <f>IF(INDEX(Syafix!$D:$D, 23)="", NA(), "Syafix (Business Analyst)")</f>
        <v>Syafix (Business Analyst)</v>
      </c>
      <c r="B23" t="str">
        <f>IF(INDEX(Syafix!$D:$D, 23)="", NA(), INDEX(Syafix!$B:$B, 23))</f>
        <v>Integrasi TCES TICS</v>
      </c>
      <c r="C23" t="str">
        <f>IF(INDEX(Syafix!$D:$D, 23)="", NA(), INDEX(Syafix!$D:$D, 23))</f>
        <v>Meeting Product Mapping TProperty dengn mas julyan dan mas fergy</v>
      </c>
      <c r="D23" t="str">
        <f>IF(INDEX(Syafix!$D:$D, 23)="", NA(), INDEX(Syafix!$E:$E, 23))</f>
        <v>DONE</v>
      </c>
      <c r="E23" s="13">
        <f>IF(INDEX(Syafix!$D:$D, 23)="", NA(), INDEX(Syafix!$K:$K, 23))</f>
        <v>46254</v>
      </c>
      <c r="F23">
        <f t="shared" si="0"/>
        <v>1</v>
      </c>
      <c r="G23" s="13">
        <f>IF(INDEX(Syafix!$D:$D, 23)="", NA(), INDEX(Syafix!$L:$L, 23))</f>
        <v>46254</v>
      </c>
      <c r="H23" t="str">
        <f t="shared" si="1"/>
        <v>Syafix (Business Analyst) - Integrasi TCES TICS - Meeting Product Mapping TProperty dengn mas julyan dan mas fergy</v>
      </c>
    </row>
    <row r="24" spans="1:8" ht="58" customHeight="1" x14ac:dyDescent="0.2">
      <c r="A24" t="str">
        <f>IF(INDEX(Syafix!$D:$D, 24)="", NA(), "Syafix (Business Analyst)")</f>
        <v>Syafix (Business Analyst)</v>
      </c>
      <c r="B24" t="str">
        <f>IF(INDEX(Syafix!$D:$D, 24)="", NA(), INDEX(Syafix!$B:$B, 24))</f>
        <v>Integrasi TCES TICS</v>
      </c>
      <c r="C24" t="str">
        <f>IF(INDEX(Syafix!$D:$D, 24)="", NA(), INDEX(Syafix!$D:$D, 24))</f>
        <v>Membantu QA melakukan proses pengujian Stress Test dan Performance Test</v>
      </c>
      <c r="D24" t="str">
        <f>IF(INDEX(Syafix!$D:$D, 24)="", NA(), INDEX(Syafix!$E:$E, 24))</f>
        <v>DONE</v>
      </c>
      <c r="E24" s="13">
        <f>IF(INDEX(Syafix!$D:$D, 24)="", NA(), INDEX(Syafix!$K:$K, 24))</f>
        <v>46254</v>
      </c>
      <c r="F24">
        <f t="shared" si="0"/>
        <v>1</v>
      </c>
      <c r="G24" s="13">
        <f>IF(INDEX(Syafix!$D:$D, 24)="", NA(), INDEX(Syafix!$L:$L, 24))</f>
        <v>46255</v>
      </c>
      <c r="H24" t="str">
        <f t="shared" si="1"/>
        <v>Syafix (Business Analyst) - Integrasi TCES TICS - Membantu QA melakukan proses pengujian Stress Test dan Performance Test</v>
      </c>
    </row>
    <row r="25" spans="1:8" ht="72.5" customHeight="1" x14ac:dyDescent="0.2">
      <c r="A25" t="str">
        <f>IF(INDEX(Syafix!$D:$D, 25)="", NA(), "Syafix (Business Analyst)")</f>
        <v>Syafix (Business Analyst)</v>
      </c>
      <c r="B25" t="str">
        <f>IF(INDEX(Syafix!$D:$D, 25)="", NA(), INDEX(Syafix!$B:$B, 25))</f>
        <v>Integrasi TCES TICS</v>
      </c>
      <c r="C25" t="str">
        <f>IF(INDEX(Syafix!$D:$D, 25)="", NA(), INDEX(Syafix!$D:$D, 25))</f>
        <v>Pengecekan hasil QA Testing dengan value yang berada pada sistem TCES untuk memastikan kesesuaian dengan TICS</v>
      </c>
      <c r="D25" t="str">
        <f>IF(INDEX(Syafix!$D:$D, 25)="", NA(), INDEX(Syafix!$E:$E, 25))</f>
        <v>DONE</v>
      </c>
      <c r="E25" s="13">
        <f>IF(INDEX(Syafix!$D:$D, 25)="", NA(), INDEX(Syafix!$K:$K, 25))</f>
        <v>46255</v>
      </c>
      <c r="F25">
        <f t="shared" si="0"/>
        <v>7</v>
      </c>
      <c r="G25" s="13">
        <f>IF(INDEX(Syafix!$D:$D, 25)="", NA(), INDEX(Syafix!$L:$L, 25))</f>
        <v>46262</v>
      </c>
      <c r="H25" t="str">
        <f t="shared" si="1"/>
        <v>Syafix (Business Analyst) - Integrasi TCES TICS - Pengecekan hasil QA Testing dengan value yang berada pada sistem TCES untuk memastikan kesesuaian dengan TICS</v>
      </c>
    </row>
    <row r="26" spans="1:8" ht="15" customHeight="1" x14ac:dyDescent="0.2">
      <c r="A26" t="str">
        <f>IF(INDEX(Syafix!$D:$D, 26)="", NA(), "Syafix (Business Analyst)")</f>
        <v>Syafix (Business Analyst)</v>
      </c>
      <c r="B26" t="str">
        <f>IF(INDEX(Syafix!$D:$D, 26)="", NA(), INDEX(Syafix!$B:$B, 26))</f>
        <v>Integrasi TCES TICS</v>
      </c>
      <c r="C26" t="str">
        <f>IF(INDEX(Syafix!$D:$D, 26)="", NA(), INDEX(Syafix!$D:$D, 26))</f>
        <v>Pengecekan Ulang Endpoint API Integration sebelum melakukan testing</v>
      </c>
      <c r="D26" t="str">
        <f>IF(INDEX(Syafix!$D:$D, 26)="", NA(), INDEX(Syafix!$E:$E, 26))</f>
        <v>DONE</v>
      </c>
      <c r="E26" s="13">
        <f>IF(INDEX(Syafix!$D:$D, 26)="", NA(), INDEX(Syafix!$K:$K, 26))</f>
        <v>46258</v>
      </c>
      <c r="F26">
        <f t="shared" si="0"/>
        <v>1</v>
      </c>
      <c r="G26" s="13">
        <f>IF(INDEX(Syafix!$D:$D, 26)="", NA(), INDEX(Syafix!$L:$L, 26))</f>
        <v>46258</v>
      </c>
      <c r="H26" t="str">
        <f t="shared" si="1"/>
        <v>Syafix (Business Analyst) - Integrasi TCES TICS - Pengecekan Ulang Endpoint API Integration sebelum melakukan testing</v>
      </c>
    </row>
    <row r="27" spans="1:8" x14ac:dyDescent="0.2">
      <c r="A27" t="str">
        <f>IF(INDEX(Syafix!$D:$D, 27)="", NA(), "Syafix (Business Analyst)")</f>
        <v>Syafix (Business Analyst)</v>
      </c>
      <c r="B27" t="str">
        <f>IF(INDEX(Syafix!$D:$D, 27)="", NA(), INDEX(Syafix!$B:$B, 27))</f>
        <v>Integrasi TCES TICS</v>
      </c>
      <c r="C27" t="str">
        <f>IF(INDEX(Syafix!$D:$D, 27)="", NA(), INDEX(Syafix!$D:$D, 27))</f>
        <v>Melakukan meeting terkait progress review task yang sudah dikerjakan bersama tim dan stakeholder</v>
      </c>
      <c r="D27" t="str">
        <f>IF(INDEX(Syafix!$D:$D, 27)="", NA(), INDEX(Syafix!$E:$E, 27))</f>
        <v>DONE</v>
      </c>
      <c r="E27" s="13">
        <f>IF(INDEX(Syafix!$D:$D, 27)="", NA(), INDEX(Syafix!$K:$K, 27))</f>
        <v>46258</v>
      </c>
      <c r="F27">
        <f t="shared" si="0"/>
        <v>1</v>
      </c>
      <c r="G27" s="13">
        <f>IF(INDEX(Syafix!$D:$D, 27)="", NA(), INDEX(Syafix!$L:$L, 27))</f>
        <v>46258</v>
      </c>
      <c r="H27" t="str">
        <f t="shared" si="1"/>
        <v>Syafix (Business Analyst) - Integrasi TCES TICS - Melakukan meeting terkait progress review task yang sudah dikerjakan bersama tim dan stakeholder</v>
      </c>
    </row>
    <row r="28" spans="1:8" x14ac:dyDescent="0.2">
      <c r="A28" t="str">
        <f>IF(INDEX(Syafix!$D:$D, 28)="", NA(), "Syafix (Business Analyst)")</f>
        <v>Syafix (Business Analyst)</v>
      </c>
      <c r="B28" t="str">
        <f>IF(INDEX(Syafix!$D:$D, 28)="", NA(), INDEX(Syafix!$B:$B, 28))</f>
        <v>Integrasi TCES TICS</v>
      </c>
      <c r="C28" t="str">
        <f>IF(INDEX(Syafix!$D:$D, 28)="", NA(), INDEX(Syafix!$D:$D, 28))</f>
        <v>Membuat Data Order TCES untuk kebutuhan pengetesan end-to-end ke TICS</v>
      </c>
      <c r="D28" t="str">
        <f>IF(INDEX(Syafix!$D:$D, 28)="", NA(), INDEX(Syafix!$E:$E, 28))</f>
        <v>DONE</v>
      </c>
      <c r="E28" s="13">
        <f>IF(INDEX(Syafix!$D:$D, 28)="", NA(), INDEX(Syafix!$K:$K, 28))</f>
        <v>46258</v>
      </c>
      <c r="F28">
        <f t="shared" si="0"/>
        <v>2</v>
      </c>
      <c r="G28" s="13">
        <f>IF(INDEX(Syafix!$D:$D, 28)="", NA(), INDEX(Syafix!$L:$L, 28))</f>
        <v>46260</v>
      </c>
      <c r="H28" t="str">
        <f t="shared" si="1"/>
        <v>Syafix (Business Analyst) - Integrasi TCES TICS - Membuat Data Order TCES untuk kebutuhan pengetesan end-to-end ke TICS</v>
      </c>
    </row>
    <row r="29" spans="1:8" x14ac:dyDescent="0.2">
      <c r="A29" t="str">
        <f>IF(INDEX(Syafix!$D:$D, 29)="", NA(), "Syafix (Business Analyst)")</f>
        <v>Syafix (Business Analyst)</v>
      </c>
      <c r="B29" t="str">
        <f>IF(INDEX(Syafix!$D:$D, 29)="", NA(), INDEX(Syafix!$B:$B, 29))</f>
        <v>Integrasi TCES TICS</v>
      </c>
      <c r="C29" t="str">
        <f>IF(INDEX(Syafix!$D:$D, 29)="", NA(), INDEX(Syafix!$D:$D, 29))</f>
        <v>Membuat data Payload untuk pengujian Travela dan TFire</v>
      </c>
      <c r="D29" t="str">
        <f>IF(INDEX(Syafix!$D:$D, 29)="", NA(), INDEX(Syafix!$E:$E, 29))</f>
        <v>DONE</v>
      </c>
      <c r="E29" s="13">
        <f>IF(INDEX(Syafix!$D:$D, 29)="", NA(), INDEX(Syafix!$K:$K, 29))</f>
        <v>46260</v>
      </c>
      <c r="F29">
        <f t="shared" si="0"/>
        <v>1</v>
      </c>
      <c r="G29" s="13">
        <f>IF(INDEX(Syafix!$D:$D, 29)="", NA(), INDEX(Syafix!$L:$L, 29))</f>
        <v>46261</v>
      </c>
      <c r="H29" t="str">
        <f t="shared" si="1"/>
        <v>Syafix (Business Analyst) - Integrasi TCES TICS - Membuat data Payload untuk pengujian Travela dan TFire</v>
      </c>
    </row>
    <row r="30" spans="1:8" x14ac:dyDescent="0.2">
      <c r="A30" t="str">
        <f>IF(INDEX(Syafix!$D:$D, 30)="", NA(), "Syafix (Business Analyst)")</f>
        <v>Syafix (Business Analyst)</v>
      </c>
      <c r="B30" t="str">
        <f>IF(INDEX(Syafix!$D:$D, 30)="", NA(), INDEX(Syafix!$B:$B, 30))</f>
        <v>Pengembangan Mass Product Retail</v>
      </c>
      <c r="C30" t="str">
        <f>IF(INDEX(Syafix!$D:$D, 30)="", NA(), INDEX(Syafix!$D:$D, 30))</f>
        <v>Pengetesan master data region untuk pencocokan data polis dengan region BP</v>
      </c>
      <c r="D30" t="str">
        <f>IF(INDEX(Syafix!$D:$D, 30)="", NA(), INDEX(Syafix!$E:$E, 30))</f>
        <v>TODO</v>
      </c>
      <c r="E30" s="13">
        <f>IF(INDEX(Syafix!$D:$D, 30)="", NA(), INDEX(Syafix!$K:$K, 30))</f>
        <v>46260</v>
      </c>
      <c r="F30">
        <f t="shared" si="0"/>
        <v>2</v>
      </c>
      <c r="G30" s="13">
        <f>IF(INDEX(Syafix!$D:$D, 30)="", NA(), INDEX(Syafix!$L:$L, 30))</f>
        <v>46262</v>
      </c>
      <c r="H30" t="str">
        <f t="shared" si="1"/>
        <v>Syafix (Business Analyst) - Pengembangan Mass Product Retail - Pengetesan master data region untuk pencocokan data polis dengan region BP</v>
      </c>
    </row>
    <row r="31" spans="1:8" x14ac:dyDescent="0.2">
      <c r="A31" t="str">
        <f>IF(INDEX(Syafix!$D:$D, 31)="", NA(), "Syafix (Business Analyst)")</f>
        <v>Syafix (Business Analyst)</v>
      </c>
      <c r="B31" t="str">
        <f>IF(INDEX(Syafix!$D:$D, 31)="", NA(), INDEX(Syafix!$B:$B, 31))</f>
        <v>Integrasi TCES TICS</v>
      </c>
      <c r="C31" t="str">
        <f>IF(INDEX(Syafix!$D:$D, 31)="", NA(), INDEX(Syafix!$D:$D, 31))</f>
        <v>Membuat test case untuk end-to-end TCES untuk produk Tride dan execute testing sampai terbentuk polis number (BA)</v>
      </c>
      <c r="D31" t="str">
        <f>IF(INDEX(Syafix!$D:$D, 31)="", NA(), INDEX(Syafix!$E:$E, 31))</f>
        <v>DONE</v>
      </c>
      <c r="E31" s="13">
        <f>IF(INDEX(Syafix!$D:$D, 31)="", NA(), INDEX(Syafix!$K:$K, 31))</f>
        <v>46261</v>
      </c>
      <c r="F31">
        <f t="shared" si="0"/>
        <v>1</v>
      </c>
      <c r="G31" s="13">
        <f>IF(INDEX(Syafix!$D:$D, 31)="", NA(), INDEX(Syafix!$L:$L, 31))</f>
        <v>46261</v>
      </c>
      <c r="H31" t="str">
        <f t="shared" si="1"/>
        <v>Syafix (Business Analyst) - Integrasi TCES TICS - Membuat test case untuk end-to-end TCES untuk produk Tride dan execute testing sampai terbentuk polis number (BA)</v>
      </c>
    </row>
    <row r="32" spans="1:8" ht="91.5" customHeight="1" x14ac:dyDescent="0.2">
      <c r="A32" t="str">
        <f>IF(INDEX(Syafix!$D:$D, 32)="", NA(), "Syafix (Business Analyst)")</f>
        <v>Syafix (Business Analyst)</v>
      </c>
      <c r="B32" t="str">
        <f>IF(INDEX(Syafix!$D:$D, 32)="", NA(), INDEX(Syafix!$B:$B, 32))</f>
        <v>Integrasi TCES TICS</v>
      </c>
      <c r="C32" t="str">
        <f>IF(INDEX(Syafix!$D:$D, 32)="", NA(), INDEX(Syafix!$D:$D, 32))</f>
        <v>Mencari temuan hasil pengecekan input TCES ke TICS via API Integration (T-Ride)</v>
      </c>
      <c r="D32" t="str">
        <f>IF(INDEX(Syafix!$D:$D, 32)="", NA(), INDEX(Syafix!$E:$E, 32))</f>
        <v>DONE</v>
      </c>
      <c r="E32" s="13">
        <f>IF(INDEX(Syafix!$D:$D, 32)="", NA(), INDEX(Syafix!$K:$K, 32))</f>
        <v>46262</v>
      </c>
      <c r="F32">
        <f t="shared" si="0"/>
        <v>1</v>
      </c>
      <c r="G32" s="13">
        <f>IF(INDEX(Syafix!$D:$D, 32)="", NA(), INDEX(Syafix!$L:$L, 32))</f>
        <v>46262</v>
      </c>
      <c r="H32" t="str">
        <f t="shared" si="1"/>
        <v>Syafix (Business Analyst) - Integrasi TCES TICS - Mencari temuan hasil pengecekan input TCES ke TICS via API Integration (T-Ride)</v>
      </c>
    </row>
    <row r="33" spans="1:8" ht="91.5" customHeight="1" x14ac:dyDescent="0.2">
      <c r="A33" t="str">
        <f>IF(INDEX(Syafix!$D:$D, 33)="", NA(), "Syafix (Business Analyst)")</f>
        <v>Syafix (Business Analyst)</v>
      </c>
      <c r="B33" t="str">
        <f>IF(INDEX(Syafix!$D:$D, 33)="", NA(), INDEX(Syafix!$B:$B, 33))</f>
        <v>Integrasi TCES TICS</v>
      </c>
      <c r="C33" t="str">
        <f>IF(INDEX(Syafix!$D:$D, 33)="", NA(), INDEX(Syafix!$D:$D, 33))</f>
        <v>Pembuatan Sequence Diagram untuk flow end-to-end API Integration</v>
      </c>
      <c r="D33" t="str">
        <f>IF(INDEX(Syafix!$D:$D, 33)="", NA(), INDEX(Syafix!$E:$E, 33))</f>
        <v>DONE</v>
      </c>
      <c r="E33" s="13">
        <f>IF(INDEX(Syafix!$D:$D, 33)="", NA(), INDEX(Syafix!$K:$K, 33))</f>
        <v>46262</v>
      </c>
      <c r="F33">
        <f t="shared" si="0"/>
        <v>1</v>
      </c>
      <c r="G33" s="13">
        <f>IF(INDEX(Syafix!$D:$D, 33)="", NA(), INDEX(Syafix!$L:$L, 33))</f>
        <v>46262</v>
      </c>
      <c r="H33" t="str">
        <f t="shared" si="1"/>
        <v>Syafix (Business Analyst) - Integrasi TCES TICS - Pembuatan Sequence Diagram untuk flow end-to-end API Integration</v>
      </c>
    </row>
    <row r="34" spans="1:8" ht="60.75" customHeight="1" x14ac:dyDescent="0.2">
      <c r="A34" t="str">
        <f>IF(INDEX(Syafix!$D:$D, 34)="", NA(), "Syafix (Business Analyst)")</f>
        <v>Syafix (Business Analyst)</v>
      </c>
      <c r="B34" t="str">
        <f>IF(INDEX(Syafix!$D:$D, 34)="", NA(), INDEX(Syafix!$B:$B, 34))</f>
        <v>Integrasi TCES TICS</v>
      </c>
      <c r="C34" t="str">
        <f>IF(INDEX(Syafix!$D:$D, 34)="", NA(), INDEX(Syafix!$D:$D, 34))</f>
        <v>Pembuatan timesheet elistec</v>
      </c>
      <c r="D34" t="str">
        <f>IF(INDEX(Syafix!$D:$D, 34)="", NA(), INDEX(Syafix!$E:$E, 34))</f>
        <v>DONE</v>
      </c>
      <c r="E34" s="13">
        <f>IF(INDEX(Syafix!$D:$D, 34)="", NA(), INDEX(Syafix!$K:$K, 34))</f>
        <v>46265</v>
      </c>
      <c r="F34">
        <f t="shared" si="0"/>
        <v>1</v>
      </c>
      <c r="G34" s="13">
        <f>IF(INDEX(Syafix!$D:$D, 34)="", NA(), INDEX(Syafix!$L:$L, 34))</f>
        <v>46265</v>
      </c>
      <c r="H34" t="str">
        <f t="shared" si="1"/>
        <v>Syafix (Business Analyst) - Integrasi TCES TICS - Pembuatan timesheet elistec</v>
      </c>
    </row>
    <row r="35" spans="1:8" ht="91.5" customHeight="1" x14ac:dyDescent="0.2">
      <c r="A35" t="str">
        <f>IF(INDEX(Syafix!$D:$D, 35)="", NA(), "Syafix (Business Analyst)")</f>
        <v>Syafix (Business Analyst)</v>
      </c>
      <c r="B35" t="str">
        <f>IF(INDEX(Syafix!$D:$D, 35)="", NA(), INDEX(Syafix!$B:$B, 35))</f>
        <v>Integrasi TCES TICS</v>
      </c>
      <c r="C35" t="str">
        <f>IF(INDEX(Syafix!$D:$D, 35)="", NA(), INDEX(Syafix!$D:$D, 35))</f>
        <v>Pembuatan Data Travel dengan QA dan pengujian pada environment DEV</v>
      </c>
      <c r="D35" t="str">
        <f>IF(INDEX(Syafix!$D:$D, 35)="", NA(), INDEX(Syafix!$E:$E, 35))</f>
        <v>DONE</v>
      </c>
      <c r="E35" s="13">
        <f>IF(INDEX(Syafix!$D:$D, 35)="", NA(), INDEX(Syafix!$K:$K, 35))</f>
        <v>46265</v>
      </c>
      <c r="F35">
        <f t="shared" si="0"/>
        <v>1</v>
      </c>
      <c r="G35" s="13">
        <f>IF(INDEX(Syafix!$D:$D, 35)="", NA(), INDEX(Syafix!$L:$L, 35))</f>
        <v>46266</v>
      </c>
      <c r="H35" t="str">
        <f t="shared" si="1"/>
        <v>Syafix (Business Analyst) - Integrasi TCES TICS - Pembuatan Data Travel dengan QA dan pengujian pada environment DEV</v>
      </c>
    </row>
    <row r="36" spans="1:8" ht="60.75" customHeight="1" x14ac:dyDescent="0.2">
      <c r="A36" t="str">
        <f>IF(INDEX(Syafix!$D:$D, 36)="", NA(), "Syafix (Business Analyst)")</f>
        <v>Syafix (Business Analyst)</v>
      </c>
      <c r="B36" t="str">
        <f>IF(INDEX(Syafix!$D:$D, 36)="", NA(), INDEX(Syafix!$B:$B, 36))</f>
        <v>Integrasi TCES TICS</v>
      </c>
      <c r="C36" t="str">
        <f>IF(INDEX(Syafix!$D:$D, 36)="", NA(), INDEX(Syafix!$D:$D, 36))</f>
        <v>Pengujian TRide 4 Roda, end-to-end dari TCES hingga SAP</v>
      </c>
      <c r="D36" t="str">
        <f>IF(INDEX(Syafix!$D:$D, 36)="", NA(), INDEX(Syafix!$E:$E, 36))</f>
        <v>DONE</v>
      </c>
      <c r="E36" s="13">
        <f>IF(INDEX(Syafix!$D:$D, 36)="", NA(), INDEX(Syafix!$K:$K, 36))</f>
        <v>46266</v>
      </c>
      <c r="F36">
        <f t="shared" si="0"/>
        <v>1</v>
      </c>
      <c r="G36" s="13">
        <f>IF(INDEX(Syafix!$D:$D, 36)="", NA(), INDEX(Syafix!$L:$L, 36))</f>
        <v>46266</v>
      </c>
      <c r="H36" t="str">
        <f t="shared" si="1"/>
        <v>Syafix (Business Analyst) - Integrasi TCES TICS - Pengujian TRide 4 Roda, end-to-end dari TCES hingga SAP</v>
      </c>
    </row>
    <row r="37" spans="1:8" ht="91.5" customHeight="1" x14ac:dyDescent="0.2">
      <c r="A37" t="str">
        <f>IF(INDEX(Syafix!$D:$D, 37)="", NA(), "Syafix (Business Analyst)")</f>
        <v>Syafix (Business Analyst)</v>
      </c>
      <c r="B37" t="str">
        <f>IF(INDEX(Syafix!$D:$D, 37)="", NA(), INDEX(Syafix!$B:$B, 37))</f>
        <v>Integrasi TCES TICS</v>
      </c>
      <c r="C37" t="str">
        <f>IF(INDEX(Syafix!$D:$D, 37)="", NA(), INDEX(Syafix!$D:$D, 37))</f>
        <v>Melakukan Pengujian Perbaikan dari TDrive pada tanggal 1/9/2026 atau pada no row 31</v>
      </c>
      <c r="D37" t="str">
        <f>IF(INDEX(Syafix!$D:$D, 37)="", NA(), INDEX(Syafix!$E:$E, 37))</f>
        <v>DONE</v>
      </c>
      <c r="E37" s="13">
        <f>IF(INDEX(Syafix!$D:$D, 37)="", NA(), INDEX(Syafix!$K:$K, 37))</f>
        <v>46267</v>
      </c>
      <c r="F37">
        <f t="shared" si="0"/>
        <v>1</v>
      </c>
      <c r="G37" s="13">
        <f>IF(INDEX(Syafix!$D:$D, 37)="", NA(), INDEX(Syafix!$L:$L, 37))</f>
        <v>46267</v>
      </c>
      <c r="H37" t="str">
        <f t="shared" si="1"/>
        <v>Syafix (Business Analyst) - Integrasi TCES TICS - Melakukan Pengujian Perbaikan dari TDrive pada tanggal 1/9/2026 atau pada no row 31</v>
      </c>
    </row>
    <row r="38" spans="1:8" ht="60.75" customHeight="1" x14ac:dyDescent="0.2">
      <c r="A38" t="str">
        <f>IF(INDEX(Syafix!$D:$D, 38)="", NA(), "Syafix (Business Analyst)")</f>
        <v>Syafix (Business Analyst)</v>
      </c>
      <c r="B38" t="str">
        <f>IF(INDEX(Syafix!$D:$D, 38)="", NA(), INDEX(Syafix!$B:$B, 38))</f>
        <v>Integrasi TCES TICS</v>
      </c>
      <c r="C38" t="str">
        <f>IF(INDEX(Syafix!$D:$D, 38)="", NA(), INDEX(Syafix!$D:$D, 38))</f>
        <v>Membuat Test Case untuk pengujian end-to-end Travela</v>
      </c>
      <c r="D38" t="str">
        <f>IF(INDEX(Syafix!$D:$D, 38)="", NA(), INDEX(Syafix!$E:$E, 38))</f>
        <v>DONE</v>
      </c>
      <c r="E38" s="13">
        <f>IF(INDEX(Syafix!$D:$D, 38)="", NA(), INDEX(Syafix!$K:$K, 38))</f>
        <v>46267</v>
      </c>
      <c r="F38">
        <f t="shared" si="0"/>
        <v>1</v>
      </c>
      <c r="G38" s="13">
        <f>IF(INDEX(Syafix!$D:$D, 38)="", NA(), INDEX(Syafix!$L:$L, 38))</f>
        <v>46267</v>
      </c>
      <c r="H38" t="str">
        <f t="shared" si="1"/>
        <v>Syafix (Business Analyst) - Integrasi TCES TICS - Membuat Test Case untuk pengujian end-to-end Travela</v>
      </c>
    </row>
    <row r="39" spans="1:8" ht="91.5" customHeight="1" x14ac:dyDescent="0.2">
      <c r="A39" t="str">
        <f>IF(INDEX(Syafix!$D:$D, 39)="", NA(), "Syafix (Business Analyst)")</f>
        <v>Syafix (Business Analyst)</v>
      </c>
      <c r="B39" t="str">
        <f>IF(INDEX(Syafix!$D:$D, 39)="", NA(), INDEX(Syafix!$B:$B, 39))</f>
        <v>Integrasi TCES TICS</v>
      </c>
      <c r="C39" t="str">
        <f>IF(INDEX(Syafix!$D:$D, 39)="", NA(), INDEX(Syafix!$D:$D, 39))</f>
        <v>Membuat Matrix Pengujian Data TFire bersama QA dan TW</v>
      </c>
      <c r="D39" t="str">
        <f>IF(INDEX(Syafix!$D:$D, 39)="", NA(), INDEX(Syafix!$E:$E, 39))</f>
        <v>DONE</v>
      </c>
      <c r="E39" s="13">
        <f>IF(INDEX(Syafix!$D:$D, 39)="", NA(), INDEX(Syafix!$K:$K, 39))</f>
        <v>46268</v>
      </c>
      <c r="F39">
        <f t="shared" si="0"/>
        <v>1</v>
      </c>
      <c r="G39" s="13">
        <f>IF(INDEX(Syafix!$D:$D, 39)="", NA(), INDEX(Syafix!$L:$L, 39))</f>
        <v>46268</v>
      </c>
      <c r="H39" t="str">
        <f t="shared" si="1"/>
        <v>Syafix (Business Analyst) - Integrasi TCES TICS - Membuat Matrix Pengujian Data TFire bersama QA dan TW</v>
      </c>
    </row>
    <row r="40" spans="1:8" ht="30.75" customHeight="1" x14ac:dyDescent="0.2">
      <c r="A40" t="str">
        <f>IF(INDEX(Syafix!$D:$D, 40)="", NA(), "Syafix (Business Analyst)")</f>
        <v>Syafix (Business Analyst)</v>
      </c>
      <c r="B40" t="str">
        <f>IF(INDEX(Syafix!$D:$D, 40)="", NA(), INDEX(Syafix!$B:$B, 40))</f>
        <v>Integrasi TCES TICS</v>
      </c>
      <c r="C40" t="str">
        <f>IF(INDEX(Syafix!$D:$D, 40)="", NA(), INDEX(Syafix!$D:$D, 40))</f>
        <v>Membuat Summary Pengujian TFire u/ Tanggal 3 Sept</v>
      </c>
      <c r="D40" t="str">
        <f>IF(INDEX(Syafix!$D:$D, 40)="", NA(), INDEX(Syafix!$E:$E, 40))</f>
        <v>DONE</v>
      </c>
      <c r="E40" s="13">
        <f>IF(INDEX(Syafix!$D:$D, 40)="", NA(), INDEX(Syafix!$K:$K, 40))</f>
        <v>46268</v>
      </c>
      <c r="F40">
        <f t="shared" si="0"/>
        <v>1</v>
      </c>
      <c r="G40" s="13">
        <f>IF(INDEX(Syafix!$D:$D, 40)="", NA(), INDEX(Syafix!$L:$L, 40))</f>
        <v>46268</v>
      </c>
      <c r="H40" t="str">
        <f t="shared" si="1"/>
        <v>Syafix (Business Analyst) - Integrasi TCES TICS - Membuat Summary Pengujian TFire u/ Tanggal 3 Sept</v>
      </c>
    </row>
    <row r="41" spans="1:8" ht="30.75" customHeight="1" x14ac:dyDescent="0.2">
      <c r="A41" t="str">
        <f>IF(INDEX(Syafix!$D:$D, 41)="", NA(), "Syafix (Business Analyst)")</f>
        <v>Syafix (Business Analyst)</v>
      </c>
      <c r="B41" t="str">
        <f>IF(INDEX(Syafix!$D:$D, 41)="", NA(), INDEX(Syafix!$B:$B, 41))</f>
        <v>Integrasi TCES TICS</v>
      </c>
      <c r="C41" t="str">
        <f>IF(INDEX(Syafix!$D:$D, 41)="", NA(), INDEX(Syafix!$D:$D, 41))</f>
        <v>Membuat data input untuk pengujian yang sudah di Fix untuk Travela dan TFire</v>
      </c>
      <c r="D41" t="str">
        <f>IF(INDEX(Syafix!$D:$D, 41)="", NA(), INDEX(Syafix!$E:$E, 41))</f>
        <v>DONE</v>
      </c>
      <c r="E41" s="13">
        <f>IF(INDEX(Syafix!$D:$D, 41)="", NA(), INDEX(Syafix!$K:$K, 41))</f>
        <v>46268</v>
      </c>
      <c r="F41">
        <f t="shared" si="0"/>
        <v>1</v>
      </c>
      <c r="G41" s="13">
        <f>IF(INDEX(Syafix!$D:$D, 41)="", NA(), INDEX(Syafix!$L:$L, 41))</f>
        <v>46269</v>
      </c>
      <c r="H41" t="str">
        <f t="shared" si="1"/>
        <v>Syafix (Business Analyst) - Integrasi TCES TICS - Membuat data input untuk pengujian yang sudah di Fix untuk Travela dan TFire</v>
      </c>
    </row>
    <row r="42" spans="1:8" ht="30.75" customHeight="1" x14ac:dyDescent="0.2">
      <c r="A42" t="str">
        <f>IF(INDEX(Syafix!$D:$D, 42)="", NA(), "Syafix (Business Analyst)")</f>
        <v>Syafix (Business Analyst)</v>
      </c>
      <c r="B42" t="str">
        <f>IF(INDEX(Syafix!$D:$D, 42)="", NA(), INDEX(Syafix!$B:$B, 42))</f>
        <v>Integrasi TCES TICS</v>
      </c>
      <c r="C42" t="str">
        <f>IF(INDEX(Syafix!$D:$D, 42)="", NA(), INDEX(Syafix!$D:$D, 42))</f>
        <v>Pengujian kembali dari data TCES untuk TDrive, TRide, TFire, dan Travela setelah terdapat perbaikan pada aplikasi</v>
      </c>
      <c r="D42" t="str">
        <f>IF(INDEX(Syafix!$D:$D, 42)="", NA(), INDEX(Syafix!$E:$E, 42))</f>
        <v>DONE</v>
      </c>
      <c r="E42" s="13">
        <f>IF(INDEX(Syafix!$D:$D, 42)="", NA(), INDEX(Syafix!$K:$K, 42))</f>
        <v>46269</v>
      </c>
      <c r="F42">
        <f t="shared" si="0"/>
        <v>1</v>
      </c>
      <c r="G42" s="13">
        <f>IF(INDEX(Syafix!$D:$D, 42)="", NA(), INDEX(Syafix!$L:$L, 42))</f>
        <v>46269</v>
      </c>
      <c r="H42" t="str">
        <f t="shared" si="1"/>
        <v>Syafix (Business Analyst) - Integrasi TCES TICS - Pengujian kembali dari data TCES untuk TDrive, TRide, TFire, dan Travela setelah terdapat perbaikan pada aplikasi</v>
      </c>
    </row>
    <row r="43" spans="1:8" ht="30.75" customHeight="1" x14ac:dyDescent="0.2">
      <c r="A43" t="str">
        <f>IF(INDEX(Syafix!$D:$D, 43)="", NA(), "Syafix (Business Analyst)")</f>
        <v>Syafix (Business Analyst)</v>
      </c>
      <c r="B43" t="str">
        <f>IF(INDEX(Syafix!$D:$D, 43)="", NA(), INDEX(Syafix!$B:$B, 43))</f>
        <v>Integrasi TCES TICS</v>
      </c>
      <c r="C43" t="str">
        <f>IF(INDEX(Syafix!$D:$D, 43)="", NA(), INDEX(Syafix!$D:$D, 43))</f>
        <v>Meng-update kembali QA Tracker untuk pengujian sebelum dan sesudah fixing</v>
      </c>
      <c r="D43" t="str">
        <f>IF(INDEX(Syafix!$D:$D, 43)="", NA(), INDEX(Syafix!$E:$E, 43))</f>
        <v>DONE</v>
      </c>
      <c r="E43" s="13">
        <f>IF(INDEX(Syafix!$D:$D, 43)="", NA(), INDEX(Syafix!$K:$K, 43))</f>
        <v>46269</v>
      </c>
      <c r="F43">
        <f t="shared" si="0"/>
        <v>1</v>
      </c>
      <c r="G43" s="13">
        <f>IF(INDEX(Syafix!$D:$D, 43)="", NA(), INDEX(Syafix!$L:$L, 43))</f>
        <v>46269</v>
      </c>
      <c r="H43" t="str">
        <f t="shared" si="1"/>
        <v>Syafix (Business Analyst) - Integrasi TCES TICS - Meng-update kembali QA Tracker untuk pengujian sebelum dan sesudah fixing</v>
      </c>
    </row>
    <row r="44" spans="1:8" ht="30.75" customHeight="1" x14ac:dyDescent="0.2">
      <c r="A44" t="str">
        <f>IF(INDEX(Syafix!$D:$D, 44)="", NA(), "Syafix (Business Analyst)")</f>
        <v>Syafix (Business Analyst)</v>
      </c>
      <c r="B44" t="str">
        <f>IF(INDEX(Syafix!$D:$D, 44)="", NA(), INDEX(Syafix!$B:$B, 44))</f>
        <v>Integrasi TCES TICS</v>
      </c>
      <c r="C44" t="str">
        <f>IF(INDEX(Syafix!$D:$D, 44)="", NA(), INDEX(Syafix!$D:$D, 44))</f>
        <v>Meeting Pembahasan CMS TCES</v>
      </c>
      <c r="D44" t="str">
        <f>IF(INDEX(Syafix!$D:$D, 44)="", NA(), INDEX(Syafix!$E:$E, 44))</f>
        <v>DONE</v>
      </c>
      <c r="E44" s="13">
        <f>IF(INDEX(Syafix!$D:$D, 44)="", NA(), INDEX(Syafix!$K:$K, 44))</f>
        <v>46269</v>
      </c>
      <c r="F44">
        <f t="shared" si="0"/>
        <v>1</v>
      </c>
      <c r="G44" s="13">
        <f>IF(INDEX(Syafix!$D:$D, 44)="", NA(), INDEX(Syafix!$L:$L, 44))</f>
        <v>46269</v>
      </c>
      <c r="H44" t="str">
        <f t="shared" si="1"/>
        <v>Syafix (Business Analyst) - Integrasi TCES TICS - Meeting Pembahasan CMS TCES</v>
      </c>
    </row>
    <row r="45" spans="1:8" ht="30.75" customHeight="1" x14ac:dyDescent="0.2">
      <c r="A45" t="str">
        <f>IF(INDEX(Syafix!$D:$D, 45)="", NA(), "Syafix (Business Analyst)")</f>
        <v>Syafix (Business Analyst)</v>
      </c>
      <c r="B45" t="str">
        <f>IF(INDEX(Syafix!$D:$D, 45)="", NA(), INDEX(Syafix!$B:$B, 45))</f>
        <v>Integrasi TCES TICS</v>
      </c>
      <c r="C45" t="str">
        <f>IF(INDEX(Syafix!$D:$D, 45)="", NA(), INDEX(Syafix!$D:$D, 45))</f>
        <v>Meeting Pembahasan Pembagian Pekerjaan dan Percepatan untuk Go Live TCES Khusus untuk product TRide dan TDrive</v>
      </c>
      <c r="D45" t="str">
        <f>IF(INDEX(Syafix!$D:$D, 45)="", NA(), INDEX(Syafix!$E:$E, 45))</f>
        <v>DONE</v>
      </c>
      <c r="E45" s="13">
        <f>IF(INDEX(Syafix!$D:$D, 45)="", NA(), INDEX(Syafix!$K:$K, 45))</f>
        <v>46272</v>
      </c>
      <c r="F45">
        <f t="shared" si="0"/>
        <v>1</v>
      </c>
      <c r="G45" s="13">
        <f>IF(INDEX(Syafix!$D:$D, 45)="", NA(), INDEX(Syafix!$L:$L, 45))</f>
        <v>46272</v>
      </c>
      <c r="H45" t="str">
        <f t="shared" si="1"/>
        <v>Syafix (Business Analyst) - Integrasi TCES TICS - Meeting Pembahasan Pembagian Pekerjaan dan Percepatan untuk Go Live TCES Khusus untuk product TRide dan TDrive</v>
      </c>
    </row>
    <row r="46" spans="1:8" ht="45.75" customHeight="1" x14ac:dyDescent="0.2">
      <c r="A46" t="str">
        <f>IF(INDEX(Syafix!$D:$D, 46)="", NA(), "Syafix (Business Analyst)")</f>
        <v>Syafix (Business Analyst)</v>
      </c>
      <c r="B46" t="str">
        <f>IF(INDEX(Syafix!$D:$D, 46)="", NA(), INDEX(Syafix!$B:$B, 46))</f>
        <v>Integrasi TCES TICS</v>
      </c>
      <c r="C46" t="str">
        <f>IF(INDEX(Syafix!$D:$D, 46)="", NA(), INDEX(Syafix!$D:$D, 46))</f>
        <v>Membuat laporan BAST Elistec dan kelengkapan informasi data task pengerjaan project dari keseluruhan member</v>
      </c>
      <c r="D46" t="str">
        <f>IF(INDEX(Syafix!$D:$D, 46)="", NA(), INDEX(Syafix!$E:$E, 46))</f>
        <v>DONE</v>
      </c>
      <c r="E46" s="13">
        <f>IF(INDEX(Syafix!$D:$D, 46)="", NA(), INDEX(Syafix!$K:$K, 46))</f>
        <v>46272</v>
      </c>
      <c r="F46">
        <f t="shared" si="0"/>
        <v>1</v>
      </c>
      <c r="G46" s="13">
        <f>IF(INDEX(Syafix!$D:$D, 46)="", NA(), INDEX(Syafix!$L:$L, 46))</f>
        <v>46273</v>
      </c>
      <c r="H46" t="str">
        <f t="shared" si="1"/>
        <v>Syafix (Business Analyst) - Integrasi TCES TICS - Membuat laporan BAST Elistec dan kelengkapan informasi data task pengerjaan project dari keseluruhan member</v>
      </c>
    </row>
    <row r="47" spans="1:8" ht="15" customHeight="1" x14ac:dyDescent="0.2">
      <c r="A47" t="str">
        <f>IF(INDEX(Syafix!$D:$D, 47)="", NA(), "Syafix (Business Analyst)")</f>
        <v>Syafix (Business Analyst)</v>
      </c>
      <c r="B47" t="str">
        <f>IF(INDEX(Syafix!$D:$D, 47)="", NA(), INDEX(Syafix!$B:$B, 47))</f>
        <v>Integrasi TCES TICS</v>
      </c>
      <c r="C47" t="str">
        <f>IF(INDEX(Syafix!$D:$D, 47)="", NA(), INDEX(Syafix!$D:$D, 47))</f>
        <v>Perbaikan Struktur BRD</v>
      </c>
      <c r="D47" t="str">
        <f>IF(INDEX(Syafix!$D:$D, 47)="", NA(), INDEX(Syafix!$E:$E, 47))</f>
        <v>DONE</v>
      </c>
      <c r="E47" s="13">
        <f>IF(INDEX(Syafix!$D:$D, 47)="", NA(), INDEX(Syafix!$K:$K, 47))</f>
        <v>46272</v>
      </c>
      <c r="F47">
        <f t="shared" si="0"/>
        <v>4</v>
      </c>
      <c r="G47" s="13">
        <f>IF(INDEX(Syafix!$D:$D, 47)="", NA(), INDEX(Syafix!$L:$L, 47))</f>
        <v>46276</v>
      </c>
      <c r="H47" t="str">
        <f t="shared" si="1"/>
        <v>Syafix (Business Analyst) - Integrasi TCES TICS - Perbaikan Struktur BRD</v>
      </c>
    </row>
    <row r="48" spans="1:8" ht="15" customHeight="1" x14ac:dyDescent="0.2">
      <c r="A48" t="str">
        <f>IF(INDEX(Syafix!$D:$D, 48)="", NA(), "Syafix (Business Analyst)")</f>
        <v>Syafix (Business Analyst)</v>
      </c>
      <c r="B48" t="str">
        <f>IF(INDEX(Syafix!$D:$D, 48)="", NA(), INDEX(Syafix!$B:$B, 48))</f>
        <v>Integrasi TCES TICS</v>
      </c>
      <c r="C48" t="str">
        <f>IF(INDEX(Syafix!$D:$D, 48)="", NA(), INDEX(Syafix!$D:$D, 48))</f>
        <v>Penambahan informasi link evidence untuk semua timesheet kebutuhan BAST</v>
      </c>
      <c r="D48" t="str">
        <f>IF(INDEX(Syafix!$D:$D, 48)="", NA(), INDEX(Syafix!$E:$E, 48))</f>
        <v>DONE</v>
      </c>
      <c r="E48" s="13">
        <f>IF(INDEX(Syafix!$D:$D, 48)="", NA(), INDEX(Syafix!$K:$K, 48))</f>
        <v>46273</v>
      </c>
      <c r="F48">
        <f t="shared" si="0"/>
        <v>1</v>
      </c>
      <c r="G48" s="13">
        <f>IF(INDEX(Syafix!$D:$D, 48)="", NA(), INDEX(Syafix!$L:$L, 48))</f>
        <v>46273</v>
      </c>
      <c r="H48" t="str">
        <f t="shared" si="1"/>
        <v>Syafix (Business Analyst) - Integrasi TCES TICS - Penambahan informasi link evidence untuk semua timesheet kebutuhan BAST</v>
      </c>
    </row>
    <row r="49" spans="1:8" ht="15" customHeight="1" x14ac:dyDescent="0.2">
      <c r="A49" t="str">
        <f>IF(INDEX(Syafix!$D:$D, 49)="", NA(), "Syafix (Business Analyst)")</f>
        <v>Syafix (Business Analyst)</v>
      </c>
      <c r="B49" t="str">
        <f>IF(INDEX(Syafix!$D:$D, 49)="", NA(), INDEX(Syafix!$B:$B, 49))</f>
        <v>Pengembangan Mass Product Retail</v>
      </c>
      <c r="C49" t="str">
        <f>IF(INDEX(Syafix!$D:$D, 49)="", NA(), INDEX(Syafix!$D:$D, 49))</f>
        <v>Pembuatan TC Kebutuhan Testing Mass Product</v>
      </c>
      <c r="D49" t="str">
        <f>IF(INDEX(Syafix!$D:$D, 49)="", NA(), INDEX(Syafix!$E:$E, 49))</f>
        <v>TODO</v>
      </c>
      <c r="E49" s="13">
        <f>IF(INDEX(Syafix!$D:$D, 49)="", NA(), INDEX(Syafix!$K:$K, 49))</f>
        <v>46275</v>
      </c>
      <c r="F49">
        <f t="shared" si="0"/>
        <v>1</v>
      </c>
      <c r="G49" s="13">
        <f>IF(INDEX(Syafix!$D:$D, 49)="", NA(), INDEX(Syafix!$L:$L, 49))</f>
        <v>46275</v>
      </c>
      <c r="H49" t="str">
        <f t="shared" si="1"/>
        <v>Syafix (Business Analyst) - Pengembangan Mass Product Retail - Pembuatan TC Kebutuhan Testing Mass Product</v>
      </c>
    </row>
    <row r="50" spans="1:8" ht="15" customHeight="1" x14ac:dyDescent="0.2">
      <c r="A50" t="str">
        <f>IF(INDEX(Syafix!$D:$D, 50)="", NA(), "Syafix (Business Analyst)")</f>
        <v>Syafix (Business Analyst)</v>
      </c>
      <c r="B50" t="str">
        <f>IF(INDEX(Syafix!$D:$D, 50)="", NA(), INDEX(Syafix!$B:$B, 50))</f>
        <v>Pengembangan Mass Product Retail</v>
      </c>
      <c r="C50" t="str">
        <f>IF(INDEX(Syafix!$D:$D, 50)="", NA(), INDEX(Syafix!$D:$D, 50))</f>
        <v>Meeting penjelasan work flow mass product dengan developer, qa, dan BA</v>
      </c>
      <c r="D50" t="str">
        <f>IF(INDEX(Syafix!$D:$D, 50)="", NA(), INDEX(Syafix!$E:$E, 50))</f>
        <v>TODO</v>
      </c>
      <c r="E50" s="13">
        <f>IF(INDEX(Syafix!$D:$D, 50)="", NA(), INDEX(Syafix!$K:$K, 50))</f>
        <v>46275</v>
      </c>
      <c r="F50">
        <f t="shared" si="0"/>
        <v>1</v>
      </c>
      <c r="G50" s="13">
        <f>IF(INDEX(Syafix!$D:$D, 50)="", NA(), INDEX(Syafix!$L:$L, 50))</f>
        <v>46275</v>
      </c>
      <c r="H50" t="str">
        <f t="shared" si="1"/>
        <v>Syafix (Business Analyst) - Pengembangan Mass Product Retail - Meeting penjelasan work flow mass product dengan developer, qa, dan BA</v>
      </c>
    </row>
    <row r="51" spans="1:8" ht="15" customHeight="1" x14ac:dyDescent="0.2">
      <c r="A51" t="str">
        <f>IF(INDEX(Syafix!$D:$D, 51)="", NA(), "Syafix (Business Analyst)")</f>
        <v>Syafix (Business Analyst)</v>
      </c>
      <c r="B51" t="str">
        <f>IF(INDEX(Syafix!$D:$D, 51)="", NA(), INDEX(Syafix!$B:$B, 51))</f>
        <v>Integrasi TCES TICS</v>
      </c>
      <c r="C51" t="str">
        <f>IF(INDEX(Syafix!$D:$D, 51)="", NA(), INDEX(Syafix!$D:$D, 51))</f>
        <v>Finalisasi FSD</v>
      </c>
      <c r="D51" t="str">
        <f>IF(INDEX(Syafix!$D:$D, 51)="", NA(), INDEX(Syafix!$E:$E, 51))</f>
        <v>DONE</v>
      </c>
      <c r="E51" s="13">
        <f>IF(INDEX(Syafix!$D:$D, 51)="", NA(), INDEX(Syafix!$K:$K, 51))</f>
        <v>46275</v>
      </c>
      <c r="F51">
        <f t="shared" si="0"/>
        <v>1</v>
      </c>
      <c r="G51" s="13">
        <f>IF(INDEX(Syafix!$D:$D, 51)="", NA(), INDEX(Syafix!$L:$L, 51))</f>
        <v>46276</v>
      </c>
      <c r="H51" t="str">
        <f t="shared" si="1"/>
        <v>Syafix (Business Analyst) - Integrasi TCES TICS - Finalisasi FSD</v>
      </c>
    </row>
    <row r="52" spans="1:8" ht="15" customHeight="1" x14ac:dyDescent="0.2">
      <c r="A52" t="str">
        <f>IF(INDEX(Syafix!$D:$D, 52)="", NA(), "Syafix (Business Analyst)")</f>
        <v>Syafix (Business Analyst)</v>
      </c>
      <c r="B52" t="str">
        <f>IF(INDEX(Syafix!$D:$D, 52)="", NA(), INDEX(Syafix!$B:$B, 52))</f>
        <v>Integrasi TCES TICS</v>
      </c>
      <c r="C52" t="str">
        <f>IF(INDEX(Syafix!$D:$D, 52)="", NA(), INDEX(Syafix!$D:$D, 52))</f>
        <v>Finalisasi TSD (BA)</v>
      </c>
      <c r="D52" t="str">
        <f>IF(INDEX(Syafix!$D:$D, 52)="", NA(), INDEX(Syafix!$E:$E, 52))</f>
        <v>DONE</v>
      </c>
      <c r="E52" s="13">
        <f>IF(INDEX(Syafix!$D:$D, 52)="", NA(), INDEX(Syafix!$K:$K, 52))</f>
        <v>46275</v>
      </c>
      <c r="F52">
        <f t="shared" si="0"/>
        <v>1</v>
      </c>
      <c r="G52" s="13">
        <f>IF(INDEX(Syafix!$D:$D, 52)="", NA(), INDEX(Syafix!$L:$L, 52))</f>
        <v>46276</v>
      </c>
      <c r="H52" t="str">
        <f t="shared" si="1"/>
        <v>Syafix (Business Analyst) - Integrasi TCES TICS - Finalisasi TSD (BA)</v>
      </c>
    </row>
    <row r="53" spans="1:8" ht="15" customHeight="1" x14ac:dyDescent="0.2">
      <c r="A53" t="str">
        <f>IF(INDEX(Syafix!$D:$D, 53)="", NA(), "Syafix (Business Analyst)")</f>
        <v>Syafix (Business Analyst)</v>
      </c>
      <c r="B53" t="str">
        <f>IF(INDEX(Syafix!$D:$D, 53)="", NA(), INDEX(Syafix!$B:$B, 53))</f>
        <v>Integrasi TCES TICS</v>
      </c>
      <c r="C53" t="str">
        <f>IF(INDEX(Syafix!$D:$D, 53)="", NA(), INDEX(Syafix!$D:$D, 53))</f>
        <v>Pengujian Kembali dari Data TCES untuk TDRive, TRide, pada tanggal 8 Sept untuk penambahan pengujian promo</v>
      </c>
      <c r="D53" t="str">
        <f>IF(INDEX(Syafix!$D:$D, 53)="", NA(), INDEX(Syafix!$E:$E, 53))</f>
        <v>DONE</v>
      </c>
      <c r="E53" s="13">
        <f>IF(INDEX(Syafix!$D:$D, 53)="", NA(), INDEX(Syafix!$K:$K, 53))</f>
        <v>46275</v>
      </c>
      <c r="F53">
        <f t="shared" si="0"/>
        <v>1</v>
      </c>
      <c r="G53" s="13">
        <f>IF(INDEX(Syafix!$D:$D, 53)="", NA(), INDEX(Syafix!$L:$L, 53))</f>
        <v>46276</v>
      </c>
      <c r="H53" t="str">
        <f t="shared" si="1"/>
        <v>Syafix (Business Analyst) - Integrasi TCES TICS - Pengujian Kembali dari Data TCES untuk TDRive, TRide, pada tanggal 8 Sept untuk penambahan pengujian promo</v>
      </c>
    </row>
    <row r="54" spans="1:8" ht="15" customHeight="1" x14ac:dyDescent="0.2">
      <c r="A54" t="str">
        <f>IF(INDEX(Syafix!$D:$D, 54)="", NA(), "Syafix (Business Analyst)")</f>
        <v>Syafix (Business Analyst)</v>
      </c>
      <c r="B54" t="str">
        <f>IF(INDEX(Syafix!$D:$D, 54)="", NA(), INDEX(Syafix!$B:$B, 54))</f>
        <v>Integrasi TCES TICS</v>
      </c>
      <c r="C54" t="str">
        <f>IF(INDEX(Syafix!$D:$D, 54)="", NA(), INDEX(Syafix!$D:$D, 54))</f>
        <v>Lanjutan - Pengujian Kembali dari Data TCES untuk TDRive, TRide, pada tanggal 10 Sept untuk penambahan pengujian promo</v>
      </c>
      <c r="D54" t="str">
        <f>IF(INDEX(Syafix!$D:$D, 54)="", NA(), INDEX(Syafix!$E:$E, 54))</f>
        <v>DONE</v>
      </c>
      <c r="E54" s="13">
        <f>IF(INDEX(Syafix!$D:$D, 54)="", NA(), INDEX(Syafix!$K:$K, 54))</f>
        <v>46276</v>
      </c>
      <c r="F54">
        <f t="shared" si="0"/>
        <v>1</v>
      </c>
      <c r="G54" s="13">
        <f>IF(INDEX(Syafix!$D:$D, 54)="", NA(), INDEX(Syafix!$L:$L, 54))</f>
        <v>46276</v>
      </c>
      <c r="H54" t="str">
        <f t="shared" si="1"/>
        <v>Syafix (Business Analyst) - Integrasi TCES TICS - Lanjutan - Pengujian Kembali dari Data TCES untuk TDRive, TRide, pada tanggal 10 Sept untuk penambahan pengujian promo</v>
      </c>
    </row>
    <row r="55" spans="1:8" ht="15" customHeight="1" x14ac:dyDescent="0.2">
      <c r="A55" t="str">
        <f>IF(INDEX(Syafix!$D:$D, 55)="", NA(), "Syafix (Business Analyst)")</f>
        <v>Syafix (Business Analyst)</v>
      </c>
      <c r="B55" t="str">
        <f>IF(INDEX(Syafix!$D:$D, 55)="", NA(), INDEX(Syafix!$B:$B, 55))</f>
        <v>Integrasi TCES TICS</v>
      </c>
      <c r="C55" t="str">
        <f>IF(INDEX(Syafix!$D:$D, 55)="", NA(), INDEX(Syafix!$D:$D, 55))</f>
        <v>Mempelajari Treaty Travela dengan mas Egy dan mba Etha</v>
      </c>
      <c r="D55" t="str">
        <f>IF(INDEX(Syafix!$D:$D, 55)="", NA(), INDEX(Syafix!$E:$E, 55))</f>
        <v>DONE</v>
      </c>
      <c r="E55" s="13">
        <f>IF(INDEX(Syafix!$D:$D, 55)="", NA(), INDEX(Syafix!$K:$K, 55))</f>
        <v>46276</v>
      </c>
      <c r="F55">
        <f t="shared" si="0"/>
        <v>1</v>
      </c>
      <c r="G55" s="13">
        <f>IF(INDEX(Syafix!$D:$D, 55)="", NA(), INDEX(Syafix!$L:$L, 55))</f>
        <v>46276</v>
      </c>
      <c r="H55" t="str">
        <f t="shared" si="1"/>
        <v>Syafix (Business Analyst) - Integrasi TCES TICS - Mempelajari Treaty Travela dengan mas Egy dan mba Etha</v>
      </c>
    </row>
    <row r="56" spans="1:8" ht="15" customHeight="1" x14ac:dyDescent="0.2">
      <c r="A56" t="str">
        <f>IF(INDEX(Syafix!$D:$D, 56)="", NA(), "Syafix (Business Analyst)")</f>
        <v>Syafix (Business Analyst)</v>
      </c>
      <c r="B56" t="str">
        <f>IF(INDEX(Syafix!$D:$D, 56)="", NA(), INDEX(Syafix!$B:$B, 56))</f>
        <v>Integrasi TCES TICS</v>
      </c>
      <c r="C56" t="str">
        <f>IF(INDEX(Syafix!$D:$D, 56)="", NA(), INDEX(Syafix!$D:$D, 56))</f>
        <v>Update TCES Payload untuk penambahan informasi kode kendaraan agar sync dengan TICS</v>
      </c>
      <c r="D56" t="str">
        <f>IF(INDEX(Syafix!$D:$D, 56)="", NA(), INDEX(Syafix!$E:$E, 56))</f>
        <v>DONE</v>
      </c>
      <c r="E56" s="13">
        <f>IF(INDEX(Syafix!$D:$D, 56)="", NA(), INDEX(Syafix!$K:$K, 56))</f>
        <v>46280</v>
      </c>
      <c r="F56">
        <f t="shared" si="0"/>
        <v>3</v>
      </c>
      <c r="G56" s="13">
        <f>IF(INDEX(Syafix!$D:$D, 56)="", NA(), INDEX(Syafix!$L:$L, 56))</f>
        <v>46283</v>
      </c>
      <c r="H56" t="str">
        <f t="shared" si="1"/>
        <v>Syafix (Business Analyst) - Integrasi TCES TICS - Update TCES Payload untuk penambahan informasi kode kendaraan agar sync dengan TICS</v>
      </c>
    </row>
    <row r="57" spans="1:8" ht="72.5" customHeight="1" x14ac:dyDescent="0.2">
      <c r="A57" t="str">
        <f>IF(INDEX(Syafix!$D:$D, 57)="", NA(), "Syafix (Business Analyst)")</f>
        <v>Syafix (Business Analyst)</v>
      </c>
      <c r="B57" t="str">
        <f>IF(INDEX(Syafix!$D:$D, 57)="", NA(), INDEX(Syafix!$B:$B, 57))</f>
        <v>API Settlement Payment</v>
      </c>
      <c r="C57" t="str">
        <f>IF(INDEX(Syafix!$D:$D, 57)="", NA(), INDEX(Syafix!$D:$D, 57))</f>
        <v>Perancangan Sistem dan Project API Settlement Payment</v>
      </c>
      <c r="D57" t="str">
        <f>IF(INDEX(Syafix!$D:$D, 57)="", NA(), INDEX(Syafix!$E:$E, 57))</f>
        <v>DONE</v>
      </c>
      <c r="E57" s="13">
        <f>IF(INDEX(Syafix!$D:$D, 57)="", NA(), INDEX(Syafix!$K:$K, 57))</f>
        <v>46280</v>
      </c>
      <c r="F57">
        <f t="shared" si="0"/>
        <v>3</v>
      </c>
      <c r="G57" s="13">
        <f>IF(INDEX(Syafix!$D:$D, 57)="", NA(), INDEX(Syafix!$L:$L, 57))</f>
        <v>46283</v>
      </c>
      <c r="H57" t="str">
        <f t="shared" si="1"/>
        <v>Syafix (Business Analyst) - API Settlement Payment - Perancangan Sistem dan Project API Settlement Payment</v>
      </c>
    </row>
    <row r="58" spans="1:8" ht="87" customHeight="1" x14ac:dyDescent="0.2">
      <c r="A58" t="str">
        <f>IF(INDEX(Syafix!$D:$D, 58)="", NA(), "Syafix (Business Analyst)")</f>
        <v>Syafix (Business Analyst)</v>
      </c>
      <c r="B58" t="str">
        <f>IF(INDEX(Syafix!$D:$D, 58)="", NA(), INDEX(Syafix!$B:$B, 58))</f>
        <v>API Settlement Payment</v>
      </c>
      <c r="C58" t="str">
        <f>IF(INDEX(Syafix!$D:$D, 58)="", NA(), INDEX(Syafix!$D:$D, 58))</f>
        <v>Meeting Pembahasan Settlement Payment Flow</v>
      </c>
      <c r="D58" t="str">
        <f>IF(INDEX(Syafix!$D:$D, 58)="", NA(), INDEX(Syafix!$E:$E, 58))</f>
        <v>DONE</v>
      </c>
      <c r="E58" s="13">
        <f>IF(INDEX(Syafix!$D:$D, 58)="", NA(), INDEX(Syafix!$K:$K, 58))</f>
        <v>46280</v>
      </c>
      <c r="F58">
        <f t="shared" si="0"/>
        <v>1</v>
      </c>
      <c r="G58" s="13">
        <f>IF(INDEX(Syafix!$D:$D, 58)="", NA(), INDEX(Syafix!$L:$L, 58))</f>
        <v>46280</v>
      </c>
      <c r="H58" t="str">
        <f t="shared" si="1"/>
        <v>Syafix (Business Analyst) - API Settlement Payment - Meeting Pembahasan Settlement Payment Flow</v>
      </c>
    </row>
    <row r="59" spans="1:8" ht="72.5" customHeight="1" x14ac:dyDescent="0.2">
      <c r="A59" t="str">
        <f>IF(INDEX(Syafix!$D:$D, 59)="", NA(), "Syafix (Business Analyst)")</f>
        <v>Syafix (Business Analyst)</v>
      </c>
      <c r="B59" t="str">
        <f>IF(INDEX(Syafix!$D:$D, 59)="", NA(), INDEX(Syafix!$B:$B, 59))</f>
        <v>API Settlement Payment</v>
      </c>
      <c r="C59" t="str">
        <f>IF(INDEX(Syafix!$D:$D, 59)="", NA(), INDEX(Syafix!$D:$D, 59))</f>
        <v>Membuat Diagram Proses Perancangan API Settlement Payment</v>
      </c>
      <c r="D59" t="str">
        <f>IF(INDEX(Syafix!$D:$D, 59)="", NA(), INDEX(Syafix!$E:$E, 59))</f>
        <v>DONE</v>
      </c>
      <c r="E59" s="13">
        <f>IF(INDEX(Syafix!$D:$D, 59)="", NA(), INDEX(Syafix!$K:$K, 59))</f>
        <v>46280</v>
      </c>
      <c r="F59">
        <f t="shared" si="0"/>
        <v>3</v>
      </c>
      <c r="G59" s="13">
        <f>IF(INDEX(Syafix!$D:$D, 59)="", NA(), INDEX(Syafix!$L:$L, 59))</f>
        <v>46283</v>
      </c>
      <c r="H59" t="str">
        <f t="shared" si="1"/>
        <v>Syafix (Business Analyst) - API Settlement Payment - Membuat Diagram Proses Perancangan API Settlement Payment</v>
      </c>
    </row>
    <row r="60" spans="1:8" ht="145" customHeight="1" x14ac:dyDescent="0.2">
      <c r="A60" t="str">
        <f>IF(INDEX(Syafix!$D:$D, 60)="", NA(), "Syafix (Business Analyst)")</f>
        <v>Syafix (Business Analyst)</v>
      </c>
      <c r="B60" t="str">
        <f>IF(INDEX(Syafix!$D:$D, 60)="", NA(), INDEX(Syafix!$B:$B, 60))</f>
        <v>Integrasi TCES TICS</v>
      </c>
      <c r="C60" t="str">
        <f>IF(INDEX(Syafix!$D:$D, 60)="", NA(), INDEX(Syafix!$D:$D, 60))</f>
        <v>Meeting pembahasan Claim Polis TCES dengan Business User dan Elistec</v>
      </c>
      <c r="D60" t="str">
        <f>IF(INDEX(Syafix!$D:$D, 60)="", NA(), INDEX(Syafix!$E:$E, 60))</f>
        <v>DONE</v>
      </c>
      <c r="E60" s="13">
        <f>IF(INDEX(Syafix!$D:$D, 60)="", NA(), INDEX(Syafix!$K:$K, 60))</f>
        <v>46281</v>
      </c>
      <c r="F60">
        <f t="shared" si="0"/>
        <v>1</v>
      </c>
      <c r="G60" s="13">
        <f>IF(INDEX(Syafix!$D:$D, 60)="", NA(), INDEX(Syafix!$L:$L, 60))</f>
        <v>46281</v>
      </c>
      <c r="H60" t="str">
        <f t="shared" si="1"/>
        <v>Syafix (Business Analyst) - Integrasi TCES TICS - Meeting pembahasan Claim Polis TCES dengan Business User dan Elistec</v>
      </c>
    </row>
    <row r="61" spans="1:8" ht="72.5" customHeight="1" x14ac:dyDescent="0.2">
      <c r="A61" t="str">
        <f>IF(INDEX(Syafix!$D:$D, 61)="", NA(), "Syafix (Business Analyst)")</f>
        <v>Syafix (Business Analyst)</v>
      </c>
      <c r="B61" t="str">
        <f>IF(INDEX(Syafix!$D:$D, 61)="", NA(), INDEX(Syafix!$B:$B, 61))</f>
        <v>API Settlement Payment</v>
      </c>
      <c r="C61" t="str">
        <f>IF(INDEX(Syafix!$D:$D, 61)="", NA(), INDEX(Syafix!$D:$D, 61))</f>
        <v>Pembuatan BRD API Settlement Payment</v>
      </c>
      <c r="D61" t="str">
        <f>IF(INDEX(Syafix!$D:$D, 61)="", NA(), INDEX(Syafix!$E:$E, 61))</f>
        <v>DONE</v>
      </c>
      <c r="E61" s="13">
        <f>IF(INDEX(Syafix!$D:$D, 61)="", NA(), INDEX(Syafix!$K:$K, 61))</f>
        <v>46281</v>
      </c>
      <c r="F61">
        <f t="shared" si="0"/>
        <v>15</v>
      </c>
      <c r="G61" s="13">
        <f>IF(INDEX(Syafix!$D:$D, 61)="", NA(), INDEX(Syafix!$L:$L, 61))</f>
        <v>46296</v>
      </c>
      <c r="H61" t="str">
        <f t="shared" si="1"/>
        <v>Syafix (Business Analyst) - API Settlement Payment - Pembuatan BRD API Settlement Payment</v>
      </c>
    </row>
    <row r="62" spans="1:8" x14ac:dyDescent="0.2">
      <c r="A62" t="str">
        <f>IF(INDEX(Syafix!$D:$D, 62)="", NA(), "Syafix (Business Analyst)")</f>
        <v>Syafix (Business Analyst)</v>
      </c>
      <c r="B62" t="str">
        <f>IF(INDEX(Syafix!$D:$D, 62)="", NA(), INDEX(Syafix!$B:$B, 62))</f>
        <v>Integrasi TCES TICS</v>
      </c>
      <c r="C62" t="str">
        <f>IF(INDEX(Syafix!$D:$D, 62)="", NA(), INDEX(Syafix!$D:$D, 62))</f>
        <v>Membantu QA melakukan pengecekan data testing yang blocked</v>
      </c>
      <c r="D62" t="str">
        <f>IF(INDEX(Syafix!$D:$D, 62)="", NA(), INDEX(Syafix!$E:$E, 62))</f>
        <v>DONE</v>
      </c>
      <c r="E62" s="13">
        <f>IF(INDEX(Syafix!$D:$D, 62)="", NA(), INDEX(Syafix!$K:$K, 62))</f>
        <v>46282</v>
      </c>
      <c r="F62">
        <f t="shared" si="0"/>
        <v>1</v>
      </c>
      <c r="G62" s="13">
        <f>IF(INDEX(Syafix!$D:$D, 62)="", NA(), INDEX(Syafix!$L:$L, 62))</f>
        <v>46282</v>
      </c>
      <c r="H62" t="str">
        <f t="shared" si="1"/>
        <v>Syafix (Business Analyst) - Integrasi TCES TICS - Membantu QA melakukan pengecekan data testing yang blocked</v>
      </c>
    </row>
    <row r="63" spans="1:8" x14ac:dyDescent="0.2">
      <c r="A63" t="str">
        <f>IF(INDEX(Syafix!$D:$D, 63)="", NA(), "Syafix (Business Analyst)")</f>
        <v>Syafix (Business Analyst)</v>
      </c>
      <c r="B63" t="str">
        <f>IF(INDEX(Syafix!$D:$D, 63)="", NA(), INDEX(Syafix!$B:$B, 63))</f>
        <v>Integrasi TCES TICS</v>
      </c>
      <c r="C63" t="str">
        <f>IF(INDEX(Syafix!$D:$D, 63)="", NA(), INDEX(Syafix!$D:$D, 63))</f>
        <v>Meeting Sharing Knowledge TCES oleh tim Elistec dan Tugu</v>
      </c>
      <c r="D63" t="str">
        <f>IF(INDEX(Syafix!$D:$D, 63)="", NA(), INDEX(Syafix!$E:$E, 63))</f>
        <v>DONE</v>
      </c>
      <c r="E63" s="13">
        <f>IF(INDEX(Syafix!$D:$D, 63)="", NA(), INDEX(Syafix!$K:$K, 63))</f>
        <v>46283</v>
      </c>
      <c r="F63">
        <f t="shared" si="0"/>
        <v>1</v>
      </c>
      <c r="G63" s="13">
        <f>IF(INDEX(Syafix!$D:$D, 63)="", NA(), INDEX(Syafix!$L:$L, 63))</f>
        <v>46283</v>
      </c>
      <c r="H63" t="str">
        <f t="shared" si="1"/>
        <v>Syafix (Business Analyst) - Integrasi TCES TICS - Meeting Sharing Knowledge TCES oleh tim Elistec dan Tugu</v>
      </c>
    </row>
    <row r="64" spans="1:8" x14ac:dyDescent="0.2">
      <c r="A64" t="str">
        <f>IF(INDEX(Syafix!$D:$D, 64)="", NA(), "Syafix (Business Analyst)")</f>
        <v>Syafix (Business Analyst)</v>
      </c>
      <c r="B64" t="str">
        <f>IF(INDEX(Syafix!$D:$D, 64)="", NA(), INDEX(Syafix!$B:$B, 64))</f>
        <v>API Settlement Payment</v>
      </c>
      <c r="C64" t="str">
        <f>IF(INDEX(Syafix!$D:$D, 64)="", NA(), INDEX(Syafix!$D:$D, 64))</f>
        <v>Melengkapi Dokumen TSD</v>
      </c>
      <c r="D64" t="str">
        <f>IF(INDEX(Syafix!$D:$D, 64)="", NA(), INDEX(Syafix!$E:$E, 64))</f>
        <v>DONE</v>
      </c>
      <c r="E64" s="13">
        <f>IF(INDEX(Syafix!$D:$D, 64)="", NA(), INDEX(Syafix!$K:$K, 64))</f>
        <v>46283</v>
      </c>
      <c r="F64">
        <f t="shared" si="0"/>
        <v>17</v>
      </c>
      <c r="G64" s="13">
        <f>IF(INDEX(Syafix!$D:$D, 64)="", NA(), INDEX(Syafix!$L:$L, 64))</f>
        <v>46300</v>
      </c>
      <c r="H64" t="str">
        <f t="shared" si="1"/>
        <v>Syafix (Business Analyst) - API Settlement Payment - Melengkapi Dokumen TSD</v>
      </c>
    </row>
    <row r="65" spans="1:8" x14ac:dyDescent="0.2">
      <c r="A65" t="str">
        <f>IF(INDEX(Syafix!$D:$D, 65)="", NA(), "Syafix (Business Analyst)")</f>
        <v>Syafix (Business Analyst)</v>
      </c>
      <c r="B65" t="str">
        <f>IF(INDEX(Syafix!$D:$D, 65)="", NA(), INDEX(Syafix!$B:$B, 65))</f>
        <v>API Settlement Payment</v>
      </c>
      <c r="C65" t="str">
        <f>IF(INDEX(Syafix!$D:$D, 65)="", NA(), INDEX(Syafix!$D:$D, 65))</f>
        <v xml:space="preserve">Melengkapi Dokumen FSD </v>
      </c>
      <c r="D65" t="str">
        <f>IF(INDEX(Syafix!$D:$D, 65)="", NA(), INDEX(Syafix!$E:$E, 65))</f>
        <v>DONE</v>
      </c>
      <c r="E65" s="13">
        <f>IF(INDEX(Syafix!$D:$D, 65)="", NA(), INDEX(Syafix!$K:$K, 65))</f>
        <v>46283</v>
      </c>
      <c r="F65">
        <f t="shared" si="0"/>
        <v>17</v>
      </c>
      <c r="G65" s="13">
        <f>IF(INDEX(Syafix!$D:$D, 65)="", NA(), INDEX(Syafix!$L:$L, 65))</f>
        <v>46300</v>
      </c>
      <c r="H65" t="str">
        <f t="shared" si="1"/>
        <v xml:space="preserve">Syafix (Business Analyst) - API Settlement Payment - Melengkapi Dokumen FSD </v>
      </c>
    </row>
    <row r="66" spans="1:8" x14ac:dyDescent="0.2">
      <c r="A66" t="str">
        <f>IF(INDEX(Syafix!$D:$D, 66)="", NA(), "Syafix (Business Analyst)")</f>
        <v>Syafix (Business Analyst)</v>
      </c>
      <c r="B66" t="str">
        <f>IF(INDEX(Syafix!$D:$D, 66)="", NA(), INDEX(Syafix!$B:$B, 66))</f>
        <v>API Settlement Payment</v>
      </c>
      <c r="C66" t="str">
        <f>IF(INDEX(Syafix!$D:$D, 66)="", NA(), INDEX(Syafix!$D:$D, 66))</f>
        <v>Membuat Diagram Sequence API Settlemen Payment</v>
      </c>
      <c r="D66" t="str">
        <f>IF(INDEX(Syafix!$D:$D, 66)="", NA(), INDEX(Syafix!$E:$E, 66))</f>
        <v>DONE</v>
      </c>
      <c r="E66" s="13">
        <f>IF(INDEX(Syafix!$D:$D, 66)="", NA(), INDEX(Syafix!$K:$K, 66))</f>
        <v>46286</v>
      </c>
      <c r="F66">
        <f t="shared" ref="F66:F129" si="2">IF(OR(E66="", ISNA(E66), ISNA(G66)), 0, MAX(1, G66-E66))</f>
        <v>2</v>
      </c>
      <c r="G66" s="13">
        <f>IF(INDEX(Syafix!$D:$D, 66)="", NA(), INDEX(Syafix!$L:$L, 66))</f>
        <v>46288</v>
      </c>
      <c r="H66" t="str">
        <f t="shared" ref="H66:H129" si="3">IF(ISNA(C66), NA(), A66 &amp; " - " &amp; B66 &amp; " - " &amp; C66)</f>
        <v>Syafix (Business Analyst) - API Settlement Payment - Membuat Diagram Sequence API Settlemen Payment</v>
      </c>
    </row>
    <row r="67" spans="1:8" x14ac:dyDescent="0.2">
      <c r="A67" t="str">
        <f>IF(INDEX(Syafix!$D:$D, 67)="", NA(), "Syafix (Business Analyst)")</f>
        <v>Syafix (Business Analyst)</v>
      </c>
      <c r="B67" t="str">
        <f>IF(INDEX(Syafix!$D:$D, 67)="", NA(), INDEX(Syafix!$B:$B, 67))</f>
        <v>API Settlement Payment</v>
      </c>
      <c r="C67" t="str">
        <f>IF(INDEX(Syafix!$D:$D, 67)="", NA(), INDEX(Syafix!$D:$D, 67))</f>
        <v>Membuat ERD API Settlemen Payment</v>
      </c>
      <c r="D67" t="str">
        <f>IF(INDEX(Syafix!$D:$D, 67)="", NA(), INDEX(Syafix!$E:$E, 67))</f>
        <v>DONE</v>
      </c>
      <c r="E67" s="13">
        <f>IF(INDEX(Syafix!$D:$D, 67)="", NA(), INDEX(Syafix!$K:$K, 67))</f>
        <v>46286</v>
      </c>
      <c r="F67">
        <f t="shared" si="2"/>
        <v>2</v>
      </c>
      <c r="G67" s="13">
        <f>IF(INDEX(Syafix!$D:$D, 67)="", NA(), INDEX(Syafix!$L:$L, 67))</f>
        <v>46288</v>
      </c>
      <c r="H67" t="str">
        <f t="shared" si="3"/>
        <v>Syafix (Business Analyst) - API Settlement Payment - Membuat ERD API Settlemen Payment</v>
      </c>
    </row>
    <row r="68" spans="1:8" x14ac:dyDescent="0.2">
      <c r="A68" t="str">
        <f>IF(INDEX(Syafix!$D:$D, 68)="", NA(), "Syafix (Business Analyst)")</f>
        <v>Syafix (Business Analyst)</v>
      </c>
      <c r="B68" t="str">
        <f>IF(INDEX(Syafix!$D:$D, 68)="", NA(), INDEX(Syafix!$B:$B, 68))</f>
        <v>API Settlement Payment</v>
      </c>
      <c r="C68" t="str">
        <f>IF(INDEX(Syafix!$D:$D, 68)="", NA(), INDEX(Syafix!$D:$D, 68))</f>
        <v>Perancangan Struktur Payload untuk Settlement Payment TCES - TICS</v>
      </c>
      <c r="D68" t="str">
        <f>IF(INDEX(Syafix!$D:$D, 68)="", NA(), INDEX(Syafix!$E:$E, 68))</f>
        <v>DONE</v>
      </c>
      <c r="E68" s="13">
        <f>IF(INDEX(Syafix!$D:$D, 68)="", NA(), INDEX(Syafix!$K:$K, 68))</f>
        <v>46286</v>
      </c>
      <c r="F68">
        <f t="shared" si="2"/>
        <v>2</v>
      </c>
      <c r="G68" s="13">
        <f>IF(INDEX(Syafix!$D:$D, 68)="", NA(), INDEX(Syafix!$L:$L, 68))</f>
        <v>46288</v>
      </c>
      <c r="H68" t="str">
        <f t="shared" si="3"/>
        <v>Syafix (Business Analyst) - API Settlement Payment - Perancangan Struktur Payload untuk Settlement Payment TCES - TICS</v>
      </c>
    </row>
    <row r="69" spans="1:8" x14ac:dyDescent="0.2">
      <c r="A69" t="str">
        <f>IF(INDEX(Syafix!$D:$D, 69)="", NA(), "Syafix (Business Analyst)")</f>
        <v>Syafix (Business Analyst)</v>
      </c>
      <c r="B69" t="str">
        <f>IF(INDEX(Syafix!$D:$D, 69)="", NA(), INDEX(Syafix!$B:$B, 69))</f>
        <v>API Settlement Payment</v>
      </c>
      <c r="C69" t="str">
        <f>IF(INDEX(Syafix!$D:$D, 69)="", NA(), INDEX(Syafix!$D:$D, 69))</f>
        <v>Membuat penambahan kolom untuk menggunakan table lama yang sudah dibuat untuk sesuai dengan Settlement Payment</v>
      </c>
      <c r="D69" t="str">
        <f>IF(INDEX(Syafix!$D:$D, 69)="", NA(), INDEX(Syafix!$E:$E, 69))</f>
        <v>DONE</v>
      </c>
      <c r="E69" s="13">
        <f>IF(INDEX(Syafix!$D:$D, 69)="", NA(), INDEX(Syafix!$K:$K, 69))</f>
        <v>46287</v>
      </c>
      <c r="F69">
        <f t="shared" si="2"/>
        <v>2</v>
      </c>
      <c r="G69" s="13">
        <f>IF(INDEX(Syafix!$D:$D, 69)="", NA(), INDEX(Syafix!$L:$L, 69))</f>
        <v>46289</v>
      </c>
      <c r="H69" t="str">
        <f t="shared" si="3"/>
        <v>Syafix (Business Analyst) - API Settlement Payment - Membuat penambahan kolom untuk menggunakan table lama yang sudah dibuat untuk sesuai dengan Settlement Payment</v>
      </c>
    </row>
    <row r="70" spans="1:8" x14ac:dyDescent="0.2">
      <c r="A70" t="str">
        <f>IF(INDEX(Syafix!$D:$D, 70)="", NA(), "Syafix (Business Analyst)")</f>
        <v>Syafix (Business Analyst)</v>
      </c>
      <c r="B70" t="str">
        <f>IF(INDEX(Syafix!$D:$D, 70)="", NA(), INDEX(Syafix!$B:$B, 70))</f>
        <v>API Settlement Payment</v>
      </c>
      <c r="C70" t="str">
        <f>IF(INDEX(Syafix!$D:$D, 70)="", NA(), INDEX(Syafix!$D:$D, 70))</f>
        <v xml:space="preserve">Pendefinisian informasi pengambilan data ZSDDT0002 untuk spesifik zreq id tertentu dan informasi balikan dari SAP terkait GJAHR dan BELNR </v>
      </c>
      <c r="D70" t="str">
        <f>IF(INDEX(Syafix!$D:$D, 70)="", NA(), INDEX(Syafix!$E:$E, 70))</f>
        <v>DONE</v>
      </c>
      <c r="E70" s="13">
        <f>IF(INDEX(Syafix!$D:$D, 70)="", NA(), INDEX(Syafix!$K:$K, 70))</f>
        <v>46287</v>
      </c>
      <c r="F70">
        <f t="shared" si="2"/>
        <v>2</v>
      </c>
      <c r="G70" s="13">
        <f>IF(INDEX(Syafix!$D:$D, 70)="", NA(), INDEX(Syafix!$L:$L, 70))</f>
        <v>46289</v>
      </c>
      <c r="H70" t="str">
        <f t="shared" si="3"/>
        <v xml:space="preserve">Syafix (Business Analyst) - API Settlement Payment - Pendefinisian informasi pengambilan data ZSDDT0002 untuk spesifik zreq id tertentu dan informasi balikan dari SAP terkait GJAHR dan BELNR </v>
      </c>
    </row>
    <row r="71" spans="1:8" x14ac:dyDescent="0.2">
      <c r="A71" t="str">
        <f>IF(INDEX(Syafix!$D:$D, 71)="", NA(), "Syafix (Business Analyst)")</f>
        <v>Syafix (Business Analyst)</v>
      </c>
      <c r="B71" t="str">
        <f>IF(INDEX(Syafix!$D:$D, 71)="", NA(), INDEX(Syafix!$B:$B, 71))</f>
        <v>API Settlement Payment</v>
      </c>
      <c r="C71" t="str">
        <f>IF(INDEX(Syafix!$D:$D, 71)="", NA(), INDEX(Syafix!$D:$D, 71))</f>
        <v>Update diagram Sequence API Settlement Payment</v>
      </c>
      <c r="D71" t="str">
        <f>IF(INDEX(Syafix!$D:$D, 71)="", NA(), INDEX(Syafix!$E:$E, 71))</f>
        <v>DONE</v>
      </c>
      <c r="E71" s="13">
        <f>IF(INDEX(Syafix!$D:$D, 71)="", NA(), INDEX(Syafix!$K:$K, 71))</f>
        <v>46288</v>
      </c>
      <c r="F71">
        <f t="shared" si="2"/>
        <v>1</v>
      </c>
      <c r="G71" s="13">
        <f>IF(INDEX(Syafix!$D:$D, 71)="", NA(), INDEX(Syafix!$L:$L, 71))</f>
        <v>46288</v>
      </c>
      <c r="H71" t="str">
        <f t="shared" si="3"/>
        <v>Syafix (Business Analyst) - API Settlement Payment - Update diagram Sequence API Settlement Payment</v>
      </c>
    </row>
    <row r="72" spans="1:8" x14ac:dyDescent="0.2">
      <c r="A72" t="str">
        <f>IF(INDEX(Syafix!$D:$D, 72)="", NA(), "Syafix (Business Analyst)")</f>
        <v>Syafix (Business Analyst)</v>
      </c>
      <c r="B72" t="str">
        <f>IF(INDEX(Syafix!$D:$D, 72)="", NA(), INDEX(Syafix!$B:$B, 72))</f>
        <v>API Settlement Payment</v>
      </c>
      <c r="C72" t="str">
        <f>IF(INDEX(Syafix!$D:$D, 72)="", NA(), INDEX(Syafix!$D:$D, 72))</f>
        <v>Update diagram FlowChart API Settlement Payment</v>
      </c>
      <c r="D72" t="str">
        <f>IF(INDEX(Syafix!$D:$D, 72)="", NA(), INDEX(Syafix!$E:$E, 72))</f>
        <v>DONE</v>
      </c>
      <c r="E72" s="13">
        <f>IF(INDEX(Syafix!$D:$D, 72)="", NA(), INDEX(Syafix!$K:$K, 72))</f>
        <v>46288</v>
      </c>
      <c r="F72">
        <f t="shared" si="2"/>
        <v>1</v>
      </c>
      <c r="G72" s="13">
        <f>IF(INDEX(Syafix!$D:$D, 72)="", NA(), INDEX(Syafix!$L:$L, 72))</f>
        <v>46288</v>
      </c>
      <c r="H72" t="str">
        <f t="shared" si="3"/>
        <v>Syafix (Business Analyst) - API Settlement Payment - Update diagram FlowChart API Settlement Payment</v>
      </c>
    </row>
    <row r="73" spans="1:8" x14ac:dyDescent="0.2">
      <c r="A73" t="str">
        <f>IF(INDEX(Syafix!$D:$D, 73)="", NA(), "Syafix (Business Analyst)")</f>
        <v>Syafix (Business Analyst)</v>
      </c>
      <c r="B73" t="str">
        <f>IF(INDEX(Syafix!$D:$D, 73)="", NA(), INDEX(Syafix!$B:$B, 73))</f>
        <v>API Settlement Payment</v>
      </c>
      <c r="C73" t="str">
        <f>IF(INDEX(Syafix!$D:$D, 73)="", NA(), INDEX(Syafix!$D:$D, 73))</f>
        <v>Perancangan model scheduler pada API Settlement Payment untuk melakukan rekonsiliasi data</v>
      </c>
      <c r="D73" t="str">
        <f>IF(INDEX(Syafix!$D:$D, 73)="", NA(), INDEX(Syafix!$E:$E, 73))</f>
        <v>DONE</v>
      </c>
      <c r="E73" s="13">
        <f>IF(INDEX(Syafix!$D:$D, 73)="", NA(), INDEX(Syafix!$K:$K, 73))</f>
        <v>46288</v>
      </c>
      <c r="F73">
        <f t="shared" si="2"/>
        <v>1</v>
      </c>
      <c r="G73" s="13">
        <f>IF(INDEX(Syafix!$D:$D, 73)="", NA(), INDEX(Syafix!$L:$L, 73))</f>
        <v>46289</v>
      </c>
      <c r="H73" t="str">
        <f t="shared" si="3"/>
        <v>Syafix (Business Analyst) - API Settlement Payment - Perancangan model scheduler pada API Settlement Payment untuk melakukan rekonsiliasi data</v>
      </c>
    </row>
    <row r="74" spans="1:8" x14ac:dyDescent="0.2">
      <c r="A74" t="str">
        <f>IF(INDEX(Syafix!$D:$D, 74)="", NA(), "Syafix (Business Analyst)")</f>
        <v>Syafix (Business Analyst)</v>
      </c>
      <c r="B74" t="str">
        <f>IF(INDEX(Syafix!$D:$D, 74)="", NA(), INDEX(Syafix!$B:$B, 74))</f>
        <v>API Settlement Payment</v>
      </c>
      <c r="C74" t="str">
        <f>IF(INDEX(Syafix!$D:$D, 74)="", NA(), INDEX(Syafix!$D:$D, 74))</f>
        <v>Pengecekan api-doc / Swagger untuk API Settlement Payment</v>
      </c>
      <c r="D74" t="str">
        <f>IF(INDEX(Syafix!$D:$D, 74)="", NA(), INDEX(Syafix!$E:$E, 74))</f>
        <v>DONE</v>
      </c>
      <c r="E74" s="13">
        <f>IF(INDEX(Syafix!$D:$D, 74)="", NA(), INDEX(Syafix!$K:$K, 74))</f>
        <v>46288</v>
      </c>
      <c r="F74">
        <f t="shared" si="2"/>
        <v>1</v>
      </c>
      <c r="G74" s="13">
        <f>IF(INDEX(Syafix!$D:$D, 74)="", NA(), INDEX(Syafix!$L:$L, 74))</f>
        <v>46289</v>
      </c>
      <c r="H74" t="str">
        <f t="shared" si="3"/>
        <v>Syafix (Business Analyst) - API Settlement Payment - Pengecekan api-doc / Swagger untuk API Settlement Payment</v>
      </c>
    </row>
    <row r="75" spans="1:8" x14ac:dyDescent="0.2">
      <c r="A75" t="str">
        <f>IF(INDEX(Syafix!$D:$D, 75)="", NA(), "Syafix (Business Analyst)")</f>
        <v>Syafix (Business Analyst)</v>
      </c>
      <c r="B75" t="str">
        <f>IF(INDEX(Syafix!$D:$D, 75)="", NA(), INDEX(Syafix!$B:$B, 75))</f>
        <v>API Settlement Payment</v>
      </c>
      <c r="C75" t="str">
        <f>IF(INDEX(Syafix!$D:$D, 75)="", NA(), INDEX(Syafix!$D:$D, 75))</f>
        <v xml:space="preserve">Pembuatan Test Case scenario untuk melihat transaction date dan bill date sesuai </v>
      </c>
      <c r="D75" t="str">
        <f>IF(INDEX(Syafix!$D:$D, 75)="", NA(), INDEX(Syafix!$E:$E, 75))</f>
        <v>DONE</v>
      </c>
      <c r="E75" s="13">
        <f>IF(INDEX(Syafix!$D:$D, 75)="", NA(), INDEX(Syafix!$K:$K, 75))</f>
        <v>46289</v>
      </c>
      <c r="F75">
        <f t="shared" si="2"/>
        <v>1</v>
      </c>
      <c r="G75" s="13">
        <f>IF(INDEX(Syafix!$D:$D, 75)="", NA(), INDEX(Syafix!$L:$L, 75))</f>
        <v>46290</v>
      </c>
      <c r="H75" t="str">
        <f t="shared" si="3"/>
        <v xml:space="preserve">Syafix (Business Analyst) - API Settlement Payment - Pembuatan Test Case scenario untuk melihat transaction date dan bill date sesuai </v>
      </c>
    </row>
    <row r="76" spans="1:8" x14ac:dyDescent="0.2">
      <c r="A76" t="str">
        <f>IF(INDEX(Syafix!$D:$D, 76)="", NA(), "Syafix (Business Analyst)")</f>
        <v>Syafix (Business Analyst)</v>
      </c>
      <c r="B76" t="str">
        <f>IF(INDEX(Syafix!$D:$D, 76)="", NA(), INDEX(Syafix!$B:$B, 76))</f>
        <v>API Settlement Payment</v>
      </c>
      <c r="C76" t="str">
        <f>IF(INDEX(Syafix!$D:$D, 76)="", NA(), INDEX(Syafix!$D:$D, 76))</f>
        <v>Pengecekan API Settlement Payment integrasi antara TCES dengan TICS</v>
      </c>
      <c r="D76" t="str">
        <f>IF(INDEX(Syafix!$D:$D, 76)="", NA(), INDEX(Syafix!$E:$E, 76))</f>
        <v>DONE</v>
      </c>
      <c r="E76" s="13">
        <f>IF(INDEX(Syafix!$D:$D, 76)="", NA(), INDEX(Syafix!$K:$K, 76))</f>
        <v>46289</v>
      </c>
      <c r="F76">
        <f t="shared" si="2"/>
        <v>6</v>
      </c>
      <c r="G76" s="13">
        <f>IF(INDEX(Syafix!$D:$D, 76)="", NA(), INDEX(Syafix!$L:$L, 76))</f>
        <v>46295</v>
      </c>
      <c r="H76" t="str">
        <f t="shared" si="3"/>
        <v>Syafix (Business Analyst) - API Settlement Payment - Pengecekan API Settlement Payment integrasi antara TCES dengan TICS</v>
      </c>
    </row>
    <row r="77" spans="1:8" x14ac:dyDescent="0.2">
      <c r="A77" t="str">
        <f>IF(INDEX(Syafix!$D:$D, 77)="", NA(), "Syafix (Business Analyst)")</f>
        <v>Syafix (Business Analyst)</v>
      </c>
      <c r="B77" t="str">
        <f>IF(INDEX(Syafix!$D:$D, 77)="", NA(), INDEX(Syafix!$B:$B, 77))</f>
        <v>API Settlement Payment</v>
      </c>
      <c r="C77" t="str">
        <f>IF(INDEX(Syafix!$D:$D, 77)="", NA(), INDEX(Syafix!$D:$D, 77))</f>
        <v>Finalisasi Diagram Arsitektural, FlowChart, Sequence API Settlement Payment</v>
      </c>
      <c r="D77" t="str">
        <f>IF(INDEX(Syafix!$D:$D, 77)="", NA(), INDEX(Syafix!$E:$E, 77))</f>
        <v>DONE</v>
      </c>
      <c r="E77" s="13">
        <f>IF(INDEX(Syafix!$D:$D, 77)="", NA(), INDEX(Syafix!$K:$K, 77))</f>
        <v>46289</v>
      </c>
      <c r="F77">
        <f t="shared" si="2"/>
        <v>1</v>
      </c>
      <c r="G77" s="13">
        <f>IF(INDEX(Syafix!$D:$D, 77)="", NA(), INDEX(Syafix!$L:$L, 77))</f>
        <v>46289</v>
      </c>
      <c r="H77" t="str">
        <f t="shared" si="3"/>
        <v>Syafix (Business Analyst) - API Settlement Payment - Finalisasi Diagram Arsitektural, FlowChart, Sequence API Settlement Payment</v>
      </c>
    </row>
    <row r="78" spans="1:8" x14ac:dyDescent="0.2">
      <c r="A78" t="str">
        <f>IF(INDEX(Syafix!$D:$D, 78)="", NA(), "Syafix (Business Analyst)")</f>
        <v>Syafix (Business Analyst)</v>
      </c>
      <c r="B78" t="str">
        <f>IF(INDEX(Syafix!$D:$D, 78)="", NA(), INDEX(Syafix!$B:$B, 78))</f>
        <v>API Settlement Payment</v>
      </c>
      <c r="C78" t="str">
        <f>IF(INDEX(Syafix!$D:$D, 78)="", NA(), INDEX(Syafix!$D:$D, 78))</f>
        <v>Membuat table definition untuk kebutuhan update dokumen TSD</v>
      </c>
      <c r="D78" t="str">
        <f>IF(INDEX(Syafix!$D:$D, 78)="", NA(), INDEX(Syafix!$E:$E, 78))</f>
        <v>DONE</v>
      </c>
      <c r="E78" s="13">
        <f>IF(INDEX(Syafix!$D:$D, 78)="", NA(), INDEX(Syafix!$K:$K, 78))</f>
        <v>46293</v>
      </c>
      <c r="F78">
        <f t="shared" si="2"/>
        <v>1</v>
      </c>
      <c r="G78" s="13">
        <f>IF(INDEX(Syafix!$D:$D, 78)="", NA(), INDEX(Syafix!$L:$L, 78))</f>
        <v>46293</v>
      </c>
      <c r="H78" t="str">
        <f t="shared" si="3"/>
        <v>Syafix (Business Analyst) - API Settlement Payment - Membuat table definition untuk kebutuhan update dokumen TSD</v>
      </c>
    </row>
    <row r="79" spans="1:8" x14ac:dyDescent="0.2">
      <c r="A79" t="str">
        <f>IF(INDEX(Syafix!$D:$D, 79)="", NA(), "Syafix (Business Analyst)")</f>
        <v>Syafix (Business Analyst)</v>
      </c>
      <c r="B79" t="str">
        <f>IF(INDEX(Syafix!$D:$D, 79)="", NA(), INDEX(Syafix!$B:$B, 79))</f>
        <v>API Settlement Payment</v>
      </c>
      <c r="C79" t="str">
        <f>IF(INDEX(Syafix!$D:$D, 79)="", NA(), INDEX(Syafix!$D:$D, 79))</f>
        <v>Meeting Pembahasan rekonsiliasi Settlement Payment antara API Settlement vs Stagging</v>
      </c>
      <c r="D79" t="str">
        <f>IF(INDEX(Syafix!$D:$D, 79)="", NA(), INDEX(Syafix!$E:$E, 79))</f>
        <v>DONE</v>
      </c>
      <c r="E79" s="13">
        <f>IF(INDEX(Syafix!$D:$D, 79)="", NA(), INDEX(Syafix!$K:$K, 79))</f>
        <v>46293</v>
      </c>
      <c r="F79">
        <f t="shared" si="2"/>
        <v>1</v>
      </c>
      <c r="G79" s="13">
        <f>IF(INDEX(Syafix!$D:$D, 79)="", NA(), INDEX(Syafix!$L:$L, 79))</f>
        <v>46293</v>
      </c>
      <c r="H79" t="str">
        <f t="shared" si="3"/>
        <v>Syafix (Business Analyst) - API Settlement Payment - Meeting Pembahasan rekonsiliasi Settlement Payment antara API Settlement vs Stagging</v>
      </c>
    </row>
    <row r="80" spans="1:8" x14ac:dyDescent="0.2">
      <c r="A80" t="str">
        <f>IF(INDEX(Syafix!$D:$D, 80)="", NA(), "Syafix (Business Analyst)")</f>
        <v>Syafix (Business Analyst)</v>
      </c>
      <c r="B80" t="str">
        <f>IF(INDEX(Syafix!$D:$D, 80)="", NA(), INDEX(Syafix!$B:$B, 80))</f>
        <v>API Settlement Payment</v>
      </c>
      <c r="C80" t="str">
        <f>IF(INDEX(Syafix!$D:$D, 80)="", NA(), INDEX(Syafix!$D:$D, 80))</f>
        <v>Percobaan enforce manual stagging untuk spesifik no polis dan request id tertentu ke stagging dan SAP</v>
      </c>
      <c r="D80" t="str">
        <f>IF(INDEX(Syafix!$D:$D, 80)="", NA(), INDEX(Syafix!$E:$E, 80))</f>
        <v>DONE</v>
      </c>
      <c r="E80" s="13">
        <f>IF(INDEX(Syafix!$D:$D, 80)="", NA(), INDEX(Syafix!$K:$K, 80))</f>
        <v>46294</v>
      </c>
      <c r="F80">
        <f t="shared" si="2"/>
        <v>2</v>
      </c>
      <c r="G80" s="13">
        <f>IF(INDEX(Syafix!$D:$D, 80)="", NA(), INDEX(Syafix!$L:$L, 80))</f>
        <v>46296</v>
      </c>
      <c r="H80" t="str">
        <f t="shared" si="3"/>
        <v>Syafix (Business Analyst) - API Settlement Payment - Percobaan enforce manual stagging untuk spesifik no polis dan request id tertentu ke stagging dan SAP</v>
      </c>
    </row>
    <row r="81" spans="1:8" x14ac:dyDescent="0.2">
      <c r="A81" t="str">
        <f>IF(INDEX(Syafix!$D:$D, 81)="", NA(), "Syafix (Business Analyst)")</f>
        <v>Syafix (Business Analyst)</v>
      </c>
      <c r="B81" t="str">
        <f>IF(INDEX(Syafix!$D:$D, 81)="", NA(), INDEX(Syafix!$B:$B, 81))</f>
        <v>API Settlement Payment</v>
      </c>
      <c r="C81" t="str">
        <f>IF(INDEX(Syafix!$D:$D, 81)="", NA(), INDEX(Syafix!$D:$D, 81))</f>
        <v>Input data sampling khusus untuk bisnis class TProperty dan Travela via payload untuk pengecekan Stagging</v>
      </c>
      <c r="D81" t="str">
        <f>IF(INDEX(Syafix!$D:$D, 81)="", NA(), INDEX(Syafix!$E:$E, 81))</f>
        <v>DONE</v>
      </c>
      <c r="E81" s="13">
        <f>IF(INDEX(Syafix!$D:$D, 81)="", NA(), INDEX(Syafix!$K:$K, 81))</f>
        <v>46294</v>
      </c>
      <c r="F81">
        <f t="shared" si="2"/>
        <v>1</v>
      </c>
      <c r="G81" s="13">
        <f>IF(INDEX(Syafix!$D:$D, 81)="", NA(), INDEX(Syafix!$L:$L, 81))</f>
        <v>46294</v>
      </c>
      <c r="H81" t="str">
        <f t="shared" si="3"/>
        <v>Syafix (Business Analyst) - API Settlement Payment - Input data sampling khusus untuk bisnis class TProperty dan Travela via payload untuk pengecekan Stagging</v>
      </c>
    </row>
    <row r="82" spans="1:8" x14ac:dyDescent="0.2">
      <c r="A82" t="str">
        <f>IF(INDEX(Syafix!$D:$D, 82)="", NA(), "Syafix (Business Analyst)")</f>
        <v>Syafix (Business Analyst)</v>
      </c>
      <c r="B82" t="str">
        <f>IF(INDEX(Syafix!$D:$D, 82)="", NA(), INDEX(Syafix!$B:$B, 82))</f>
        <v>API Settlement Payment</v>
      </c>
      <c r="C82" t="str">
        <f>IF(INDEX(Syafix!$D:$D, 82)="", NA(), INDEX(Syafix!$D:$D, 82))</f>
        <v>Melakukan rekonsiliasi data secara manual untuk data MV dan Non-MV Pre proses oleh aplikasi</v>
      </c>
      <c r="D82" t="str">
        <f>IF(INDEX(Syafix!$D:$D, 82)="", NA(), INDEX(Syafix!$E:$E, 82))</f>
        <v>DONE</v>
      </c>
      <c r="E82" s="13">
        <f>IF(INDEX(Syafix!$D:$D, 82)="", NA(), INDEX(Syafix!$K:$K, 82))</f>
        <v>46295</v>
      </c>
      <c r="F82">
        <f t="shared" si="2"/>
        <v>2</v>
      </c>
      <c r="G82" s="13">
        <f>IF(INDEX(Syafix!$D:$D, 82)="", NA(), INDEX(Syafix!$L:$L, 82))</f>
        <v>46297</v>
      </c>
      <c r="H82" t="str">
        <f t="shared" si="3"/>
        <v>Syafix (Business Analyst) - API Settlement Payment - Melakukan rekonsiliasi data secara manual untuk data MV dan Non-MV Pre proses oleh aplikasi</v>
      </c>
    </row>
    <row r="83" spans="1:8" x14ac:dyDescent="0.2">
      <c r="A83" t="str">
        <f>IF(INDEX(Syafix!$D:$D, 83)="", NA(), "Syafix (Business Analyst)")</f>
        <v>Syafix (Business Analyst)</v>
      </c>
      <c r="B83" t="str">
        <f>IF(INDEX(Syafix!$D:$D, 83)="", NA(), INDEX(Syafix!$B:$B, 83))</f>
        <v>API Settlement Payment</v>
      </c>
      <c r="C83" t="str">
        <f>IF(INDEX(Syafix!$D:$D, 83)="", NA(), INDEX(Syafix!$D:$D, 83))</f>
        <v>Pengecekan Rekonsiliasi dengan sejumlah premi yang ditambahkan dan pengecekan manual</v>
      </c>
      <c r="D83" t="str">
        <f>IF(INDEX(Syafix!$D:$D, 83)="", NA(), INDEX(Syafix!$E:$E, 83))</f>
        <v>DONE</v>
      </c>
      <c r="E83" s="13">
        <f>IF(INDEX(Syafix!$D:$D, 83)="", NA(), INDEX(Syafix!$K:$K, 83))</f>
        <v>46296</v>
      </c>
      <c r="F83">
        <f t="shared" si="2"/>
        <v>1</v>
      </c>
      <c r="G83" s="13">
        <f>IF(INDEX(Syafix!$D:$D, 83)="", NA(), INDEX(Syafix!$L:$L, 83))</f>
        <v>46297</v>
      </c>
      <c r="H83" t="str">
        <f t="shared" si="3"/>
        <v>Syafix (Business Analyst) - API Settlement Payment - Pengecekan Rekonsiliasi dengan sejumlah premi yang ditambahkan dan pengecekan manual</v>
      </c>
    </row>
    <row r="84" spans="1:8" x14ac:dyDescent="0.2">
      <c r="A84" t="str">
        <f>IF(INDEX(Syafix!$D:$D, 84)="", NA(), "Syafix (Business Analyst)")</f>
        <v>Syafix (Business Analyst)</v>
      </c>
      <c r="B84" t="str">
        <f>IF(INDEX(Syafix!$D:$D, 84)="", NA(), INDEX(Syafix!$B:$B, 84))</f>
        <v>API Settlement Payment</v>
      </c>
      <c r="C84" t="str">
        <f>IF(INDEX(Syafix!$D:$D, 84)="", NA(), INDEX(Syafix!$D:$D, 84))</f>
        <v>Update &amp; finalisasi laporan akhir bulan API Settlement Payment</v>
      </c>
      <c r="D84" t="str">
        <f>IF(INDEX(Syafix!$D:$D, 84)="", NA(), INDEX(Syafix!$E:$E, 84))</f>
        <v>DONE</v>
      </c>
      <c r="E84" s="13">
        <f>IF(INDEX(Syafix!$D:$D, 84)="", NA(), INDEX(Syafix!$K:$K, 84))</f>
        <v>46296</v>
      </c>
      <c r="F84">
        <f t="shared" si="2"/>
        <v>1</v>
      </c>
      <c r="G84" s="13">
        <f>IF(INDEX(Syafix!$D:$D, 84)="", NA(), INDEX(Syafix!$L:$L, 84))</f>
        <v>46297</v>
      </c>
      <c r="H84" t="str">
        <f t="shared" si="3"/>
        <v>Syafix (Business Analyst) - API Settlement Payment - Update &amp; finalisasi laporan akhir bulan API Settlement Payment</v>
      </c>
    </row>
    <row r="85" spans="1:8" x14ac:dyDescent="0.2">
      <c r="A85" t="str">
        <f>IF(INDEX(Syafix!$D:$D, 85)="", NA(), "Syafix (Business Analyst)")</f>
        <v>Syafix (Business Analyst)</v>
      </c>
      <c r="B85" t="str">
        <f>IF(INDEX(Syafix!$D:$D, 85)="", NA(), INDEX(Syafix!$B:$B, 85))</f>
        <v>API Settlement Payment</v>
      </c>
      <c r="C85" t="str">
        <f>IF(INDEX(Syafix!$D:$D, 85)="", NA(), INDEX(Syafix!$D:$D, 85))</f>
        <v>Pembuatan Timesheet &amp; Project Summary</v>
      </c>
      <c r="D85" t="str">
        <f>IF(INDEX(Syafix!$D:$D, 85)="", NA(), INDEX(Syafix!$E:$E, 85))</f>
        <v>DONE</v>
      </c>
      <c r="E85" s="13">
        <f>IF(INDEX(Syafix!$D:$D, 85)="", NA(), INDEX(Syafix!$K:$K, 85))</f>
        <v>46297</v>
      </c>
      <c r="F85">
        <f t="shared" si="2"/>
        <v>1</v>
      </c>
      <c r="G85" s="13">
        <f>IF(INDEX(Syafix!$D:$D, 85)="", NA(), INDEX(Syafix!$L:$L, 85))</f>
        <v>46297</v>
      </c>
      <c r="H85" t="str">
        <f t="shared" si="3"/>
        <v>Syafix (Business Analyst) - API Settlement Payment - Pembuatan Timesheet &amp; Project Summary</v>
      </c>
    </row>
    <row r="86" spans="1:8" x14ac:dyDescent="0.2">
      <c r="A86" t="str">
        <f>IF(INDEX(Syafix!$D:$D, 86)="", NA(), "Syafix (Business Analyst)")</f>
        <v>Syafix (Business Analyst)</v>
      </c>
      <c r="B86" t="str">
        <f>IF(INDEX(Syafix!$D:$D, 86)="", NA(), INDEX(Syafix!$B:$B, 86))</f>
        <v>API Settlement Payment</v>
      </c>
      <c r="C86" t="str">
        <f>IF(INDEX(Syafix!$D:$D, 86)="", NA(), INDEX(Syafix!$D:$D, 86))</f>
        <v>Meeting Pembahasan integrasi Settlement BengkelNet</v>
      </c>
      <c r="D86" t="str">
        <f>IF(INDEX(Syafix!$D:$D, 86)="", NA(), INDEX(Syafix!$E:$E, 86))</f>
        <v>DONE</v>
      </c>
      <c r="E86" s="13">
        <f>IF(INDEX(Syafix!$D:$D, 86)="", NA(), INDEX(Syafix!$K:$K, 86))</f>
        <v>46301</v>
      </c>
      <c r="F86">
        <f t="shared" si="2"/>
        <v>1</v>
      </c>
      <c r="G86" s="13">
        <f>IF(INDEX(Syafix!$D:$D, 86)="", NA(), INDEX(Syafix!$L:$L, 86))</f>
        <v>46301</v>
      </c>
      <c r="H86" t="str">
        <f t="shared" si="3"/>
        <v>Syafix (Business Analyst) - API Settlement Payment - Meeting Pembahasan integrasi Settlement BengkelNet</v>
      </c>
    </row>
    <row r="87" spans="1:8" ht="72.5" customHeight="1" x14ac:dyDescent="0.2">
      <c r="A87" t="str">
        <f>IF(INDEX(Syafix!$D:$D, 87)="", NA(), "Syafix (Business Analyst)")</f>
        <v>Syafix (Business Analyst)</v>
      </c>
      <c r="B87" t="str">
        <f>IF(INDEX(Syafix!$D:$D, 87)="", NA(), INDEX(Syafix!$B:$B, 87))</f>
        <v>Staging Cloud</v>
      </c>
      <c r="C87" t="str">
        <f>IF(INDEX(Syafix!$D:$D, 87)="", NA(), INDEX(Syafix!$D:$D, 87))</f>
        <v>Mempelajari Alur Process Stagging Cloud</v>
      </c>
      <c r="D87" t="str">
        <f>IF(INDEX(Syafix!$D:$D, 87)="", NA(), INDEX(Syafix!$E:$E, 87))</f>
        <v>DONE</v>
      </c>
      <c r="E87" s="13">
        <f>IF(INDEX(Syafix!$D:$D, 87)="", NA(), INDEX(Syafix!$K:$K, 87))</f>
        <v>46302</v>
      </c>
      <c r="F87">
        <f t="shared" si="2"/>
        <v>5</v>
      </c>
      <c r="G87" s="13">
        <f>IF(INDEX(Syafix!$D:$D, 87)="", NA(), INDEX(Syafix!$L:$L, 87))</f>
        <v>46307</v>
      </c>
      <c r="H87" t="str">
        <f t="shared" si="3"/>
        <v>Syafix (Business Analyst) - Staging Cloud - Mempelajari Alur Process Stagging Cloud</v>
      </c>
    </row>
    <row r="88" spans="1:8" ht="29" customHeight="1" x14ac:dyDescent="0.2">
      <c r="A88" t="str">
        <f>IF(INDEX(Syafix!$D:$D, 88)="", NA(), "Syafix (Business Analyst)")</f>
        <v>Syafix (Business Analyst)</v>
      </c>
      <c r="B88" t="str">
        <f>IF(INDEX(Syafix!$D:$D, 88)="", NA(), INDEX(Syafix!$B:$B, 88))</f>
        <v>API Settlement Payment</v>
      </c>
      <c r="C88" t="str">
        <f>IF(INDEX(Syafix!$D:$D, 88)="", NA(), INDEX(Syafix!$D:$D, 88))</f>
        <v>Pengecekan input data TCES dengan sejumlah no polis untuk melakukan proses rekonsiliasi secara otomatis dengan scheduler.</v>
      </c>
      <c r="D88" t="str">
        <f>IF(INDEX(Syafix!$D:$D, 88)="", NA(), INDEX(Syafix!$E:$E, 88))</f>
        <v>DONE</v>
      </c>
      <c r="E88" s="13">
        <f>IF(INDEX(Syafix!$D:$D, 88)="", NA(), INDEX(Syafix!$K:$K, 88))</f>
        <v>46302</v>
      </c>
      <c r="F88">
        <f t="shared" si="2"/>
        <v>1</v>
      </c>
      <c r="G88" s="13">
        <f>IF(INDEX(Syafix!$D:$D, 88)="", NA(), INDEX(Syafix!$L:$L, 88))</f>
        <v>46303</v>
      </c>
      <c r="H88" t="str">
        <f t="shared" si="3"/>
        <v>Syafix (Business Analyst) - API Settlement Payment - Pengecekan input data TCES dengan sejumlah no polis untuk melakukan proses rekonsiliasi secara otomatis dengan scheduler.</v>
      </c>
    </row>
    <row r="89" spans="1:8" ht="58" customHeight="1" x14ac:dyDescent="0.2">
      <c r="A89" t="str">
        <f>IF(INDEX(Syafix!$D:$D, 89)="", NA(), "Syafix (Business Analyst)")</f>
        <v>Syafix (Business Analyst)</v>
      </c>
      <c r="B89" t="str">
        <f>IF(INDEX(Syafix!$D:$D, 89)="", NA(), INDEX(Syafix!$B:$B, 89))</f>
        <v>Staging Cloud</v>
      </c>
      <c r="C89" t="str">
        <f>IF(INDEX(Syafix!$D:$D, 89)="", NA(), INDEX(Syafix!$D:$D, 89))</f>
        <v>Perancangan diagram alur proses staging cloud - master data</v>
      </c>
      <c r="D89" t="str">
        <f>IF(INDEX(Syafix!$D:$D, 89)="", NA(), INDEX(Syafix!$E:$E, 89))</f>
        <v>DONE</v>
      </c>
      <c r="E89" s="13">
        <f>IF(INDEX(Syafix!$D:$D, 89)="", NA(), INDEX(Syafix!$K:$K, 89))</f>
        <v>46303</v>
      </c>
      <c r="F89">
        <f t="shared" si="2"/>
        <v>1</v>
      </c>
      <c r="G89" s="13">
        <f>IF(INDEX(Syafix!$D:$D, 89)="", NA(), INDEX(Syafix!$L:$L, 89))</f>
        <v>46304</v>
      </c>
      <c r="H89" t="str">
        <f t="shared" si="3"/>
        <v>Syafix (Business Analyst) - Staging Cloud - Perancangan diagram alur proses staging cloud - master data</v>
      </c>
    </row>
    <row r="90" spans="1:8" ht="72.5" customHeight="1" x14ac:dyDescent="0.2">
      <c r="A90" t="str">
        <f>IF(INDEX(Syafix!$D:$D, 90)="", NA(), "Syafix (Business Analyst)")</f>
        <v>Syafix (Business Analyst)</v>
      </c>
      <c r="B90" t="str">
        <f>IF(INDEX(Syafix!$D:$D, 90)="", NA(), INDEX(Syafix!$B:$B, 90))</f>
        <v>Staging Cloud</v>
      </c>
      <c r="C90" t="str">
        <f>IF(INDEX(Syafix!$D:$D, 90)="", NA(), INDEX(Syafix!$D:$D, 90))</f>
        <v>Perancangan proses validasi data input untuk di proses oleh SAP dari SP ke bentuk service</v>
      </c>
      <c r="D90" t="str">
        <f>IF(INDEX(Syafix!$D:$D, 90)="", NA(), INDEX(Syafix!$E:$E, 90))</f>
        <v>DONE</v>
      </c>
      <c r="E90" s="13">
        <f>IF(INDEX(Syafix!$D:$D, 90)="", NA(), INDEX(Syafix!$K:$K, 90))</f>
        <v>46303</v>
      </c>
      <c r="F90">
        <f t="shared" si="2"/>
        <v>4</v>
      </c>
      <c r="G90" s="13">
        <f>IF(INDEX(Syafix!$D:$D, 90)="", NA(), INDEX(Syafix!$L:$L, 90))</f>
        <v>46307</v>
      </c>
      <c r="H90" t="str">
        <f t="shared" si="3"/>
        <v>Syafix (Business Analyst) - Staging Cloud - Perancangan proses validasi data input untuk di proses oleh SAP dari SP ke bentuk service</v>
      </c>
    </row>
    <row r="91" spans="1:8" ht="72.5" customHeight="1" x14ac:dyDescent="0.2">
      <c r="A91" t="str">
        <f>IF(INDEX(Syafix!$D:$D, 91)="", NA(), "Syafix (Business Analyst)")</f>
        <v>Syafix (Business Analyst)</v>
      </c>
      <c r="B91" t="str">
        <f>IF(INDEX(Syafix!$D:$D, 91)="", NA(), INDEX(Syafix!$B:$B, 91))</f>
        <v>API Settlement Payment</v>
      </c>
      <c r="C91" t="str">
        <f>IF(INDEX(Syafix!$D:$D, 91)="", NA(), INDEX(Syafix!$D:$D, 91))</f>
        <v>Pengubahan counter percobaan scheduler API Settlement menjadi 60x yang sebelumnya 84x</v>
      </c>
      <c r="D91" t="str">
        <f>IF(INDEX(Syafix!$D:$D, 91)="", NA(), INDEX(Syafix!$E:$E, 91))</f>
        <v>DONE</v>
      </c>
      <c r="E91" s="13">
        <f>IF(INDEX(Syafix!$D:$D, 91)="", NA(), INDEX(Syafix!$K:$K, 91))</f>
        <v>46304</v>
      </c>
      <c r="F91">
        <f t="shared" si="2"/>
        <v>1</v>
      </c>
      <c r="G91" s="13">
        <f>IF(INDEX(Syafix!$D:$D, 91)="", NA(), INDEX(Syafix!$L:$L, 91))</f>
        <v>46304</v>
      </c>
      <c r="H91" t="str">
        <f t="shared" si="3"/>
        <v>Syafix (Business Analyst) - API Settlement Payment - Pengubahan counter percobaan scheduler API Settlement menjadi 60x yang sebelumnya 84x</v>
      </c>
    </row>
    <row r="92" spans="1:8" ht="116" customHeight="1" x14ac:dyDescent="0.2">
      <c r="A92" t="str">
        <f>IF(INDEX(Syafix!$D:$D, 92)="", NA(), "Syafix (Business Analyst)")</f>
        <v>Syafix (Business Analyst)</v>
      </c>
      <c r="B92" t="str">
        <f>IF(INDEX(Syafix!$D:$D, 92)="", NA(), INDEX(Syafix!$B:$B, 92))</f>
        <v>Integrasi TCES TICS</v>
      </c>
      <c r="C92" t="str">
        <f>IF(INDEX(Syafix!$D:$D, 92)="", NA(), INDEX(Syafix!$D:$D, 92))</f>
        <v>Restrukturisasi dan merging dokumen BRD API Settlement &amp; API Integration</v>
      </c>
      <c r="D92" t="str">
        <f>IF(INDEX(Syafix!$D:$D, 92)="", NA(), INDEX(Syafix!$E:$E, 92))</f>
        <v>DONE</v>
      </c>
      <c r="E92" s="13">
        <f>IF(INDEX(Syafix!$D:$D, 92)="", NA(), INDEX(Syafix!$K:$K, 92))</f>
        <v>46304</v>
      </c>
      <c r="F92">
        <f t="shared" si="2"/>
        <v>14</v>
      </c>
      <c r="G92" s="13">
        <f>IF(INDEX(Syafix!$D:$D, 92)="", NA(), INDEX(Syafix!$L:$L, 92))</f>
        <v>46318</v>
      </c>
      <c r="H92" t="str">
        <f t="shared" si="3"/>
        <v>Syafix (Business Analyst) - Integrasi TCES TICS - Restrukturisasi dan merging dokumen BRD API Settlement &amp; API Integration</v>
      </c>
    </row>
    <row r="93" spans="1:8" ht="116" customHeight="1" x14ac:dyDescent="0.2">
      <c r="A93" t="str">
        <f>IF(INDEX(Syafix!$D:$D, 93)="", NA(), "Syafix (Business Analyst)")</f>
        <v>Syafix (Business Analyst)</v>
      </c>
      <c r="B93" t="str">
        <f>IF(INDEX(Syafix!$D:$D, 93)="", NA(), INDEX(Syafix!$B:$B, 93))</f>
        <v>Integrasi TCES TICS</v>
      </c>
      <c r="C93" t="str">
        <f>IF(INDEX(Syafix!$D:$D, 93)="", NA(), INDEX(Syafix!$D:$D, 93))</f>
        <v>Restrukturisasi dan merging dokumen FSD API Settlement &amp; API Integration</v>
      </c>
      <c r="D93" t="str">
        <f>IF(INDEX(Syafix!$D:$D, 93)="", NA(), INDEX(Syafix!$E:$E, 93))</f>
        <v>DONE</v>
      </c>
      <c r="E93" s="13">
        <f>IF(INDEX(Syafix!$D:$D, 93)="", NA(), INDEX(Syafix!$K:$K, 93))</f>
        <v>46304</v>
      </c>
      <c r="F93">
        <f t="shared" si="2"/>
        <v>14</v>
      </c>
      <c r="G93" s="13">
        <f>IF(INDEX(Syafix!$D:$D, 93)="", NA(), INDEX(Syafix!$L:$L, 93))</f>
        <v>46318</v>
      </c>
      <c r="H93" t="str">
        <f t="shared" si="3"/>
        <v>Syafix (Business Analyst) - Integrasi TCES TICS - Restrukturisasi dan merging dokumen FSD API Settlement &amp; API Integration</v>
      </c>
    </row>
    <row r="94" spans="1:8" ht="87" customHeight="1" x14ac:dyDescent="0.2">
      <c r="A94" t="str">
        <f>IF(INDEX(Syafix!$D:$D, 94)="", NA(), "Syafix (Business Analyst)")</f>
        <v>Syafix (Business Analyst)</v>
      </c>
      <c r="B94" t="str">
        <f>IF(INDEX(Syafix!$D:$D, 94)="", NA(), INDEX(Syafix!$B:$B, 94))</f>
        <v>Integrasi TCES TICS</v>
      </c>
      <c r="C94" t="str">
        <f>IF(INDEX(Syafix!$D:$D, 94)="", NA(), INDEX(Syafix!$D:$D, 94))</f>
        <v>Restrukturisasi dan merging dokumen TSD API Settlement &amp; API Integration</v>
      </c>
      <c r="D94" t="str">
        <f>IF(INDEX(Syafix!$D:$D, 94)="", NA(), INDEX(Syafix!$E:$E, 94))</f>
        <v>DONE</v>
      </c>
      <c r="E94" s="13">
        <f>IF(INDEX(Syafix!$D:$D, 94)="", NA(), INDEX(Syafix!$K:$K, 94))</f>
        <v>46304</v>
      </c>
      <c r="F94">
        <f t="shared" si="2"/>
        <v>14</v>
      </c>
      <c r="G94" s="13">
        <f>IF(INDEX(Syafix!$D:$D, 94)="", NA(), INDEX(Syafix!$L:$L, 94))</f>
        <v>46318</v>
      </c>
      <c r="H94" t="str">
        <f t="shared" si="3"/>
        <v>Syafix (Business Analyst) - Integrasi TCES TICS - Restrukturisasi dan merging dokumen TSD API Settlement &amp; API Integration</v>
      </c>
    </row>
    <row r="95" spans="1:8" ht="101.5" customHeight="1" x14ac:dyDescent="0.2">
      <c r="A95" t="str">
        <f>IF(INDEX(Syafix!$D:$D, 95)="", NA(), "Syafix (Business Analyst)")</f>
        <v>Syafix (Business Analyst)</v>
      </c>
      <c r="B95" t="str">
        <f>IF(INDEX(Syafix!$D:$D, 95)="", NA(), INDEX(Syafix!$B:$B, 95))</f>
        <v>Staging Cloud</v>
      </c>
      <c r="C95" t="str">
        <f>IF(INDEX(Syafix!$D:$D, 95)="", NA(), INDEX(Syafix!$D:$D, 95))</f>
        <v>Pembuatan Test Case Staging Cloud</v>
      </c>
      <c r="D95" t="str">
        <f>IF(INDEX(Syafix!$D:$D, 95)="", NA(), INDEX(Syafix!$E:$E, 95))</f>
        <v>DONE</v>
      </c>
      <c r="E95" s="13">
        <f>IF(INDEX(Syafix!$D:$D, 95)="", NA(), INDEX(Syafix!$K:$K, 95))</f>
        <v>46307</v>
      </c>
      <c r="F95">
        <f t="shared" si="2"/>
        <v>2</v>
      </c>
      <c r="G95" s="13">
        <f>IF(INDEX(Syafix!$D:$D, 95)="", NA(), INDEX(Syafix!$L:$L, 95))</f>
        <v>46309</v>
      </c>
      <c r="H95" t="str">
        <f t="shared" si="3"/>
        <v>Syafix (Business Analyst) - Staging Cloud - Pembuatan Test Case Staging Cloud</v>
      </c>
    </row>
    <row r="96" spans="1:8" ht="116" customHeight="1" x14ac:dyDescent="0.2">
      <c r="A96" t="str">
        <f>IF(INDEX(Syafix!$D:$D, 96)="", NA(), "Syafix (Business Analyst)")</f>
        <v>Syafix (Business Analyst)</v>
      </c>
      <c r="B96" t="str">
        <f>IF(INDEX(Syafix!$D:$D, 96)="", NA(), INDEX(Syafix!$B:$B, 96))</f>
        <v>Staging Cloud</v>
      </c>
      <c r="C96" t="str">
        <f>IF(INDEX(Syafix!$D:$D, 96)="", NA(), INDEX(Syafix!$D:$D, 96))</f>
        <v>Mengkomunikasikan mitirgasi terkait kebutuhan enkripsi antara TICS dengan Staging Cloud</v>
      </c>
      <c r="D96" t="str">
        <f>IF(INDEX(Syafix!$D:$D, 96)="", NA(), INDEX(Syafix!$E:$E, 96))</f>
        <v>DONE</v>
      </c>
      <c r="E96" s="13">
        <f>IF(INDEX(Syafix!$D:$D, 96)="", NA(), INDEX(Syafix!$K:$K, 96))</f>
        <v>46308</v>
      </c>
      <c r="F96">
        <f t="shared" si="2"/>
        <v>3</v>
      </c>
      <c r="G96" s="13">
        <f>IF(INDEX(Syafix!$D:$D, 96)="", NA(), INDEX(Syafix!$L:$L, 96))</f>
        <v>46311</v>
      </c>
      <c r="H96" t="str">
        <f t="shared" si="3"/>
        <v>Syafix (Business Analyst) - Staging Cloud - Mengkomunikasikan mitirgasi terkait kebutuhan enkripsi antara TICS dengan Staging Cloud</v>
      </c>
    </row>
    <row r="97" spans="1:8" ht="145" customHeight="1" x14ac:dyDescent="0.2">
      <c r="A97" t="str">
        <f>IF(INDEX(Syafix!$D:$D, 97)="", NA(), "Syafix (Business Analyst)")</f>
        <v>Syafix (Business Analyst)</v>
      </c>
      <c r="B97" t="str">
        <f>IF(INDEX(Syafix!$D:$D, 97)="", NA(), INDEX(Syafix!$B:$B, 97))</f>
        <v>Staging Cloud</v>
      </c>
      <c r="C97" t="str">
        <f>IF(INDEX(Syafix!$D:$D, 97)="", NA(), INDEX(Syafix!$D:$D, 97))</f>
        <v>Validasi pengecekan alur proses data testing untuk Staging Cloud dengan dev dan tim internal terkait</v>
      </c>
      <c r="D97" t="str">
        <f>IF(INDEX(Syafix!$D:$D, 97)="", NA(), INDEX(Syafix!$E:$E, 97))</f>
        <v>DONE</v>
      </c>
      <c r="E97" s="13">
        <f>IF(INDEX(Syafix!$D:$D, 97)="", NA(), INDEX(Syafix!$K:$K, 97))</f>
        <v>46309</v>
      </c>
      <c r="F97">
        <f t="shared" si="2"/>
        <v>2</v>
      </c>
      <c r="G97" s="13">
        <f>IF(INDEX(Syafix!$D:$D, 97)="", NA(), INDEX(Syafix!$L:$L, 97))</f>
        <v>46311</v>
      </c>
      <c r="H97" t="str">
        <f t="shared" si="3"/>
        <v>Syafix (Business Analyst) - Staging Cloud - Validasi pengecekan alur proses data testing untuk Staging Cloud dengan dev dan tim internal terkait</v>
      </c>
    </row>
    <row r="98" spans="1:8" ht="130.5" customHeight="1" x14ac:dyDescent="0.2">
      <c r="A98" t="str">
        <f>IF(INDEX(Syafix!$D:$D, 98)="", NA(), "Syafix (Business Analyst)")</f>
        <v>Syafix (Business Analyst)</v>
      </c>
      <c r="B98" t="str">
        <f>IF(INDEX(Syafix!$D:$D, 98)="", NA(), INDEX(Syafix!$B:$B, 98))</f>
        <v>Staging Cloud</v>
      </c>
      <c r="C98" t="str">
        <f>IF(INDEX(Syafix!$D:$D, 98)="", NA(), INDEX(Syafix!$D:$D, 98))</f>
        <v>Finalisasi Diagram Arsitektur Staging Cloud</v>
      </c>
      <c r="D98" t="str">
        <f>IF(INDEX(Syafix!$D:$D, 98)="", NA(), INDEX(Syafix!$E:$E, 98))</f>
        <v>DONE</v>
      </c>
      <c r="E98" s="13">
        <f>IF(INDEX(Syafix!$D:$D, 98)="", NA(), INDEX(Syafix!$K:$K, 98))</f>
        <v>46309</v>
      </c>
      <c r="F98">
        <f t="shared" si="2"/>
        <v>2</v>
      </c>
      <c r="G98" s="13">
        <f>IF(INDEX(Syafix!$D:$D, 98)="", NA(), INDEX(Syafix!$L:$L, 98))</f>
        <v>46311</v>
      </c>
      <c r="H98" t="str">
        <f t="shared" si="3"/>
        <v>Syafix (Business Analyst) - Staging Cloud - Finalisasi Diagram Arsitektur Staging Cloud</v>
      </c>
    </row>
    <row r="99" spans="1:8" ht="188.5" customHeight="1" x14ac:dyDescent="0.2">
      <c r="A99" t="str">
        <f>IF(INDEX(Syafix!$D:$D, 99)="", NA(), "Syafix (Business Analyst)")</f>
        <v>Syafix (Business Analyst)</v>
      </c>
      <c r="B99" t="str">
        <f>IF(INDEX(Syafix!$D:$D, 99)="", NA(), INDEX(Syafix!$B:$B, 99))</f>
        <v>Staging Cloud</v>
      </c>
      <c r="C99" t="str">
        <f>IF(INDEX(Syafix!$D:$D, 99)="", NA(), INDEX(Syafix!$D:$D, 99))</f>
        <v>Persiapan Pembuatan BRD dan dokumen FSD, TSD Staging Cloud</v>
      </c>
      <c r="D99" t="str">
        <f>IF(INDEX(Syafix!$D:$D, 99)="", NA(), INDEX(Syafix!$E:$E, 99))</f>
        <v>DONE</v>
      </c>
      <c r="E99" s="13">
        <f>IF(INDEX(Syafix!$D:$D, 99)="", NA(), INDEX(Syafix!$K:$K, 99))</f>
        <v>46310</v>
      </c>
      <c r="F99">
        <f t="shared" si="2"/>
        <v>1</v>
      </c>
      <c r="G99" s="13">
        <f>IF(INDEX(Syafix!$D:$D, 99)="", NA(), INDEX(Syafix!$L:$L, 99))</f>
        <v>46311</v>
      </c>
      <c r="H99" t="str">
        <f t="shared" si="3"/>
        <v>Syafix (Business Analyst) - Staging Cloud - Persiapan Pembuatan BRD dan dokumen FSD, TSD Staging Cloud</v>
      </c>
    </row>
    <row r="100" spans="1:8" ht="101.5" customHeight="1" x14ac:dyDescent="0.2">
      <c r="A100" t="str">
        <f>IF(INDEX(Syafix!$D:$D, 100)="", NA(), "Syafix (Business Analyst)")</f>
        <v>Syafix (Business Analyst)</v>
      </c>
      <c r="B100" t="str">
        <f>IF(INDEX(Syafix!$D:$D, 100)="", NA(), INDEX(Syafix!$B:$B, 100))</f>
        <v>Staging Cloud</v>
      </c>
      <c r="C100" t="str">
        <f>IF(INDEX(Syafix!$D:$D, 100)="", NA(), INDEX(Syafix!$D:$D, 100))</f>
        <v>Implementasi Kafka UI di SC - Outbound</v>
      </c>
      <c r="D100" t="str">
        <f>IF(INDEX(Syafix!$D:$D, 100)="", NA(), INDEX(Syafix!$E:$E, 100))</f>
        <v>Done</v>
      </c>
      <c r="E100" s="13">
        <f>IF(INDEX(Syafix!$D:$D, 100)="", NA(), INDEX(Syafix!$K:$K, 100))</f>
        <v>46311</v>
      </c>
      <c r="F100">
        <f t="shared" si="2"/>
        <v>3</v>
      </c>
      <c r="G100" s="13">
        <f>IF(INDEX(Syafix!$D:$D, 100)="", NA(), INDEX(Syafix!$L:$L, 100))</f>
        <v>46314</v>
      </c>
      <c r="H100" t="str">
        <f t="shared" si="3"/>
        <v>Syafix (Business Analyst) - Staging Cloud - Implementasi Kafka UI di SC - Outbound</v>
      </c>
    </row>
    <row r="101" spans="1:8" ht="174" customHeight="1" x14ac:dyDescent="0.2">
      <c r="A101" t="str">
        <f>IF(INDEX(Syafix!$D:$D, 101)="", NA(), "Syafix (Business Analyst)")</f>
        <v>Syafix (Business Analyst)</v>
      </c>
      <c r="B101" t="str">
        <f>IF(INDEX(Syafix!$D:$D, 101)="", NA(), INDEX(Syafix!$B:$B, 101))</f>
        <v>Staging Cloud</v>
      </c>
      <c r="C101" t="str">
        <f>IF(INDEX(Syafix!$D:$D, 101)="", NA(), INDEX(Syafix!$D:$D, 101))</f>
        <v>Implementasi Redis Insight di SC - Outbound</v>
      </c>
      <c r="D101" t="str">
        <f>IF(INDEX(Syafix!$D:$D, 101)="", NA(), INDEX(Syafix!$E:$E, 101))</f>
        <v>DONE</v>
      </c>
      <c r="E101" s="13">
        <f>IF(INDEX(Syafix!$D:$D, 101)="", NA(), INDEX(Syafix!$K:$K, 101))</f>
        <v>46311</v>
      </c>
      <c r="F101">
        <f t="shared" si="2"/>
        <v>3</v>
      </c>
      <c r="G101" s="13">
        <f>IF(INDEX(Syafix!$D:$D, 101)="", NA(), INDEX(Syafix!$L:$L, 101))</f>
        <v>46314</v>
      </c>
      <c r="H101" t="str">
        <f t="shared" si="3"/>
        <v>Syafix (Business Analyst) - Staging Cloud - Implementasi Redis Insight di SC - Outbound</v>
      </c>
    </row>
    <row r="102" spans="1:8" ht="174" customHeight="1" x14ac:dyDescent="0.2">
      <c r="A102" t="str">
        <f>IF(INDEX(Syafix!$D:$D, 102)="", NA(), "Syafix (Business Analyst)")</f>
        <v>Syafix (Business Analyst)</v>
      </c>
      <c r="B102" t="str">
        <f>IF(INDEX(Syafix!$D:$D, 102)="", NA(), INDEX(Syafix!$B:$B, 102))</f>
        <v>Staging Cloud</v>
      </c>
      <c r="C102" t="str">
        <f>IF(INDEX(Syafix!$D:$D, 102)="", NA(), INDEX(Syafix!$D:$D, 102))</f>
        <v>Implementasi Open Telemetry di SC - Outbound</v>
      </c>
      <c r="D102" t="str">
        <f>IF(INDEX(Syafix!$D:$D, 102)="", NA(), INDEX(Syafix!$E:$E, 102))</f>
        <v>DONE</v>
      </c>
      <c r="E102" s="13">
        <f>IF(INDEX(Syafix!$D:$D, 102)="", NA(), INDEX(Syafix!$K:$K, 102))</f>
        <v>46311</v>
      </c>
      <c r="F102">
        <f t="shared" si="2"/>
        <v>3</v>
      </c>
      <c r="G102" s="13">
        <f>IF(INDEX(Syafix!$D:$D, 102)="", NA(), INDEX(Syafix!$L:$L, 102))</f>
        <v>46314</v>
      </c>
      <c r="H102" t="str">
        <f t="shared" si="3"/>
        <v>Syafix (Business Analyst) - Staging Cloud - Implementasi Open Telemetry di SC - Outbound</v>
      </c>
    </row>
    <row r="103" spans="1:8" ht="217.5" customHeight="1" x14ac:dyDescent="0.2">
      <c r="A103" t="str">
        <f>IF(INDEX(Syafix!$D:$D, 103)="", NA(), "Syafix (Business Analyst)")</f>
        <v>Syafix (Business Analyst)</v>
      </c>
      <c r="B103" t="str">
        <f>IF(INDEX(Syafix!$D:$D, 103)="", NA(), INDEX(Syafix!$B:$B, 103))</f>
        <v>Staging Cloud</v>
      </c>
      <c r="C103" t="str">
        <f>IF(INDEX(Syafix!$D:$D, 103)="", NA(), INDEX(Syafix!$D:$D, 103))</f>
        <v>Akses ke Kafka UI dengan user sendiri</v>
      </c>
      <c r="D103" t="str">
        <f>IF(INDEX(Syafix!$D:$D, 103)="", NA(), INDEX(Syafix!$E:$E, 103))</f>
        <v>DONE</v>
      </c>
      <c r="E103" s="13">
        <f>IF(INDEX(Syafix!$D:$D, 103)="", NA(), INDEX(Syafix!$K:$K, 103))</f>
        <v>46314</v>
      </c>
      <c r="F103">
        <f t="shared" si="2"/>
        <v>1</v>
      </c>
      <c r="G103" s="13">
        <f>IF(INDEX(Syafix!$D:$D, 103)="", NA(), INDEX(Syafix!$L:$L, 103))</f>
        <v>46315</v>
      </c>
      <c r="H103" t="str">
        <f t="shared" si="3"/>
        <v>Syafix (Business Analyst) - Staging Cloud - Akses ke Kafka UI dengan user sendiri</v>
      </c>
    </row>
    <row r="104" spans="1:8" ht="203" customHeight="1" x14ac:dyDescent="0.2">
      <c r="A104" t="str">
        <f>IF(INDEX(Syafix!$D:$D, 104)="", NA(), "Syafix (Business Analyst)")</f>
        <v>Syafix (Business Analyst)</v>
      </c>
      <c r="B104" t="str">
        <f>IF(INDEX(Syafix!$D:$D, 104)="", NA(), INDEX(Syafix!$B:$B, 104))</f>
        <v>Staging Cloud</v>
      </c>
      <c r="C104" t="str">
        <f>IF(INDEX(Syafix!$D:$D, 104)="", NA(), INDEX(Syafix!$D:$D, 104))</f>
        <v>Akses ke Jaeger UI dengan user sendiri</v>
      </c>
      <c r="D104" t="str">
        <f>IF(INDEX(Syafix!$D:$D, 104)="", NA(), INDEX(Syafix!$E:$E, 104))</f>
        <v>DONE</v>
      </c>
      <c r="E104" s="13">
        <f>IF(INDEX(Syafix!$D:$D, 104)="", NA(), INDEX(Syafix!$K:$K, 104))</f>
        <v>46314</v>
      </c>
      <c r="F104">
        <f t="shared" si="2"/>
        <v>1</v>
      </c>
      <c r="G104" s="13">
        <f>IF(INDEX(Syafix!$D:$D, 104)="", NA(), INDEX(Syafix!$L:$L, 104))</f>
        <v>46315</v>
      </c>
      <c r="H104" t="str">
        <f t="shared" si="3"/>
        <v>Syafix (Business Analyst) - Staging Cloud - Akses ke Jaeger UI dengan user sendiri</v>
      </c>
    </row>
    <row r="105" spans="1:8" ht="87" customHeight="1" x14ac:dyDescent="0.2">
      <c r="A105" t="str">
        <f>IF(INDEX(Syafix!$D:$D, 105)="", NA(), "Syafix (Business Analyst)")</f>
        <v>Syafix (Business Analyst)</v>
      </c>
      <c r="B105" t="str">
        <f>IF(INDEX(Syafix!$D:$D, 105)="", NA(), INDEX(Syafix!$B:$B, 105))</f>
        <v>Staging Cloud</v>
      </c>
      <c r="C105" t="str">
        <f>IF(INDEX(Syafix!$D:$D, 105)="", NA(), INDEX(Syafix!$D:$D, 105))</f>
        <v>Pembuatan BRD Staging - Business Partner</v>
      </c>
      <c r="D105" t="str">
        <f>IF(INDEX(Syafix!$D:$D, 105)="", NA(), INDEX(Syafix!$E:$E, 105))</f>
        <v>DONE</v>
      </c>
      <c r="E105" s="13">
        <f>IF(INDEX(Syafix!$D:$D, 105)="", NA(), INDEX(Syafix!$K:$K, 105))</f>
        <v>46315</v>
      </c>
      <c r="F105">
        <f t="shared" si="2"/>
        <v>1</v>
      </c>
      <c r="G105" s="13">
        <f>IF(INDEX(Syafix!$D:$D, 105)="", NA(), INDEX(Syafix!$L:$L, 105))</f>
        <v>46316</v>
      </c>
      <c r="H105" t="str">
        <f t="shared" si="3"/>
        <v>Syafix (Business Analyst) - Staging Cloud - Pembuatan BRD Staging - Business Partner</v>
      </c>
    </row>
    <row r="106" spans="1:8" ht="203" customHeight="1" x14ac:dyDescent="0.2">
      <c r="A106" t="str">
        <f>IF(INDEX(Syafix!$D:$D, 106)="", NA(), "Syafix (Business Analyst)")</f>
        <v>Syafix (Business Analyst)</v>
      </c>
      <c r="B106" t="str">
        <f>IF(INDEX(Syafix!$D:$D, 106)="", NA(), INDEX(Syafix!$B:$B, 106))</f>
        <v>TTS - ARMS</v>
      </c>
      <c r="C106" t="str">
        <f>IF(INDEX(Syafix!$D:$D, 106)="", NA(), INDEX(Syafix!$D:$D, 106))</f>
        <v>Mempelajari Flow Aplikasi TTS</v>
      </c>
      <c r="D106" t="str">
        <f>IF(INDEX(Syafix!$D:$D, 106)="", NA(), INDEX(Syafix!$E:$E, 106))</f>
        <v>IN_PROGRESS</v>
      </c>
      <c r="E106" s="13">
        <f>IF(INDEX(Syafix!$D:$D, 106)="", NA(), INDEX(Syafix!$K:$K, 106))</f>
        <v>46315</v>
      </c>
      <c r="F106">
        <f t="shared" si="2"/>
        <v>3</v>
      </c>
      <c r="G106" s="13">
        <f>IF(INDEX(Syafix!$D:$D, 106)="", NA(), INDEX(Syafix!$L:$L, 106))</f>
        <v>46318</v>
      </c>
      <c r="H106" t="str">
        <f t="shared" si="3"/>
        <v>Syafix (Business Analyst) - TTS - ARMS - Mempelajari Flow Aplikasi TTS</v>
      </c>
    </row>
    <row r="107" spans="1:8" ht="130.5" customHeight="1" x14ac:dyDescent="0.2">
      <c r="A107" t="str">
        <f>IF(INDEX(Syafix!$D:$D, 107)="", NA(), "Syafix (Business Analyst)")</f>
        <v>Syafix (Business Analyst)</v>
      </c>
      <c r="B107" t="str">
        <f>IF(INDEX(Syafix!$D:$D, 107)="", NA(), INDEX(Syafix!$B:$B, 107))</f>
        <v>Integrasi TCES Claim - BengkelNet</v>
      </c>
      <c r="C107" t="str">
        <f>IF(INDEX(Syafix!$D:$D, 107)="", NA(), INDEX(Syafix!$D:$D, 107))</f>
        <v>Mempelajari Payload Update status Bengkel Net untuk TCES</v>
      </c>
      <c r="D107" t="str">
        <f>IF(INDEX(Syafix!$D:$D, 107)="", NA(), INDEX(Syafix!$E:$E, 107))</f>
        <v>DONE</v>
      </c>
      <c r="E107" s="13">
        <f>IF(INDEX(Syafix!$D:$D, 107)="", NA(), INDEX(Syafix!$K:$K, 107))</f>
        <v>46315</v>
      </c>
      <c r="F107">
        <f t="shared" si="2"/>
        <v>3</v>
      </c>
      <c r="G107" s="13">
        <f>IF(INDEX(Syafix!$D:$D, 107)="", NA(), INDEX(Syafix!$L:$L, 107))</f>
        <v>46318</v>
      </c>
      <c r="H107" t="str">
        <f t="shared" si="3"/>
        <v>Syafix (Business Analyst) - Integrasi TCES Claim - BengkelNet - Mempelajari Payload Update status Bengkel Net untuk TCES</v>
      </c>
    </row>
    <row r="108" spans="1:8" ht="203" customHeight="1" x14ac:dyDescent="0.2">
      <c r="A108" t="str">
        <f>IF(INDEX(Syafix!$D:$D, 108)="", NA(), "Syafix (Business Analyst)")</f>
        <v>Syafix (Business Analyst)</v>
      </c>
      <c r="B108" t="str">
        <f>IF(INDEX(Syafix!$D:$D, 108)="", NA(), INDEX(Syafix!$B:$B, 108))</f>
        <v>Staging Cloud</v>
      </c>
      <c r="C108" t="str">
        <f>IF(INDEX(Syafix!$D:$D, 108)="", NA(), INDEX(Syafix!$D:$D, 108))</f>
        <v>Edit dan perbaikan dokumen BRD Staging Cloud - Part 1</v>
      </c>
      <c r="D108" t="str">
        <f>IF(INDEX(Syafix!$D:$D, 108)="", NA(), INDEX(Syafix!$E:$E, 108))</f>
        <v>IN_PROGRESS</v>
      </c>
      <c r="E108" s="13">
        <f>IF(INDEX(Syafix!$D:$D, 108)="", NA(), INDEX(Syafix!$K:$K, 108))</f>
        <v>46316</v>
      </c>
      <c r="F108">
        <f t="shared" si="2"/>
        <v>23</v>
      </c>
      <c r="G108" s="13">
        <f>IF(INDEX(Syafix!$D:$D, 108)="", NA(), INDEX(Syafix!$L:$L, 108))</f>
        <v>46339</v>
      </c>
      <c r="H108" t="str">
        <f t="shared" si="3"/>
        <v>Syafix (Business Analyst) - Staging Cloud - Edit dan perbaikan dokumen BRD Staging Cloud - Part 1</v>
      </c>
    </row>
    <row r="109" spans="1:8" ht="87" customHeight="1" x14ac:dyDescent="0.2">
      <c r="A109" t="str">
        <f>IF(INDEX(Syafix!$D:$D, 109)="", NA(), "Syafix (Business Analyst)")</f>
        <v>Syafix (Business Analyst)</v>
      </c>
      <c r="B109" t="str">
        <f>IF(INDEX(Syafix!$D:$D, 109)="", NA(), INDEX(Syafix!$B:$B, 109))</f>
        <v>TTS - ARMS</v>
      </c>
      <c r="C109" t="str">
        <f>IF(INDEX(Syafix!$D:$D, 109)="", NA(), INDEX(Syafix!$D:$D, 109))</f>
        <v>Pembuatan User Guid TTS untuk kebutuhan management &amp; users</v>
      </c>
      <c r="D109" t="str">
        <f>IF(INDEX(Syafix!$D:$D, 109)="", NA(), INDEX(Syafix!$E:$E, 109))</f>
        <v>IN_PROGRESS</v>
      </c>
      <c r="E109" s="13">
        <f>IF(INDEX(Syafix!$D:$D, 109)="", NA(), INDEX(Syafix!$K:$K, 109))</f>
        <v>46316</v>
      </c>
      <c r="F109">
        <f t="shared" si="2"/>
        <v>9</v>
      </c>
      <c r="G109" s="13">
        <f>IF(INDEX(Syafix!$D:$D, 109)="", NA(), INDEX(Syafix!$L:$L, 109))</f>
        <v>46325</v>
      </c>
      <c r="H109" t="str">
        <f t="shared" si="3"/>
        <v>Syafix (Business Analyst) - TTS - ARMS - Pembuatan User Guid TTS untuk kebutuhan management &amp; users</v>
      </c>
    </row>
    <row r="110" spans="1:8" x14ac:dyDescent="0.2">
      <c r="A110" t="str">
        <f>IF(INDEX(Syafix!$D:$D, 110)="", NA(), "Syafix (Business Analyst)")</f>
        <v>Syafix (Business Analyst)</v>
      </c>
      <c r="B110" t="str">
        <f>IF(INDEX(Syafix!$D:$D, 110)="", NA(), INDEX(Syafix!$B:$B, 110))</f>
        <v>TTS - ARMS</v>
      </c>
      <c r="C110" t="str">
        <f>IF(INDEX(Syafix!$D:$D, 110)="", NA(), INDEX(Syafix!$D:$D, 110))</f>
        <v>Pembuatan Tracker Temuan aplikasi TTS ARMS</v>
      </c>
      <c r="D110" t="str">
        <f>IF(INDEX(Syafix!$D:$D, 110)="", NA(), INDEX(Syafix!$E:$E, 110))</f>
        <v>DONE</v>
      </c>
      <c r="E110" s="13">
        <f>IF(INDEX(Syafix!$D:$D, 110)="", NA(), INDEX(Syafix!$K:$K, 110))</f>
        <v>46316</v>
      </c>
      <c r="F110">
        <f t="shared" si="2"/>
        <v>1</v>
      </c>
      <c r="G110" s="13">
        <f>IF(INDEX(Syafix!$D:$D, 110)="", NA(), INDEX(Syafix!$L:$L, 110))</f>
        <v>46316</v>
      </c>
      <c r="H110" t="str">
        <f t="shared" si="3"/>
        <v>Syafix (Business Analyst) - TTS - ARMS - Pembuatan Tracker Temuan aplikasi TTS ARMS</v>
      </c>
    </row>
    <row r="111" spans="1:8" x14ac:dyDescent="0.2">
      <c r="A111" t="str">
        <f>IF(INDEX(Syafix!$D:$D, 111)="", NA(), "Syafix (Business Analyst)")</f>
        <v>Syafix (Business Analyst)</v>
      </c>
      <c r="B111" t="str">
        <f>IF(INDEX(Syafix!$D:$D, 111)="", NA(), INDEX(Syafix!$B:$B, 111))</f>
        <v>TTS - ARMS</v>
      </c>
      <c r="C111" t="str">
        <f>IF(INDEX(Syafix!$D:$D, 111)="", NA(), INDEX(Syafix!$D:$D, 111))</f>
        <v>Melakukan pengecekan TTS ARMS</v>
      </c>
      <c r="D111" t="str">
        <f>IF(INDEX(Syafix!$D:$D, 111)="", NA(), INDEX(Syafix!$E:$E, 111))</f>
        <v>IN_PROGRESS</v>
      </c>
      <c r="E111" s="13">
        <f>IF(INDEX(Syafix!$D:$D, 111)="", NA(), INDEX(Syafix!$K:$K, 111))</f>
        <v>46317</v>
      </c>
      <c r="F111">
        <f t="shared" si="2"/>
        <v>5</v>
      </c>
      <c r="G111" s="13">
        <f>IF(INDEX(Syafix!$D:$D, 111)="", NA(), INDEX(Syafix!$L:$L, 111))</f>
        <v>46322</v>
      </c>
      <c r="H111" t="str">
        <f t="shared" si="3"/>
        <v>Syafix (Business Analyst) - TTS - ARMS - Melakukan pengecekan TTS ARMS</v>
      </c>
    </row>
    <row r="112" spans="1:8" x14ac:dyDescent="0.2">
      <c r="A112" t="str">
        <f>IF(INDEX(Syafix!$D:$D, 112)="", NA(), "Syafix (Business Analyst)")</f>
        <v>Syafix (Business Analyst)</v>
      </c>
      <c r="B112" t="str">
        <f>IF(INDEX(Syafix!$D:$D, 112)="", NA(), INDEX(Syafix!$B:$B, 112))</f>
        <v>TTS - ARMS</v>
      </c>
      <c r="C112" t="str">
        <f>IF(INDEX(Syafix!$D:$D, 112)="", NA(), INDEX(Syafix!$D:$D, 112))</f>
        <v>Weekly Meeting Tugu Team</v>
      </c>
      <c r="D112" t="str">
        <f>IF(INDEX(Syafix!$D:$D, 112)="", NA(), INDEX(Syafix!$E:$E, 112))</f>
        <v>DONE</v>
      </c>
      <c r="E112" s="13">
        <f>IF(INDEX(Syafix!$D:$D, 112)="", NA(), INDEX(Syafix!$K:$K, 112))</f>
        <v>46318</v>
      </c>
      <c r="F112">
        <f t="shared" si="2"/>
        <v>1</v>
      </c>
      <c r="G112" s="13">
        <f>IF(INDEX(Syafix!$D:$D, 112)="", NA(), INDEX(Syafix!$L:$L, 112))</f>
        <v>46318</v>
      </c>
      <c r="H112" t="str">
        <f t="shared" si="3"/>
        <v>Syafix (Business Analyst) - TTS - ARMS - Weekly Meeting Tugu Team</v>
      </c>
    </row>
    <row r="113" spans="1:8" x14ac:dyDescent="0.2">
      <c r="A113" t="str">
        <f>IF(INDEX(Syafix!$D:$D, 113)="", NA(), "Syafix (Business Analyst)")</f>
        <v>Syafix (Business Analyst)</v>
      </c>
      <c r="B113" t="str">
        <f>IF(INDEX(Syafix!$D:$D, 113)="", NA(), INDEX(Syafix!$B:$B, 113))</f>
        <v>Integrasi TCES Claim - BengkelNet</v>
      </c>
      <c r="C113" t="str">
        <f>IF(INDEX(Syafix!$D:$D, 113)="", NA(), INDEX(Syafix!$D:$D, 113))</f>
        <v>Membuat BRD TCES Claim BengkelNet</v>
      </c>
      <c r="D113" t="str">
        <f>IF(INDEX(Syafix!$D:$D, 113)="", NA(), INDEX(Syafix!$E:$E, 113))</f>
        <v>IN_PROGRESS</v>
      </c>
      <c r="E113" s="13">
        <f>IF(INDEX(Syafix!$D:$D, 113)="", NA(), INDEX(Syafix!$K:$K, 113))</f>
        <v>46318</v>
      </c>
      <c r="F113">
        <f t="shared" si="2"/>
        <v>35</v>
      </c>
      <c r="G113" s="13">
        <f>IF(INDEX(Syafix!$D:$D, 113)="", NA(), INDEX(Syafix!$L:$L, 113))</f>
        <v>46353</v>
      </c>
      <c r="H113" t="str">
        <f t="shared" si="3"/>
        <v>Syafix (Business Analyst) - Integrasi TCES Claim - BengkelNet - Membuat BRD TCES Claim BengkelNet</v>
      </c>
    </row>
    <row r="114" spans="1:8" x14ac:dyDescent="0.2">
      <c r="A114" t="str">
        <f>IF(INDEX(Syafix!$D:$D, 114)="", NA(), "Syafix (Business Analyst)")</f>
        <v>Syafix (Business Analyst)</v>
      </c>
      <c r="B114" t="str">
        <f>IF(INDEX(Syafix!$D:$D, 114)="", NA(), INDEX(Syafix!$B:$B, 114))</f>
        <v>Integrasi TCES Claim - BengkelNet</v>
      </c>
      <c r="C114" t="str">
        <f>IF(INDEX(Syafix!$D:$D, 114)="", NA(), INDEX(Syafix!$D:$D, 114))</f>
        <v>Membuat Draft BRD TCES Claim BengkelNet</v>
      </c>
      <c r="D114" t="str">
        <f>IF(INDEX(Syafix!$D:$D, 114)="", NA(), INDEX(Syafix!$E:$E, 114))</f>
        <v>DONE</v>
      </c>
      <c r="E114" s="13">
        <f>IF(INDEX(Syafix!$D:$D, 114)="", NA(), INDEX(Syafix!$K:$K, 114))</f>
        <v>46318</v>
      </c>
      <c r="F114">
        <f t="shared" si="2"/>
        <v>1</v>
      </c>
      <c r="G114" s="13">
        <f>IF(INDEX(Syafix!$D:$D, 114)="", NA(), INDEX(Syafix!$L:$L, 114))</f>
        <v>46318</v>
      </c>
      <c r="H114" t="str">
        <f t="shared" si="3"/>
        <v>Syafix (Business Analyst) - Integrasi TCES Claim - BengkelNet - Membuat Draft BRD TCES Claim BengkelNet</v>
      </c>
    </row>
    <row r="115" spans="1:8" x14ac:dyDescent="0.2">
      <c r="A115" t="e">
        <f>IF(INDEX(Syafix!$D:$D, 115)="", NA(), "Syafix (Business Analyst)")</f>
        <v>#N/A</v>
      </c>
      <c r="B115" t="e">
        <f>IF(INDEX(Syafix!$D:$D, 115)="", NA(), INDEX(Syafix!$B:$B, 115))</f>
        <v>#N/A</v>
      </c>
      <c r="C115" t="e">
        <f>IF(INDEX(Syafix!$D:$D, 115)="", NA(), INDEX(Syafix!$D:$D, 115))</f>
        <v>#N/A</v>
      </c>
      <c r="D115" t="e">
        <f>IF(INDEX(Syafix!$D:$D, 115)="", NA(), INDEX(Syafix!$E:$E, 115))</f>
        <v>#N/A</v>
      </c>
      <c r="E115" s="13" t="e">
        <f>IF(INDEX(Syafix!$D:$D, 115)="", NA(), INDEX(Syafix!$K:$K, 115))</f>
        <v>#N/A</v>
      </c>
      <c r="F115" t="e">
        <f t="shared" si="2"/>
        <v>#N/A</v>
      </c>
      <c r="G115" s="13" t="e">
        <f>IF(INDEX(Syafix!$D:$D, 115)="", NA(), INDEX(Syafix!$L:$L, 115))</f>
        <v>#N/A</v>
      </c>
      <c r="H115" t="e">
        <f t="shared" si="3"/>
        <v>#N/A</v>
      </c>
    </row>
    <row r="116" spans="1:8" x14ac:dyDescent="0.2">
      <c r="A116" t="e">
        <f>IF(INDEX(Syafix!$D:$D, 116)="", NA(), "Syafix (Business Analyst)")</f>
        <v>#N/A</v>
      </c>
      <c r="B116" t="e">
        <f>IF(INDEX(Syafix!$D:$D, 116)="", NA(), INDEX(Syafix!$B:$B, 116))</f>
        <v>#N/A</v>
      </c>
      <c r="C116" t="e">
        <f>IF(INDEX(Syafix!$D:$D, 116)="", NA(), INDEX(Syafix!$D:$D, 116))</f>
        <v>#N/A</v>
      </c>
      <c r="D116" t="e">
        <f>IF(INDEX(Syafix!$D:$D, 116)="", NA(), INDEX(Syafix!$E:$E, 116))</f>
        <v>#N/A</v>
      </c>
      <c r="E116" s="13" t="e">
        <f>IF(INDEX(Syafix!$D:$D, 116)="", NA(), INDEX(Syafix!$K:$K, 116))</f>
        <v>#N/A</v>
      </c>
      <c r="F116" t="e">
        <f t="shared" si="2"/>
        <v>#N/A</v>
      </c>
      <c r="G116" s="13" t="e">
        <f>IF(INDEX(Syafix!$D:$D, 116)="", NA(), INDEX(Syafix!$L:$L, 116))</f>
        <v>#N/A</v>
      </c>
      <c r="H116" t="e">
        <f t="shared" si="3"/>
        <v>#N/A</v>
      </c>
    </row>
    <row r="117" spans="1:8" ht="58" customHeight="1" x14ac:dyDescent="0.2">
      <c r="A117" t="e">
        <f>IF(INDEX(Syafix!$D:$D, 117)="", NA(), "Syafix (Business Analyst)")</f>
        <v>#N/A</v>
      </c>
      <c r="B117" t="e">
        <f>IF(INDEX(Syafix!$D:$D, 117)="", NA(), INDEX(Syafix!$B:$B, 117))</f>
        <v>#N/A</v>
      </c>
      <c r="C117" t="e">
        <f>IF(INDEX(Syafix!$D:$D, 117)="", NA(), INDEX(Syafix!$D:$D, 117))</f>
        <v>#N/A</v>
      </c>
      <c r="D117" t="e">
        <f>IF(INDEX(Syafix!$D:$D, 117)="", NA(), INDEX(Syafix!$E:$E, 117))</f>
        <v>#N/A</v>
      </c>
      <c r="E117" s="13" t="e">
        <f>IF(INDEX(Syafix!$D:$D, 117)="", NA(), INDEX(Syafix!$K:$K, 117))</f>
        <v>#N/A</v>
      </c>
      <c r="F117" t="e">
        <f t="shared" si="2"/>
        <v>#N/A</v>
      </c>
      <c r="G117" s="13" t="e">
        <f>IF(INDEX(Syafix!$D:$D, 117)="", NA(), INDEX(Syafix!$L:$L, 117))</f>
        <v>#N/A</v>
      </c>
      <c r="H117" t="e">
        <f t="shared" si="3"/>
        <v>#N/A</v>
      </c>
    </row>
    <row r="118" spans="1:8" ht="101.5" customHeight="1" x14ac:dyDescent="0.2">
      <c r="A118" t="e">
        <f>IF(INDEX(Syafix!$D:$D, 118)="", NA(), "Syafix (Business Analyst)")</f>
        <v>#N/A</v>
      </c>
      <c r="B118" t="e">
        <f>IF(INDEX(Syafix!$D:$D, 118)="", NA(), INDEX(Syafix!$B:$B, 118))</f>
        <v>#N/A</v>
      </c>
      <c r="C118" t="e">
        <f>IF(INDEX(Syafix!$D:$D, 118)="", NA(), INDEX(Syafix!$D:$D, 118))</f>
        <v>#N/A</v>
      </c>
      <c r="D118" t="e">
        <f>IF(INDEX(Syafix!$D:$D, 118)="", NA(), INDEX(Syafix!$E:$E, 118))</f>
        <v>#N/A</v>
      </c>
      <c r="E118" s="13" t="e">
        <f>IF(INDEX(Syafix!$D:$D, 118)="", NA(), INDEX(Syafix!$K:$K, 118))</f>
        <v>#N/A</v>
      </c>
      <c r="F118" t="e">
        <f t="shared" si="2"/>
        <v>#N/A</v>
      </c>
      <c r="G118" s="13" t="e">
        <f>IF(INDEX(Syafix!$D:$D, 118)="", NA(), INDEX(Syafix!$L:$L, 118))</f>
        <v>#N/A</v>
      </c>
      <c r="H118" t="e">
        <f t="shared" si="3"/>
        <v>#N/A</v>
      </c>
    </row>
    <row r="119" spans="1:8" ht="145" customHeight="1" x14ac:dyDescent="0.2">
      <c r="A119" t="e">
        <f>IF(INDEX(Syafix!$D:$D, 119)="", NA(), "Syafix (Business Analyst)")</f>
        <v>#N/A</v>
      </c>
      <c r="B119" t="e">
        <f>IF(INDEX(Syafix!$D:$D, 119)="", NA(), INDEX(Syafix!$B:$B, 119))</f>
        <v>#N/A</v>
      </c>
      <c r="C119" t="e">
        <f>IF(INDEX(Syafix!$D:$D, 119)="", NA(), INDEX(Syafix!$D:$D, 119))</f>
        <v>#N/A</v>
      </c>
      <c r="D119" t="e">
        <f>IF(INDEX(Syafix!$D:$D, 119)="", NA(), INDEX(Syafix!$E:$E, 119))</f>
        <v>#N/A</v>
      </c>
      <c r="E119" s="13" t="e">
        <f>IF(INDEX(Syafix!$D:$D, 119)="", NA(), INDEX(Syafix!$K:$K, 119))</f>
        <v>#N/A</v>
      </c>
      <c r="F119" t="e">
        <f t="shared" si="2"/>
        <v>#N/A</v>
      </c>
      <c r="G119" s="13" t="e">
        <f>IF(INDEX(Syafix!$D:$D, 119)="", NA(), INDEX(Syafix!$L:$L, 119))</f>
        <v>#N/A</v>
      </c>
      <c r="H119" t="e">
        <f t="shared" si="3"/>
        <v>#N/A</v>
      </c>
    </row>
    <row r="120" spans="1:8" ht="101.5" customHeight="1" x14ac:dyDescent="0.2">
      <c r="A120" t="e">
        <f>IF(INDEX(Syafix!$D:$D, 120)="", NA(), "Syafix (Business Analyst)")</f>
        <v>#N/A</v>
      </c>
      <c r="B120" t="e">
        <f>IF(INDEX(Syafix!$D:$D, 120)="", NA(), INDEX(Syafix!$B:$B, 120))</f>
        <v>#N/A</v>
      </c>
      <c r="C120" t="e">
        <f>IF(INDEX(Syafix!$D:$D, 120)="", NA(), INDEX(Syafix!$D:$D, 120))</f>
        <v>#N/A</v>
      </c>
      <c r="D120" t="e">
        <f>IF(INDEX(Syafix!$D:$D, 120)="", NA(), INDEX(Syafix!$E:$E, 120))</f>
        <v>#N/A</v>
      </c>
      <c r="E120" s="13" t="e">
        <f>IF(INDEX(Syafix!$D:$D, 120)="", NA(), INDEX(Syafix!$K:$K, 120))</f>
        <v>#N/A</v>
      </c>
      <c r="F120" t="e">
        <f t="shared" si="2"/>
        <v>#N/A</v>
      </c>
      <c r="G120" s="13" t="e">
        <f>IF(INDEX(Syafix!$D:$D, 120)="", NA(), INDEX(Syafix!$L:$L, 120))</f>
        <v>#N/A</v>
      </c>
      <c r="H120" t="e">
        <f t="shared" si="3"/>
        <v>#N/A</v>
      </c>
    </row>
    <row r="121" spans="1:8" ht="72.5" customHeight="1" x14ac:dyDescent="0.2">
      <c r="A121" t="e">
        <f>IF(INDEX(Syafix!$D:$D, 121)="", NA(), "Syafix (Business Analyst)")</f>
        <v>#N/A</v>
      </c>
      <c r="B121" t="e">
        <f>IF(INDEX(Syafix!$D:$D, 121)="", NA(), INDEX(Syafix!$B:$B, 121))</f>
        <v>#N/A</v>
      </c>
      <c r="C121" t="e">
        <f>IF(INDEX(Syafix!$D:$D, 121)="", NA(), INDEX(Syafix!$D:$D, 121))</f>
        <v>#N/A</v>
      </c>
      <c r="D121" t="e">
        <f>IF(INDEX(Syafix!$D:$D, 121)="", NA(), INDEX(Syafix!$E:$E, 121))</f>
        <v>#N/A</v>
      </c>
      <c r="E121" s="13" t="e">
        <f>IF(INDEX(Syafix!$D:$D, 121)="", NA(), INDEX(Syafix!$K:$K, 121))</f>
        <v>#N/A</v>
      </c>
      <c r="F121" t="e">
        <f t="shared" si="2"/>
        <v>#N/A</v>
      </c>
      <c r="G121" s="13" t="e">
        <f>IF(INDEX(Syafix!$D:$D, 121)="", NA(), INDEX(Syafix!$L:$L, 121))</f>
        <v>#N/A</v>
      </c>
      <c r="H121" t="e">
        <f t="shared" si="3"/>
        <v>#N/A</v>
      </c>
    </row>
    <row r="122" spans="1:8" ht="159.5" customHeight="1" x14ac:dyDescent="0.2">
      <c r="A122" t="e">
        <f>IF(INDEX(Syafix!$D:$D, 122)="", NA(), "Syafix (Business Analyst)")</f>
        <v>#N/A</v>
      </c>
      <c r="B122" t="e">
        <f>IF(INDEX(Syafix!$D:$D, 122)="", NA(), INDEX(Syafix!$B:$B, 122))</f>
        <v>#N/A</v>
      </c>
      <c r="C122" t="e">
        <f>IF(INDEX(Syafix!$D:$D, 122)="", NA(), INDEX(Syafix!$D:$D, 122))</f>
        <v>#N/A</v>
      </c>
      <c r="D122" t="e">
        <f>IF(INDEX(Syafix!$D:$D, 122)="", NA(), INDEX(Syafix!$E:$E, 122))</f>
        <v>#N/A</v>
      </c>
      <c r="E122" s="13" t="e">
        <f>IF(INDEX(Syafix!$D:$D, 122)="", NA(), INDEX(Syafix!$K:$K, 122))</f>
        <v>#N/A</v>
      </c>
      <c r="F122" t="e">
        <f t="shared" si="2"/>
        <v>#N/A</v>
      </c>
      <c r="G122" s="13" t="e">
        <f>IF(INDEX(Syafix!$D:$D, 122)="", NA(), INDEX(Syafix!$L:$L, 122))</f>
        <v>#N/A</v>
      </c>
      <c r="H122" t="e">
        <f t="shared" si="3"/>
        <v>#N/A</v>
      </c>
    </row>
    <row r="123" spans="1:8" ht="174" customHeight="1" x14ac:dyDescent="0.2">
      <c r="A123" t="e">
        <f>IF(INDEX(Syafix!$D:$D, 123)="", NA(), "Syafix (Business Analyst)")</f>
        <v>#N/A</v>
      </c>
      <c r="B123" t="e">
        <f>IF(INDEX(Syafix!$D:$D, 123)="", NA(), INDEX(Syafix!$B:$B, 123))</f>
        <v>#N/A</v>
      </c>
      <c r="C123" t="e">
        <f>IF(INDEX(Syafix!$D:$D, 123)="", NA(), INDEX(Syafix!$D:$D, 123))</f>
        <v>#N/A</v>
      </c>
      <c r="D123" t="e">
        <f>IF(INDEX(Syafix!$D:$D, 123)="", NA(), INDEX(Syafix!$E:$E, 123))</f>
        <v>#N/A</v>
      </c>
      <c r="E123" s="13" t="e">
        <f>IF(INDEX(Syafix!$D:$D, 123)="", NA(), INDEX(Syafix!$K:$K, 123))</f>
        <v>#N/A</v>
      </c>
      <c r="F123" t="e">
        <f t="shared" si="2"/>
        <v>#N/A</v>
      </c>
      <c r="G123" s="13" t="e">
        <f>IF(INDEX(Syafix!$D:$D, 123)="", NA(), INDEX(Syafix!$L:$L, 123))</f>
        <v>#N/A</v>
      </c>
      <c r="H123" t="e">
        <f t="shared" si="3"/>
        <v>#N/A</v>
      </c>
    </row>
    <row r="124" spans="1:8" ht="145" customHeight="1" x14ac:dyDescent="0.2">
      <c r="A124" t="e">
        <f>IF(INDEX(Syafix!$D:$D, 124)="", NA(), "Syafix (Business Analyst)")</f>
        <v>#N/A</v>
      </c>
      <c r="B124" t="e">
        <f>IF(INDEX(Syafix!$D:$D, 124)="", NA(), INDEX(Syafix!$B:$B, 124))</f>
        <v>#N/A</v>
      </c>
      <c r="C124" t="e">
        <f>IF(INDEX(Syafix!$D:$D, 124)="", NA(), INDEX(Syafix!$D:$D, 124))</f>
        <v>#N/A</v>
      </c>
      <c r="D124" t="e">
        <f>IF(INDEX(Syafix!$D:$D, 124)="", NA(), INDEX(Syafix!$E:$E, 124))</f>
        <v>#N/A</v>
      </c>
      <c r="E124" s="13" t="e">
        <f>IF(INDEX(Syafix!$D:$D, 124)="", NA(), INDEX(Syafix!$K:$K, 124))</f>
        <v>#N/A</v>
      </c>
      <c r="F124" t="e">
        <f t="shared" si="2"/>
        <v>#N/A</v>
      </c>
      <c r="G124" s="13" t="e">
        <f>IF(INDEX(Syafix!$D:$D, 124)="", NA(), INDEX(Syafix!$L:$L, 124))</f>
        <v>#N/A</v>
      </c>
      <c r="H124" t="e">
        <f t="shared" si="3"/>
        <v>#N/A</v>
      </c>
    </row>
    <row r="125" spans="1:8" ht="130.5" customHeight="1" x14ac:dyDescent="0.2">
      <c r="A125" t="e">
        <f>IF(INDEX(Syafix!$D:$D, 125)="", NA(), "Syafix (Business Analyst)")</f>
        <v>#N/A</v>
      </c>
      <c r="B125" t="e">
        <f>IF(INDEX(Syafix!$D:$D, 125)="", NA(), INDEX(Syafix!$B:$B, 125))</f>
        <v>#N/A</v>
      </c>
      <c r="C125" t="e">
        <f>IF(INDEX(Syafix!$D:$D, 125)="", NA(), INDEX(Syafix!$D:$D, 125))</f>
        <v>#N/A</v>
      </c>
      <c r="D125" t="e">
        <f>IF(INDEX(Syafix!$D:$D, 125)="", NA(), INDEX(Syafix!$E:$E, 125))</f>
        <v>#N/A</v>
      </c>
      <c r="E125" s="13" t="e">
        <f>IF(INDEX(Syafix!$D:$D, 125)="", NA(), INDEX(Syafix!$K:$K, 125))</f>
        <v>#N/A</v>
      </c>
      <c r="F125" t="e">
        <f t="shared" si="2"/>
        <v>#N/A</v>
      </c>
      <c r="G125" s="13" t="e">
        <f>IF(INDEX(Syafix!$D:$D, 125)="", NA(), INDEX(Syafix!$L:$L, 125))</f>
        <v>#N/A</v>
      </c>
      <c r="H125" t="e">
        <f t="shared" si="3"/>
        <v>#N/A</v>
      </c>
    </row>
    <row r="126" spans="1:8" ht="145" customHeight="1" x14ac:dyDescent="0.2">
      <c r="A126" t="e">
        <f>IF(INDEX(Syafix!$D:$D, 126)="", NA(), "Syafix (Business Analyst)")</f>
        <v>#N/A</v>
      </c>
      <c r="B126" t="e">
        <f>IF(INDEX(Syafix!$D:$D, 126)="", NA(), INDEX(Syafix!$B:$B, 126))</f>
        <v>#N/A</v>
      </c>
      <c r="C126" t="e">
        <f>IF(INDEX(Syafix!$D:$D, 126)="", NA(), INDEX(Syafix!$D:$D, 126))</f>
        <v>#N/A</v>
      </c>
      <c r="D126" t="e">
        <f>IF(INDEX(Syafix!$D:$D, 126)="", NA(), INDEX(Syafix!$E:$E, 126))</f>
        <v>#N/A</v>
      </c>
      <c r="E126" s="13" t="e">
        <f>IF(INDEX(Syafix!$D:$D, 126)="", NA(), INDEX(Syafix!$K:$K, 126))</f>
        <v>#N/A</v>
      </c>
      <c r="F126" t="e">
        <f t="shared" si="2"/>
        <v>#N/A</v>
      </c>
      <c r="G126" s="13" t="e">
        <f>IF(INDEX(Syafix!$D:$D, 126)="", NA(), INDEX(Syafix!$L:$L, 126))</f>
        <v>#N/A</v>
      </c>
      <c r="H126" t="e">
        <f t="shared" si="3"/>
        <v>#N/A</v>
      </c>
    </row>
    <row r="127" spans="1:8" ht="145" customHeight="1" x14ac:dyDescent="0.2">
      <c r="A127" t="e">
        <f>IF(INDEX(Syafix!$D:$D, 127)="", NA(), "Syafix (Business Analyst)")</f>
        <v>#N/A</v>
      </c>
      <c r="B127" t="e">
        <f>IF(INDEX(Syafix!$D:$D, 127)="", NA(), INDEX(Syafix!$B:$B, 127))</f>
        <v>#N/A</v>
      </c>
      <c r="C127" t="e">
        <f>IF(INDEX(Syafix!$D:$D, 127)="", NA(), INDEX(Syafix!$D:$D, 127))</f>
        <v>#N/A</v>
      </c>
      <c r="D127" t="e">
        <f>IF(INDEX(Syafix!$D:$D, 127)="", NA(), INDEX(Syafix!$E:$E, 127))</f>
        <v>#N/A</v>
      </c>
      <c r="E127" s="13" t="e">
        <f>IF(INDEX(Syafix!$D:$D, 127)="", NA(), INDEX(Syafix!$K:$K, 127))</f>
        <v>#N/A</v>
      </c>
      <c r="F127" t="e">
        <f t="shared" si="2"/>
        <v>#N/A</v>
      </c>
      <c r="G127" s="13" t="e">
        <f>IF(INDEX(Syafix!$D:$D, 127)="", NA(), INDEX(Syafix!$L:$L, 127))</f>
        <v>#N/A</v>
      </c>
      <c r="H127" t="e">
        <f t="shared" si="3"/>
        <v>#N/A</v>
      </c>
    </row>
    <row r="128" spans="1:8" ht="116" customHeight="1" x14ac:dyDescent="0.2">
      <c r="A128" t="e">
        <f>IF(INDEX(Syafix!$D:$D, 128)="", NA(), "Syafix (Business Analyst)")</f>
        <v>#N/A</v>
      </c>
      <c r="B128" t="e">
        <f>IF(INDEX(Syafix!$D:$D, 128)="", NA(), INDEX(Syafix!$B:$B, 128))</f>
        <v>#N/A</v>
      </c>
      <c r="C128" t="e">
        <f>IF(INDEX(Syafix!$D:$D, 128)="", NA(), INDEX(Syafix!$D:$D, 128))</f>
        <v>#N/A</v>
      </c>
      <c r="D128" t="e">
        <f>IF(INDEX(Syafix!$D:$D, 128)="", NA(), INDEX(Syafix!$E:$E, 128))</f>
        <v>#N/A</v>
      </c>
      <c r="E128" s="13" t="e">
        <f>IF(INDEX(Syafix!$D:$D, 128)="", NA(), INDEX(Syafix!$K:$K, 128))</f>
        <v>#N/A</v>
      </c>
      <c r="F128" t="e">
        <f t="shared" si="2"/>
        <v>#N/A</v>
      </c>
      <c r="G128" s="13" t="e">
        <f>IF(INDEX(Syafix!$D:$D, 128)="", NA(), INDEX(Syafix!$L:$L, 128))</f>
        <v>#N/A</v>
      </c>
      <c r="H128" t="e">
        <f t="shared" si="3"/>
        <v>#N/A</v>
      </c>
    </row>
    <row r="129" spans="1:8" ht="87" customHeight="1" x14ac:dyDescent="0.2">
      <c r="A129" t="e">
        <f>IF(INDEX(Syafix!$D:$D, 129)="", NA(), "Syafix (Business Analyst)")</f>
        <v>#N/A</v>
      </c>
      <c r="B129" t="e">
        <f>IF(INDEX(Syafix!$D:$D, 129)="", NA(), INDEX(Syafix!$B:$B, 129))</f>
        <v>#N/A</v>
      </c>
      <c r="C129" t="e">
        <f>IF(INDEX(Syafix!$D:$D, 129)="", NA(), INDEX(Syafix!$D:$D, 129))</f>
        <v>#N/A</v>
      </c>
      <c r="D129" t="e">
        <f>IF(INDEX(Syafix!$D:$D, 129)="", NA(), INDEX(Syafix!$E:$E, 129))</f>
        <v>#N/A</v>
      </c>
      <c r="E129" s="13" t="e">
        <f>IF(INDEX(Syafix!$D:$D, 129)="", NA(), INDEX(Syafix!$K:$K, 129))</f>
        <v>#N/A</v>
      </c>
      <c r="F129" t="e">
        <f t="shared" si="2"/>
        <v>#N/A</v>
      </c>
      <c r="G129" s="13" t="e">
        <f>IF(INDEX(Syafix!$D:$D, 129)="", NA(), INDEX(Syafix!$L:$L, 129))</f>
        <v>#N/A</v>
      </c>
      <c r="H129" t="e">
        <f t="shared" si="3"/>
        <v>#N/A</v>
      </c>
    </row>
    <row r="130" spans="1:8" ht="87" customHeight="1" x14ac:dyDescent="0.2">
      <c r="A130" t="e">
        <f>IF(INDEX(Syafix!$D:$D, 130)="", NA(), "Syafix (Business Analyst)")</f>
        <v>#N/A</v>
      </c>
      <c r="B130" t="e">
        <f>IF(INDEX(Syafix!$D:$D, 130)="", NA(), INDEX(Syafix!$B:$B, 130))</f>
        <v>#N/A</v>
      </c>
      <c r="C130" t="e">
        <f>IF(INDEX(Syafix!$D:$D, 130)="", NA(), INDEX(Syafix!$D:$D, 130))</f>
        <v>#N/A</v>
      </c>
      <c r="D130" t="e">
        <f>IF(INDEX(Syafix!$D:$D, 130)="", NA(), INDEX(Syafix!$E:$E, 130))</f>
        <v>#N/A</v>
      </c>
      <c r="E130" s="13" t="e">
        <f>IF(INDEX(Syafix!$D:$D, 130)="", NA(), INDEX(Syafix!$K:$K, 130))</f>
        <v>#N/A</v>
      </c>
      <c r="F130" t="e">
        <f t="shared" ref="F130:F193" si="4">IF(OR(E130="", ISNA(E130), ISNA(G130)), 0, MAX(1, G130-E130))</f>
        <v>#N/A</v>
      </c>
      <c r="G130" s="13" t="e">
        <f>IF(INDEX(Syafix!$D:$D, 130)="", NA(), INDEX(Syafix!$L:$L, 130))</f>
        <v>#N/A</v>
      </c>
      <c r="H130" t="e">
        <f t="shared" ref="H130:H193" si="5">IF(ISNA(C130), NA(), A130 &amp; " - " &amp; B130 &amp; " - " &amp; C130)</f>
        <v>#N/A</v>
      </c>
    </row>
    <row r="131" spans="1:8" ht="116" customHeight="1" x14ac:dyDescent="0.2">
      <c r="A131" t="e">
        <f>IF(INDEX(Syafix!$D:$D, 131)="", NA(), "Syafix (Business Analyst)")</f>
        <v>#N/A</v>
      </c>
      <c r="B131" t="e">
        <f>IF(INDEX(Syafix!$D:$D, 131)="", NA(), INDEX(Syafix!$B:$B, 131))</f>
        <v>#N/A</v>
      </c>
      <c r="C131" t="e">
        <f>IF(INDEX(Syafix!$D:$D, 131)="", NA(), INDEX(Syafix!$D:$D, 131))</f>
        <v>#N/A</v>
      </c>
      <c r="D131" t="e">
        <f>IF(INDEX(Syafix!$D:$D, 131)="", NA(), INDEX(Syafix!$E:$E, 131))</f>
        <v>#N/A</v>
      </c>
      <c r="E131" s="13" t="e">
        <f>IF(INDEX(Syafix!$D:$D, 131)="", NA(), INDEX(Syafix!$K:$K, 131))</f>
        <v>#N/A</v>
      </c>
      <c r="F131" t="e">
        <f t="shared" si="4"/>
        <v>#N/A</v>
      </c>
      <c r="G131" s="13" t="e">
        <f>IF(INDEX(Syafix!$D:$D, 131)="", NA(), INDEX(Syafix!$L:$L, 131))</f>
        <v>#N/A</v>
      </c>
      <c r="H131" t="e">
        <f t="shared" si="5"/>
        <v>#N/A</v>
      </c>
    </row>
    <row r="132" spans="1:8" x14ac:dyDescent="0.2">
      <c r="A132" t="e">
        <f>IF(INDEX(Syafix!$D:$D, 132)="", NA(), "Syafix (Business Analyst)")</f>
        <v>#N/A</v>
      </c>
      <c r="B132" t="e">
        <f>IF(INDEX(Syafix!$D:$D, 132)="", NA(), INDEX(Syafix!$B:$B, 132))</f>
        <v>#N/A</v>
      </c>
      <c r="C132" t="e">
        <f>IF(INDEX(Syafix!$D:$D, 132)="", NA(), INDEX(Syafix!$D:$D, 132))</f>
        <v>#N/A</v>
      </c>
      <c r="D132" t="e">
        <f>IF(INDEX(Syafix!$D:$D, 132)="", NA(), INDEX(Syafix!$E:$E, 132))</f>
        <v>#N/A</v>
      </c>
      <c r="E132" s="13" t="e">
        <f>IF(INDEX(Syafix!$D:$D, 132)="", NA(), INDEX(Syafix!$K:$K, 132))</f>
        <v>#N/A</v>
      </c>
      <c r="F132" t="e">
        <f t="shared" si="4"/>
        <v>#N/A</v>
      </c>
      <c r="G132" s="13" t="e">
        <f>IF(INDEX(Syafix!$D:$D, 132)="", NA(), INDEX(Syafix!$L:$L, 132))</f>
        <v>#N/A</v>
      </c>
      <c r="H132" t="e">
        <f t="shared" si="5"/>
        <v>#N/A</v>
      </c>
    </row>
    <row r="133" spans="1:8" x14ac:dyDescent="0.2">
      <c r="A133" t="e">
        <f>IF(INDEX(Syafix!$D:$D, 133)="", NA(), "Syafix (Business Analyst)")</f>
        <v>#N/A</v>
      </c>
      <c r="B133" t="e">
        <f>IF(INDEX(Syafix!$D:$D, 133)="", NA(), INDEX(Syafix!$B:$B, 133))</f>
        <v>#N/A</v>
      </c>
      <c r="C133" t="e">
        <f>IF(INDEX(Syafix!$D:$D, 133)="", NA(), INDEX(Syafix!$D:$D, 133))</f>
        <v>#N/A</v>
      </c>
      <c r="D133" t="e">
        <f>IF(INDEX(Syafix!$D:$D, 133)="", NA(), INDEX(Syafix!$E:$E, 133))</f>
        <v>#N/A</v>
      </c>
      <c r="E133" s="13" t="e">
        <f>IF(INDEX(Syafix!$D:$D, 133)="", NA(), INDEX(Syafix!$K:$K, 133))</f>
        <v>#N/A</v>
      </c>
      <c r="F133" t="e">
        <f t="shared" si="4"/>
        <v>#N/A</v>
      </c>
      <c r="G133" s="13" t="e">
        <f>IF(INDEX(Syafix!$D:$D, 133)="", NA(), INDEX(Syafix!$L:$L, 133))</f>
        <v>#N/A</v>
      </c>
      <c r="H133" t="e">
        <f t="shared" si="5"/>
        <v>#N/A</v>
      </c>
    </row>
    <row r="134" spans="1:8" x14ac:dyDescent="0.2">
      <c r="A134" t="e">
        <f>IF(INDEX(Syafix!$D:$D, 134)="", NA(), "Syafix (Business Analyst)")</f>
        <v>#N/A</v>
      </c>
      <c r="B134" t="e">
        <f>IF(INDEX(Syafix!$D:$D, 134)="", NA(), INDEX(Syafix!$B:$B, 134))</f>
        <v>#N/A</v>
      </c>
      <c r="C134" t="e">
        <f>IF(INDEX(Syafix!$D:$D, 134)="", NA(), INDEX(Syafix!$D:$D, 134))</f>
        <v>#N/A</v>
      </c>
      <c r="D134" t="e">
        <f>IF(INDEX(Syafix!$D:$D, 134)="", NA(), INDEX(Syafix!$E:$E, 134))</f>
        <v>#N/A</v>
      </c>
      <c r="E134" s="13" t="e">
        <f>IF(INDEX(Syafix!$D:$D, 134)="", NA(), INDEX(Syafix!$K:$K, 134))</f>
        <v>#N/A</v>
      </c>
      <c r="F134" t="e">
        <f t="shared" si="4"/>
        <v>#N/A</v>
      </c>
      <c r="G134" s="13" t="e">
        <f>IF(INDEX(Syafix!$D:$D, 134)="", NA(), INDEX(Syafix!$L:$L, 134))</f>
        <v>#N/A</v>
      </c>
      <c r="H134" t="e">
        <f t="shared" si="5"/>
        <v>#N/A</v>
      </c>
    </row>
    <row r="135" spans="1:8" x14ac:dyDescent="0.2">
      <c r="A135" t="e">
        <f>IF(INDEX(Syafix!$D:$D, 135)="", NA(), "Syafix (Business Analyst)")</f>
        <v>#N/A</v>
      </c>
      <c r="B135" t="e">
        <f>IF(INDEX(Syafix!$D:$D, 135)="", NA(), INDEX(Syafix!$B:$B, 135))</f>
        <v>#N/A</v>
      </c>
      <c r="C135" t="e">
        <f>IF(INDEX(Syafix!$D:$D, 135)="", NA(), INDEX(Syafix!$D:$D, 135))</f>
        <v>#N/A</v>
      </c>
      <c r="D135" t="e">
        <f>IF(INDEX(Syafix!$D:$D, 135)="", NA(), INDEX(Syafix!$E:$E, 135))</f>
        <v>#N/A</v>
      </c>
      <c r="E135" s="13" t="e">
        <f>IF(INDEX(Syafix!$D:$D, 135)="", NA(), INDEX(Syafix!$K:$K, 135))</f>
        <v>#N/A</v>
      </c>
      <c r="F135" t="e">
        <f t="shared" si="4"/>
        <v>#N/A</v>
      </c>
      <c r="G135" s="13" t="e">
        <f>IF(INDEX(Syafix!$D:$D, 135)="", NA(), INDEX(Syafix!$L:$L, 135))</f>
        <v>#N/A</v>
      </c>
      <c r="H135" t="e">
        <f t="shared" si="5"/>
        <v>#N/A</v>
      </c>
    </row>
    <row r="136" spans="1:8" x14ac:dyDescent="0.2">
      <c r="A136" t="e">
        <f>IF(INDEX(Syafix!$D:$D, 136)="", NA(), "Syafix (Business Analyst)")</f>
        <v>#N/A</v>
      </c>
      <c r="B136" t="e">
        <f>IF(INDEX(Syafix!$D:$D, 136)="", NA(), INDEX(Syafix!$B:$B, 136))</f>
        <v>#N/A</v>
      </c>
      <c r="C136" t="e">
        <f>IF(INDEX(Syafix!$D:$D, 136)="", NA(), INDEX(Syafix!$D:$D, 136))</f>
        <v>#N/A</v>
      </c>
      <c r="D136" t="e">
        <f>IF(INDEX(Syafix!$D:$D, 136)="", NA(), INDEX(Syafix!$E:$E, 136))</f>
        <v>#N/A</v>
      </c>
      <c r="E136" s="13" t="e">
        <f>IF(INDEX(Syafix!$D:$D, 136)="", NA(), INDEX(Syafix!$K:$K, 136))</f>
        <v>#N/A</v>
      </c>
      <c r="F136" t="e">
        <f t="shared" si="4"/>
        <v>#N/A</v>
      </c>
      <c r="G136" s="13" t="e">
        <f>IF(INDEX(Syafix!$D:$D, 136)="", NA(), INDEX(Syafix!$L:$L, 136))</f>
        <v>#N/A</v>
      </c>
      <c r="H136" t="e">
        <f t="shared" si="5"/>
        <v>#N/A</v>
      </c>
    </row>
    <row r="137" spans="1:8" x14ac:dyDescent="0.2">
      <c r="A137" t="e">
        <f>IF(INDEX(Syafix!$D:$D, 137)="", NA(), "Syafix (Business Analyst)")</f>
        <v>#N/A</v>
      </c>
      <c r="B137" t="e">
        <f>IF(INDEX(Syafix!$D:$D, 137)="", NA(), INDEX(Syafix!$B:$B, 137))</f>
        <v>#N/A</v>
      </c>
      <c r="C137" t="e">
        <f>IF(INDEX(Syafix!$D:$D, 137)="", NA(), INDEX(Syafix!$D:$D, 137))</f>
        <v>#N/A</v>
      </c>
      <c r="D137" t="e">
        <f>IF(INDEX(Syafix!$D:$D, 137)="", NA(), INDEX(Syafix!$E:$E, 137))</f>
        <v>#N/A</v>
      </c>
      <c r="E137" s="13" t="e">
        <f>IF(INDEX(Syafix!$D:$D, 137)="", NA(), INDEX(Syafix!$K:$K, 137))</f>
        <v>#N/A</v>
      </c>
      <c r="F137" t="e">
        <f t="shared" si="4"/>
        <v>#N/A</v>
      </c>
      <c r="G137" s="13" t="e">
        <f>IF(INDEX(Syafix!$D:$D, 137)="", NA(), INDEX(Syafix!$L:$L, 137))</f>
        <v>#N/A</v>
      </c>
      <c r="H137" t="e">
        <f t="shared" si="5"/>
        <v>#N/A</v>
      </c>
    </row>
    <row r="138" spans="1:8" x14ac:dyDescent="0.2">
      <c r="A138" t="e">
        <f>IF(INDEX(Syafix!$D:$D, 138)="", NA(), "Syafix (Business Analyst)")</f>
        <v>#N/A</v>
      </c>
      <c r="B138" t="e">
        <f>IF(INDEX(Syafix!$D:$D, 138)="", NA(), INDEX(Syafix!$B:$B, 138))</f>
        <v>#N/A</v>
      </c>
      <c r="C138" t="e">
        <f>IF(INDEX(Syafix!$D:$D, 138)="", NA(), INDEX(Syafix!$D:$D, 138))</f>
        <v>#N/A</v>
      </c>
      <c r="D138" t="e">
        <f>IF(INDEX(Syafix!$D:$D, 138)="", NA(), INDEX(Syafix!$E:$E, 138))</f>
        <v>#N/A</v>
      </c>
      <c r="E138" s="13" t="e">
        <f>IF(INDEX(Syafix!$D:$D, 138)="", NA(), INDEX(Syafix!$K:$K, 138))</f>
        <v>#N/A</v>
      </c>
      <c r="F138" t="e">
        <f t="shared" si="4"/>
        <v>#N/A</v>
      </c>
      <c r="G138" s="13" t="e">
        <f>IF(INDEX(Syafix!$D:$D, 138)="", NA(), INDEX(Syafix!$L:$L, 138))</f>
        <v>#N/A</v>
      </c>
      <c r="H138" t="e">
        <f t="shared" si="5"/>
        <v>#N/A</v>
      </c>
    </row>
    <row r="139" spans="1:8" x14ac:dyDescent="0.2">
      <c r="A139" t="e">
        <f>IF(INDEX(Syafix!$D:$D, 139)="", NA(), "Syafix (Business Analyst)")</f>
        <v>#N/A</v>
      </c>
      <c r="B139" t="e">
        <f>IF(INDEX(Syafix!$D:$D, 139)="", NA(), INDEX(Syafix!$B:$B, 139))</f>
        <v>#N/A</v>
      </c>
      <c r="C139" t="e">
        <f>IF(INDEX(Syafix!$D:$D, 139)="", NA(), INDEX(Syafix!$D:$D, 139))</f>
        <v>#N/A</v>
      </c>
      <c r="D139" t="e">
        <f>IF(INDEX(Syafix!$D:$D, 139)="", NA(), INDEX(Syafix!$E:$E, 139))</f>
        <v>#N/A</v>
      </c>
      <c r="E139" s="13" t="e">
        <f>IF(INDEX(Syafix!$D:$D, 139)="", NA(), INDEX(Syafix!$K:$K, 139))</f>
        <v>#N/A</v>
      </c>
      <c r="F139" t="e">
        <f t="shared" si="4"/>
        <v>#N/A</v>
      </c>
      <c r="G139" s="13" t="e">
        <f>IF(INDEX(Syafix!$D:$D, 139)="", NA(), INDEX(Syafix!$L:$L, 139))</f>
        <v>#N/A</v>
      </c>
      <c r="H139" t="e">
        <f t="shared" si="5"/>
        <v>#N/A</v>
      </c>
    </row>
    <row r="140" spans="1:8" x14ac:dyDescent="0.2">
      <c r="A140" t="e">
        <f>IF(INDEX(Syafix!$D:$D, 140)="", NA(), "Syafix (Business Analyst)")</f>
        <v>#N/A</v>
      </c>
      <c r="B140" t="e">
        <f>IF(INDEX(Syafix!$D:$D, 140)="", NA(), INDEX(Syafix!$B:$B, 140))</f>
        <v>#N/A</v>
      </c>
      <c r="C140" t="e">
        <f>IF(INDEX(Syafix!$D:$D, 140)="", NA(), INDEX(Syafix!$D:$D, 140))</f>
        <v>#N/A</v>
      </c>
      <c r="D140" t="e">
        <f>IF(INDEX(Syafix!$D:$D, 140)="", NA(), INDEX(Syafix!$E:$E, 140))</f>
        <v>#N/A</v>
      </c>
      <c r="E140" s="13" t="e">
        <f>IF(INDEX(Syafix!$D:$D, 140)="", NA(), INDEX(Syafix!$K:$K, 140))</f>
        <v>#N/A</v>
      </c>
      <c r="F140" t="e">
        <f t="shared" si="4"/>
        <v>#N/A</v>
      </c>
      <c r="G140" s="13" t="e">
        <f>IF(INDEX(Syafix!$D:$D, 140)="", NA(), INDEX(Syafix!$L:$L, 140))</f>
        <v>#N/A</v>
      </c>
      <c r="H140" t="e">
        <f t="shared" si="5"/>
        <v>#N/A</v>
      </c>
    </row>
    <row r="141" spans="1:8" x14ac:dyDescent="0.2">
      <c r="A141" t="e">
        <f>IF(INDEX(Syafix!$D:$D, 141)="", NA(), "Syafix (Business Analyst)")</f>
        <v>#N/A</v>
      </c>
      <c r="B141" t="e">
        <f>IF(INDEX(Syafix!$D:$D, 141)="", NA(), INDEX(Syafix!$B:$B, 141))</f>
        <v>#N/A</v>
      </c>
      <c r="C141" t="e">
        <f>IF(INDEX(Syafix!$D:$D, 141)="", NA(), INDEX(Syafix!$D:$D, 141))</f>
        <v>#N/A</v>
      </c>
      <c r="D141" t="e">
        <f>IF(INDEX(Syafix!$D:$D, 141)="", NA(), INDEX(Syafix!$E:$E, 141))</f>
        <v>#N/A</v>
      </c>
      <c r="E141" s="13" t="e">
        <f>IF(INDEX(Syafix!$D:$D, 141)="", NA(), INDEX(Syafix!$K:$K, 141))</f>
        <v>#N/A</v>
      </c>
      <c r="F141" t="e">
        <f t="shared" si="4"/>
        <v>#N/A</v>
      </c>
      <c r="G141" s="13" t="e">
        <f>IF(INDEX(Syafix!$D:$D, 141)="", NA(), INDEX(Syafix!$L:$L, 141))</f>
        <v>#N/A</v>
      </c>
      <c r="H141" t="e">
        <f t="shared" si="5"/>
        <v>#N/A</v>
      </c>
    </row>
    <row r="142" spans="1:8" x14ac:dyDescent="0.2">
      <c r="A142" t="e">
        <f>IF(INDEX(Syafix!$D:$D, 142)="", NA(), "Syafix (Business Analyst)")</f>
        <v>#N/A</v>
      </c>
      <c r="B142" t="e">
        <f>IF(INDEX(Syafix!$D:$D, 142)="", NA(), INDEX(Syafix!$B:$B, 142))</f>
        <v>#N/A</v>
      </c>
      <c r="C142" t="e">
        <f>IF(INDEX(Syafix!$D:$D, 142)="", NA(), INDEX(Syafix!$D:$D, 142))</f>
        <v>#N/A</v>
      </c>
      <c r="D142" t="e">
        <f>IF(INDEX(Syafix!$D:$D, 142)="", NA(), INDEX(Syafix!$E:$E, 142))</f>
        <v>#N/A</v>
      </c>
      <c r="E142" s="13" t="e">
        <f>IF(INDEX(Syafix!$D:$D, 142)="", NA(), INDEX(Syafix!$K:$K, 142))</f>
        <v>#N/A</v>
      </c>
      <c r="F142" t="e">
        <f t="shared" si="4"/>
        <v>#N/A</v>
      </c>
      <c r="G142" s="13" t="e">
        <f>IF(INDEX(Syafix!$D:$D, 142)="", NA(), INDEX(Syafix!$L:$L, 142))</f>
        <v>#N/A</v>
      </c>
      <c r="H142" t="e">
        <f t="shared" si="5"/>
        <v>#N/A</v>
      </c>
    </row>
    <row r="143" spans="1:8" x14ac:dyDescent="0.2">
      <c r="A143" t="e">
        <f>IF(INDEX(Syafix!$D:$D, 143)="", NA(), "Syafix (Business Analyst)")</f>
        <v>#N/A</v>
      </c>
      <c r="B143" t="e">
        <f>IF(INDEX(Syafix!$D:$D, 143)="", NA(), INDEX(Syafix!$B:$B, 143))</f>
        <v>#N/A</v>
      </c>
      <c r="C143" t="e">
        <f>IF(INDEX(Syafix!$D:$D, 143)="", NA(), INDEX(Syafix!$D:$D, 143))</f>
        <v>#N/A</v>
      </c>
      <c r="D143" t="e">
        <f>IF(INDEX(Syafix!$D:$D, 143)="", NA(), INDEX(Syafix!$E:$E, 143))</f>
        <v>#N/A</v>
      </c>
      <c r="E143" s="13" t="e">
        <f>IF(INDEX(Syafix!$D:$D, 143)="", NA(), INDEX(Syafix!$K:$K, 143))</f>
        <v>#N/A</v>
      </c>
      <c r="F143" t="e">
        <f t="shared" si="4"/>
        <v>#N/A</v>
      </c>
      <c r="G143" s="13" t="e">
        <f>IF(INDEX(Syafix!$D:$D, 143)="", NA(), INDEX(Syafix!$L:$L, 143))</f>
        <v>#N/A</v>
      </c>
      <c r="H143" t="e">
        <f t="shared" si="5"/>
        <v>#N/A</v>
      </c>
    </row>
    <row r="144" spans="1:8" x14ac:dyDescent="0.2">
      <c r="A144" t="e">
        <f>IF(INDEX(Syafix!$D:$D, 144)="", NA(), "Syafix (Business Analyst)")</f>
        <v>#N/A</v>
      </c>
      <c r="B144" t="e">
        <f>IF(INDEX(Syafix!$D:$D, 144)="", NA(), INDEX(Syafix!$B:$B, 144))</f>
        <v>#N/A</v>
      </c>
      <c r="C144" t="e">
        <f>IF(INDEX(Syafix!$D:$D, 144)="", NA(), INDEX(Syafix!$D:$D, 144))</f>
        <v>#N/A</v>
      </c>
      <c r="D144" t="e">
        <f>IF(INDEX(Syafix!$D:$D, 144)="", NA(), INDEX(Syafix!$E:$E, 144))</f>
        <v>#N/A</v>
      </c>
      <c r="E144" s="13" t="e">
        <f>IF(INDEX(Syafix!$D:$D, 144)="", NA(), INDEX(Syafix!$K:$K, 144))</f>
        <v>#N/A</v>
      </c>
      <c r="F144" t="e">
        <f t="shared" si="4"/>
        <v>#N/A</v>
      </c>
      <c r="G144" s="13" t="e">
        <f>IF(INDEX(Syafix!$D:$D, 144)="", NA(), INDEX(Syafix!$L:$L, 144))</f>
        <v>#N/A</v>
      </c>
      <c r="H144" t="e">
        <f t="shared" si="5"/>
        <v>#N/A</v>
      </c>
    </row>
    <row r="145" spans="1:8" x14ac:dyDescent="0.2">
      <c r="A145" t="e">
        <f>IF(INDEX(Syafix!$D:$D, 145)="", NA(), "Syafix (Business Analyst)")</f>
        <v>#N/A</v>
      </c>
      <c r="B145" t="e">
        <f>IF(INDEX(Syafix!$D:$D, 145)="", NA(), INDEX(Syafix!$B:$B, 145))</f>
        <v>#N/A</v>
      </c>
      <c r="C145" t="e">
        <f>IF(INDEX(Syafix!$D:$D, 145)="", NA(), INDEX(Syafix!$D:$D, 145))</f>
        <v>#N/A</v>
      </c>
      <c r="D145" t="e">
        <f>IF(INDEX(Syafix!$D:$D, 145)="", NA(), INDEX(Syafix!$E:$E, 145))</f>
        <v>#N/A</v>
      </c>
      <c r="E145" s="13" t="e">
        <f>IF(INDEX(Syafix!$D:$D, 145)="", NA(), INDEX(Syafix!$K:$K, 145))</f>
        <v>#N/A</v>
      </c>
      <c r="F145" t="e">
        <f t="shared" si="4"/>
        <v>#N/A</v>
      </c>
      <c r="G145" s="13" t="e">
        <f>IF(INDEX(Syafix!$D:$D, 145)="", NA(), INDEX(Syafix!$L:$L, 145))</f>
        <v>#N/A</v>
      </c>
      <c r="H145" t="e">
        <f t="shared" si="5"/>
        <v>#N/A</v>
      </c>
    </row>
    <row r="146" spans="1:8" x14ac:dyDescent="0.2">
      <c r="A146" t="e">
        <f>IF(INDEX(Syafix!$D:$D, 146)="", NA(), "Syafix (Business Analyst)")</f>
        <v>#N/A</v>
      </c>
      <c r="B146" t="e">
        <f>IF(INDEX(Syafix!$D:$D, 146)="", NA(), INDEX(Syafix!$B:$B, 146))</f>
        <v>#N/A</v>
      </c>
      <c r="C146" t="e">
        <f>IF(INDEX(Syafix!$D:$D, 146)="", NA(), INDEX(Syafix!$D:$D, 146))</f>
        <v>#N/A</v>
      </c>
      <c r="D146" t="e">
        <f>IF(INDEX(Syafix!$D:$D, 146)="", NA(), INDEX(Syafix!$E:$E, 146))</f>
        <v>#N/A</v>
      </c>
      <c r="E146" s="13" t="e">
        <f>IF(INDEX(Syafix!$D:$D, 146)="", NA(), INDEX(Syafix!$K:$K, 146))</f>
        <v>#N/A</v>
      </c>
      <c r="F146" t="e">
        <f t="shared" si="4"/>
        <v>#N/A</v>
      </c>
      <c r="G146" s="13" t="e">
        <f>IF(INDEX(Syafix!$D:$D, 146)="", NA(), INDEX(Syafix!$L:$L, 146))</f>
        <v>#N/A</v>
      </c>
      <c r="H146" t="e">
        <f t="shared" si="5"/>
        <v>#N/A</v>
      </c>
    </row>
    <row r="147" spans="1:8" ht="87" customHeight="1" x14ac:dyDescent="0.2">
      <c r="A147" t="e">
        <f>IF(INDEX(Syafix!$D:$D, 147)="", NA(), "Syafix (Business Analyst)")</f>
        <v>#N/A</v>
      </c>
      <c r="B147" t="e">
        <f>IF(INDEX(Syafix!$D:$D, 147)="", NA(), INDEX(Syafix!$B:$B, 147))</f>
        <v>#N/A</v>
      </c>
      <c r="C147" t="e">
        <f>IF(INDEX(Syafix!$D:$D, 147)="", NA(), INDEX(Syafix!$D:$D, 147))</f>
        <v>#N/A</v>
      </c>
      <c r="D147" t="e">
        <f>IF(INDEX(Syafix!$D:$D, 147)="", NA(), INDEX(Syafix!$E:$E, 147))</f>
        <v>#N/A</v>
      </c>
      <c r="E147" s="13" t="e">
        <f>IF(INDEX(Syafix!$D:$D, 147)="", NA(), INDEX(Syafix!$K:$K, 147))</f>
        <v>#N/A</v>
      </c>
      <c r="F147" t="e">
        <f t="shared" si="4"/>
        <v>#N/A</v>
      </c>
      <c r="G147" s="13" t="e">
        <f>IF(INDEX(Syafix!$D:$D, 147)="", NA(), INDEX(Syafix!$L:$L, 147))</f>
        <v>#N/A</v>
      </c>
      <c r="H147" t="e">
        <f t="shared" si="5"/>
        <v>#N/A</v>
      </c>
    </row>
    <row r="148" spans="1:8" ht="58" customHeight="1" x14ac:dyDescent="0.2">
      <c r="A148" t="e">
        <f>IF(INDEX(Syafix!$D:$D, 148)="", NA(), "Syafix (Business Analyst)")</f>
        <v>#N/A</v>
      </c>
      <c r="B148" t="e">
        <f>IF(INDEX(Syafix!$D:$D, 148)="", NA(), INDEX(Syafix!$B:$B, 148))</f>
        <v>#N/A</v>
      </c>
      <c r="C148" t="e">
        <f>IF(INDEX(Syafix!$D:$D, 148)="", NA(), INDEX(Syafix!$D:$D, 148))</f>
        <v>#N/A</v>
      </c>
      <c r="D148" t="e">
        <f>IF(INDEX(Syafix!$D:$D, 148)="", NA(), INDEX(Syafix!$E:$E, 148))</f>
        <v>#N/A</v>
      </c>
      <c r="E148" s="13" t="e">
        <f>IF(INDEX(Syafix!$D:$D, 148)="", NA(), INDEX(Syafix!$K:$K, 148))</f>
        <v>#N/A</v>
      </c>
      <c r="F148" t="e">
        <f t="shared" si="4"/>
        <v>#N/A</v>
      </c>
      <c r="G148" s="13" t="e">
        <f>IF(INDEX(Syafix!$D:$D, 148)="", NA(), INDEX(Syafix!$L:$L, 148))</f>
        <v>#N/A</v>
      </c>
      <c r="H148" t="e">
        <f t="shared" si="5"/>
        <v>#N/A</v>
      </c>
    </row>
    <row r="149" spans="1:8" ht="87" customHeight="1" x14ac:dyDescent="0.2">
      <c r="A149" t="e">
        <f>IF(INDEX(Syafix!$D:$D, 149)="", NA(), "Syafix (Business Analyst)")</f>
        <v>#N/A</v>
      </c>
      <c r="B149" t="e">
        <f>IF(INDEX(Syafix!$D:$D, 149)="", NA(), INDEX(Syafix!$B:$B, 149))</f>
        <v>#N/A</v>
      </c>
      <c r="C149" t="e">
        <f>IF(INDEX(Syafix!$D:$D, 149)="", NA(), INDEX(Syafix!$D:$D, 149))</f>
        <v>#N/A</v>
      </c>
      <c r="D149" t="e">
        <f>IF(INDEX(Syafix!$D:$D, 149)="", NA(), INDEX(Syafix!$E:$E, 149))</f>
        <v>#N/A</v>
      </c>
      <c r="E149" s="13" t="e">
        <f>IF(INDEX(Syafix!$D:$D, 149)="", NA(), INDEX(Syafix!$K:$K, 149))</f>
        <v>#N/A</v>
      </c>
      <c r="F149" t="e">
        <f t="shared" si="4"/>
        <v>#N/A</v>
      </c>
      <c r="G149" s="13" t="e">
        <f>IF(INDEX(Syafix!$D:$D, 149)="", NA(), INDEX(Syafix!$L:$L, 149))</f>
        <v>#N/A</v>
      </c>
      <c r="H149" t="e">
        <f t="shared" si="5"/>
        <v>#N/A</v>
      </c>
    </row>
    <row r="150" spans="1:8" ht="58" customHeight="1" x14ac:dyDescent="0.2">
      <c r="A150" t="e">
        <f>IF(INDEX(Syafix!$D:$D, 150)="", NA(), "Syafix (Business Analyst)")</f>
        <v>#N/A</v>
      </c>
      <c r="B150" t="e">
        <f>IF(INDEX(Syafix!$D:$D, 150)="", NA(), INDEX(Syafix!$B:$B, 150))</f>
        <v>#N/A</v>
      </c>
      <c r="C150" t="e">
        <f>IF(INDEX(Syafix!$D:$D, 150)="", NA(), INDEX(Syafix!$D:$D, 150))</f>
        <v>#N/A</v>
      </c>
      <c r="D150" t="e">
        <f>IF(INDEX(Syafix!$D:$D, 150)="", NA(), INDEX(Syafix!$E:$E, 150))</f>
        <v>#N/A</v>
      </c>
      <c r="E150" s="13" t="e">
        <f>IF(INDEX(Syafix!$D:$D, 150)="", NA(), INDEX(Syafix!$K:$K, 150))</f>
        <v>#N/A</v>
      </c>
      <c r="F150" t="e">
        <f t="shared" si="4"/>
        <v>#N/A</v>
      </c>
      <c r="G150" s="13" t="e">
        <f>IF(INDEX(Syafix!$D:$D, 150)="", NA(), INDEX(Syafix!$L:$L, 150))</f>
        <v>#N/A</v>
      </c>
      <c r="H150" t="e">
        <f t="shared" si="5"/>
        <v>#N/A</v>
      </c>
    </row>
    <row r="151" spans="1:8" ht="72.5" customHeight="1" x14ac:dyDescent="0.2">
      <c r="A151" t="e">
        <f>IF(INDEX(Syafix!$D:$D, 151)="", NA(), "Syafix (Business Analyst)")</f>
        <v>#N/A</v>
      </c>
      <c r="B151" t="e">
        <f>IF(INDEX(Syafix!$D:$D, 151)="", NA(), INDEX(Syafix!$B:$B, 151))</f>
        <v>#N/A</v>
      </c>
      <c r="C151" t="e">
        <f>IF(INDEX(Syafix!$D:$D, 151)="", NA(), INDEX(Syafix!$D:$D, 151))</f>
        <v>#N/A</v>
      </c>
      <c r="D151" t="e">
        <f>IF(INDEX(Syafix!$D:$D, 151)="", NA(), INDEX(Syafix!$E:$E, 151))</f>
        <v>#N/A</v>
      </c>
      <c r="E151" s="13" t="e">
        <f>IF(INDEX(Syafix!$D:$D, 151)="", NA(), INDEX(Syafix!$K:$K, 151))</f>
        <v>#N/A</v>
      </c>
      <c r="F151" t="e">
        <f t="shared" si="4"/>
        <v>#N/A</v>
      </c>
      <c r="G151" s="13" t="e">
        <f>IF(INDEX(Syafix!$D:$D, 151)="", NA(), INDEX(Syafix!$L:$L, 151))</f>
        <v>#N/A</v>
      </c>
      <c r="H151" t="e">
        <f t="shared" si="5"/>
        <v>#N/A</v>
      </c>
    </row>
    <row r="152" spans="1:8" ht="58" customHeight="1" x14ac:dyDescent="0.2">
      <c r="A152" t="str">
        <f>IF(INDEX(Haviz!$D:$D, 2)="", NA(), "Haviz (Developer)")</f>
        <v>Haviz (Developer)</v>
      </c>
      <c r="B152" t="str">
        <f>IF(INDEX(Haviz!$D:$D, 2)="", NA(), INDEX(Haviz!$B:$B, 2))</f>
        <v>Integrasi TCES TICS</v>
      </c>
      <c r="C152" t="str">
        <f>IF(INDEX(Haviz!$D:$D, 2)="", NA(), INDEX(Haviz!$D:$D, 2))</f>
        <v>Pelajari enkripsi pertukaran data di TCES &amp; Transfer knowledge API Integration TICS</v>
      </c>
      <c r="D152" t="str">
        <f>IF(INDEX(Haviz!$D:$D, 2)="", NA(), INDEX(Haviz!$E:$E, 2))</f>
        <v>DONE</v>
      </c>
      <c r="E152" s="13">
        <f>IF(INDEX(Haviz!$D:$D, 2)="", NA(), INDEX(Haviz!$K:$K, 2))</f>
        <v>46239</v>
      </c>
      <c r="F152">
        <f t="shared" si="4"/>
        <v>1</v>
      </c>
      <c r="G152" s="13">
        <f>IF(INDEX(Haviz!$D:$D, 2)="", NA(), INDEX(Haviz!$L:$L, 2))</f>
        <v>46239</v>
      </c>
      <c r="H152" t="str">
        <f t="shared" si="5"/>
        <v>Haviz (Developer) - Integrasi TCES TICS - Pelajari enkripsi pertukaran data di TCES &amp; Transfer knowledge API Integration TICS</v>
      </c>
    </row>
    <row r="153" spans="1:8" ht="58" customHeight="1" x14ac:dyDescent="0.2">
      <c r="A153" t="str">
        <f>IF(INDEX(Haviz!$D:$D, 3)="", NA(), "Haviz (Developer)")</f>
        <v>Haviz (Developer)</v>
      </c>
      <c r="B153" t="str">
        <f>IF(INDEX(Haviz!$D:$D, 3)="", NA(), INDEX(Haviz!$B:$B, 3))</f>
        <v>Integrasi TCES TICS</v>
      </c>
      <c r="C153" t="str">
        <f>IF(INDEX(Haviz!$D:$D, 3)="", NA(), INDEX(Haviz!$D:$D, 3))</f>
        <v>Eksplorasi Codebase API TICS Integration</v>
      </c>
      <c r="D153" t="str">
        <f>IF(INDEX(Haviz!$D:$D, 3)="", NA(), INDEX(Haviz!$E:$E, 3))</f>
        <v>DONE</v>
      </c>
      <c r="E153" s="13">
        <f>IF(INDEX(Haviz!$D:$D, 3)="", NA(), INDEX(Haviz!$K:$K, 3))</f>
        <v>46240</v>
      </c>
      <c r="F153">
        <f t="shared" si="4"/>
        <v>1</v>
      </c>
      <c r="G153" s="13">
        <f>IF(INDEX(Haviz!$D:$D, 3)="", NA(), INDEX(Haviz!$L:$L, 3))</f>
        <v>46241</v>
      </c>
      <c r="H153" t="str">
        <f t="shared" si="5"/>
        <v>Haviz (Developer) - Integrasi TCES TICS - Eksplorasi Codebase API TICS Integration</v>
      </c>
    </row>
    <row r="154" spans="1:8" ht="72.5" customHeight="1" x14ac:dyDescent="0.2">
      <c r="A154" t="str">
        <f>IF(INDEX(Haviz!$D:$D, 4)="", NA(), "Haviz (Developer)")</f>
        <v>Haviz (Developer)</v>
      </c>
      <c r="B154" t="str">
        <f>IF(INDEX(Haviz!$D:$D, 4)="", NA(), INDEX(Haviz!$B:$B, 4))</f>
        <v>Integrasi TCES TICS</v>
      </c>
      <c r="C154" t="str">
        <f>IF(INDEX(Haviz!$D:$D, 4)="", NA(), INDEX(Haviz!$D:$D, 4))</f>
        <v>Meeting Mekanisme Enkripsi Terbaru TCES ke TICS dengan Tim Elistec</v>
      </c>
      <c r="D154" t="str">
        <f>IF(INDEX(Haviz!$D:$D, 4)="", NA(), INDEX(Haviz!$E:$E, 4))</f>
        <v>DONE</v>
      </c>
      <c r="E154" s="13">
        <f>IF(INDEX(Haviz!$D:$D, 4)="", NA(), INDEX(Haviz!$K:$K, 4))</f>
        <v>46244</v>
      </c>
      <c r="F154">
        <f t="shared" si="4"/>
        <v>1</v>
      </c>
      <c r="G154" s="13">
        <f>IF(INDEX(Haviz!$D:$D, 4)="", NA(), INDEX(Haviz!$L:$L, 4))</f>
        <v>46244</v>
      </c>
      <c r="H154" t="str">
        <f t="shared" si="5"/>
        <v>Haviz (Developer) - Integrasi TCES TICS - Meeting Mekanisme Enkripsi Terbaru TCES ke TICS dengan Tim Elistec</v>
      </c>
    </row>
    <row r="155" spans="1:8" ht="72.5" customHeight="1" x14ac:dyDescent="0.2">
      <c r="A155" t="str">
        <f>IF(INDEX(Haviz!$D:$D, 5)="", NA(), "Haviz (Developer)")</f>
        <v>Haviz (Developer)</v>
      </c>
      <c r="B155" t="str">
        <f>IF(INDEX(Haviz!$D:$D, 5)="", NA(), INDEX(Haviz!$B:$B, 5))</f>
        <v>Integrasi TCES TICS</v>
      </c>
      <c r="C155" t="str">
        <f>IF(INDEX(Haviz!$D:$D, 5)="", NA(), INDEX(Haviz!$D:$D, 5))</f>
        <v>Sharing Knowledge Penggunaan dan Alur Proses Aplikasi TCES - Pembelian Phase</v>
      </c>
      <c r="D155" t="str">
        <f>IF(INDEX(Haviz!$D:$D, 5)="", NA(), INDEX(Haviz!$E:$E, 5))</f>
        <v>DONE</v>
      </c>
      <c r="E155" s="13">
        <f>IF(INDEX(Haviz!$D:$D, 5)="", NA(), INDEX(Haviz!$K:$K, 5))</f>
        <v>46245</v>
      </c>
      <c r="F155">
        <f t="shared" si="4"/>
        <v>1</v>
      </c>
      <c r="G155" s="13">
        <f>IF(INDEX(Haviz!$D:$D, 5)="", NA(), INDEX(Haviz!$L:$L, 5))</f>
        <v>46245</v>
      </c>
      <c r="H155" t="str">
        <f t="shared" si="5"/>
        <v>Haviz (Developer) - Integrasi TCES TICS - Sharing Knowledge Penggunaan dan Alur Proses Aplikasi TCES - Pembelian Phase</v>
      </c>
    </row>
    <row r="156" spans="1:8" ht="116" customHeight="1" x14ac:dyDescent="0.2">
      <c r="A156" t="str">
        <f>IF(INDEX(Haviz!$D:$D, 6)="", NA(), "Haviz (Developer)")</f>
        <v>Haviz (Developer)</v>
      </c>
      <c r="B156" t="str">
        <f>IF(INDEX(Haviz!$D:$D, 6)="", NA(), INDEX(Haviz!$B:$B, 6))</f>
        <v>Integrasi TCES TICS</v>
      </c>
      <c r="C156" t="str">
        <f>IF(INDEX(Haviz!$D:$D, 6)="", NA(), INDEX(Haviz!$D:$D, 6))</f>
        <v>Pelajari Enkripsi Signature &amp; Payload terbaru (dari hasil meeting kemarin) + Sampling</v>
      </c>
      <c r="D156" t="str">
        <f>IF(INDEX(Haviz!$D:$D, 6)="", NA(), INDEX(Haviz!$E:$E, 6))</f>
        <v>DONE</v>
      </c>
      <c r="E156" s="13">
        <f>IF(INDEX(Haviz!$D:$D, 6)="", NA(), INDEX(Haviz!$K:$K, 6))</f>
        <v>46245</v>
      </c>
      <c r="F156">
        <f t="shared" si="4"/>
        <v>1</v>
      </c>
      <c r="G156" s="13">
        <f>IF(INDEX(Haviz!$D:$D, 6)="", NA(), INDEX(Haviz!$L:$L, 6))</f>
        <v>46246</v>
      </c>
      <c r="H156" t="str">
        <f t="shared" si="5"/>
        <v>Haviz (Developer) - Integrasi TCES TICS - Pelajari Enkripsi Signature &amp; Payload terbaru (dari hasil meeting kemarin) + Sampling</v>
      </c>
    </row>
    <row r="157" spans="1:8" ht="72.5" customHeight="1" x14ac:dyDescent="0.2">
      <c r="A157" t="str">
        <f>IF(INDEX(Haviz!$D:$D, 7)="", NA(), "Haviz (Developer)")</f>
        <v>Haviz (Developer)</v>
      </c>
      <c r="B157" t="str">
        <f>IF(INDEX(Haviz!$D:$D, 7)="", NA(), INDEX(Haviz!$B:$B, 7))</f>
        <v>Integrasi TCES TICS</v>
      </c>
      <c r="C157" t="str">
        <f>IF(INDEX(Haviz!$D:$D, 7)="", NA(), INDEX(Haviz!$D:$D, 7))</f>
        <v xml:space="preserve"> Implementasi Enkripsi API TCES to TICS - Membuat endpoint baru /api/v2/tics/transaction/store untuk pertukaran data tces ke tics</v>
      </c>
      <c r="D157" t="str">
        <f>IF(INDEX(Haviz!$D:$D, 7)="", NA(), INDEX(Haviz!$E:$E, 7))</f>
        <v>DONE</v>
      </c>
      <c r="E157" s="13">
        <f>IF(INDEX(Haviz!$D:$D, 7)="", NA(), INDEX(Haviz!$K:$K, 7))</f>
        <v>46247</v>
      </c>
      <c r="F157">
        <f t="shared" si="4"/>
        <v>1</v>
      </c>
      <c r="G157" s="13">
        <f>IF(INDEX(Haviz!$D:$D, 7)="", NA(), INDEX(Haviz!$L:$L, 7))</f>
        <v>46247</v>
      </c>
      <c r="H157" t="str">
        <f t="shared" si="5"/>
        <v>Haviz (Developer) - Integrasi TCES TICS -  Implementasi Enkripsi API TCES to TICS - Membuat endpoint baru /api/v2/tics/transaction/store untuk pertukaran data tces ke tics</v>
      </c>
    </row>
    <row r="158" spans="1:8" ht="87" customHeight="1" x14ac:dyDescent="0.2">
      <c r="A158" t="str">
        <f>IF(INDEX(Haviz!$D:$D, 8)="", NA(), "Haviz (Developer)")</f>
        <v>Haviz (Developer)</v>
      </c>
      <c r="B158" t="str">
        <f>IF(INDEX(Haviz!$D:$D, 8)="", NA(), INDEX(Haviz!$B:$B, 8))</f>
        <v>Integrasi TCES TICS</v>
      </c>
      <c r="C158" t="str">
        <f>IF(INDEX(Haviz!$D:$D, 8)="", NA(), INDEX(Haviz!$D:$D, 8))</f>
        <v>Implementasi Enkripsi API TCES to TICS - Menerapkan otentikasi baru dengan menggunakan Digital Signature pada endpoint</v>
      </c>
      <c r="D158" t="str">
        <f>IF(INDEX(Haviz!$D:$D, 8)="", NA(), INDEX(Haviz!$E:$E, 8))</f>
        <v>DONE</v>
      </c>
      <c r="E158" s="13">
        <f>IF(INDEX(Haviz!$D:$D, 8)="", NA(), INDEX(Haviz!$K:$K, 8))</f>
        <v>46247</v>
      </c>
      <c r="F158">
        <f t="shared" si="4"/>
        <v>1</v>
      </c>
      <c r="G158" s="13">
        <f>IF(INDEX(Haviz!$D:$D, 8)="", NA(), INDEX(Haviz!$L:$L, 8))</f>
        <v>46247</v>
      </c>
      <c r="H158" t="str">
        <f t="shared" si="5"/>
        <v>Haviz (Developer) - Integrasi TCES TICS - Implementasi Enkripsi API TCES to TICS - Menerapkan otentikasi baru dengan menggunakan Digital Signature pada endpoint</v>
      </c>
    </row>
    <row r="159" spans="1:8" ht="101.5" customHeight="1" x14ac:dyDescent="0.2">
      <c r="A159" t="str">
        <f>IF(INDEX(Haviz!$D:$D, 9)="", NA(), "Haviz (Developer)")</f>
        <v>Haviz (Developer)</v>
      </c>
      <c r="B159" t="str">
        <f>IF(INDEX(Haviz!$D:$D, 9)="", NA(), INDEX(Haviz!$B:$B, 9))</f>
        <v>Integrasi TCES TICS</v>
      </c>
      <c r="C159" t="str">
        <f>IF(INDEX(Haviz!$D:$D, 9)="", NA(), INDEX(Haviz!$D:$D, 9))</f>
        <v>Implementasi Enkripsi API TCES to TICS - Menerapkan fungsi decript pada data insured yang dikirim tces</v>
      </c>
      <c r="D159" t="str">
        <f>IF(INDEX(Haviz!$D:$D, 9)="", NA(), INDEX(Haviz!$E:$E, 9))</f>
        <v>DONE</v>
      </c>
      <c r="E159" s="13">
        <f>IF(INDEX(Haviz!$D:$D, 9)="", NA(), INDEX(Haviz!$K:$K, 9))</f>
        <v>46248</v>
      </c>
      <c r="F159">
        <f t="shared" si="4"/>
        <v>1</v>
      </c>
      <c r="G159" s="13">
        <f>IF(INDEX(Haviz!$D:$D, 9)="", NA(), INDEX(Haviz!$L:$L, 9))</f>
        <v>46248</v>
      </c>
      <c r="H159" t="str">
        <f t="shared" si="5"/>
        <v>Haviz (Developer) - Integrasi TCES TICS - Implementasi Enkripsi API TCES to TICS - Menerapkan fungsi decript pada data insured yang dikirim tces</v>
      </c>
    </row>
    <row r="160" spans="1:8" ht="72.5" customHeight="1" x14ac:dyDescent="0.2">
      <c r="A160" t="str">
        <f>IF(INDEX(Haviz!$D:$D, 10)="", NA(), "Haviz (Developer)")</f>
        <v>Haviz (Developer)</v>
      </c>
      <c r="B160" t="str">
        <f>IF(INDEX(Haviz!$D:$D, 10)="", NA(), INDEX(Haviz!$B:$B, 10))</f>
        <v>Integrasi TCES TICS</v>
      </c>
      <c r="C160" t="str">
        <f>IF(INDEX(Haviz!$D:$D, 10)="", NA(), INDEX(Haviz!$D:$D, 10))</f>
        <v xml:space="preserve">Implementasi Enkripsi API TCES to TICS - Testing Penerapan Signature dan Enkripsinya by Postman </v>
      </c>
      <c r="D160" t="str">
        <f>IF(INDEX(Haviz!$D:$D, 10)="", NA(), INDEX(Haviz!$E:$E, 10))</f>
        <v>DONE</v>
      </c>
      <c r="E160" s="13">
        <f>IF(INDEX(Haviz!$D:$D, 10)="", NA(), INDEX(Haviz!$K:$K, 10))</f>
        <v>46248</v>
      </c>
      <c r="F160">
        <f t="shared" si="4"/>
        <v>1</v>
      </c>
      <c r="G160" s="13">
        <f>IF(INDEX(Haviz!$D:$D, 10)="", NA(), INDEX(Haviz!$L:$L, 10))</f>
        <v>46248</v>
      </c>
      <c r="H160" t="str">
        <f t="shared" si="5"/>
        <v xml:space="preserve">Haviz (Developer) - Integrasi TCES TICS - Implementasi Enkripsi API TCES to TICS - Testing Penerapan Signature dan Enkripsinya by Postman </v>
      </c>
    </row>
    <row r="161" spans="1:8" ht="87" customHeight="1" x14ac:dyDescent="0.2">
      <c r="A161" t="str">
        <f>IF(INDEX(Haviz!$D:$D, 11)="", NA(), "Haviz (Developer)")</f>
        <v>Haviz (Developer)</v>
      </c>
      <c r="B161" t="str">
        <f>IF(INDEX(Haviz!$D:$D, 11)="", NA(), INDEX(Haviz!$B:$B, 11))</f>
        <v>Integrasi TCES TICS</v>
      </c>
      <c r="C161" t="str">
        <f>IF(INDEX(Haviz!$D:$D, 11)="", NA(), INDEX(Haviz!$D:$D, 11))</f>
        <v>Penyesuaian mapping data pada integrasi TCES ke TICS - Penambahan fungsi untuk insert data ke tabel tces_acceptance_object_detail</v>
      </c>
      <c r="D161" t="str">
        <f>IF(INDEX(Haviz!$D:$D, 11)="", NA(), INDEX(Haviz!$E:$E, 11))</f>
        <v>DONE</v>
      </c>
      <c r="E161" s="13">
        <f>IF(INDEX(Haviz!$D:$D, 11)="", NA(), INDEX(Haviz!$K:$K, 11))</f>
        <v>46252</v>
      </c>
      <c r="F161">
        <f t="shared" si="4"/>
        <v>1</v>
      </c>
      <c r="G161" s="13">
        <f>IF(INDEX(Haviz!$D:$D, 11)="", NA(), INDEX(Haviz!$L:$L, 11))</f>
        <v>46252</v>
      </c>
      <c r="H161" t="str">
        <f t="shared" si="5"/>
        <v>Haviz (Developer) - Integrasi TCES TICS - Penyesuaian mapping data pada integrasi TCES ke TICS - Penambahan fungsi untuk insert data ke tabel tces_acceptance_object_detail</v>
      </c>
    </row>
    <row r="162" spans="1:8" ht="58" customHeight="1" x14ac:dyDescent="0.2">
      <c r="A162" t="str">
        <f>IF(INDEX(Haviz!$D:$D, 12)="", NA(), "Haviz (Developer)")</f>
        <v>Haviz (Developer)</v>
      </c>
      <c r="B162" t="str">
        <f>IF(INDEX(Haviz!$D:$D, 12)="", NA(), INDEX(Haviz!$B:$B, 12))</f>
        <v>Integrasi TCES TICS</v>
      </c>
      <c r="C162" t="str">
        <f>IF(INDEX(Haviz!$D:$D, 12)="", NA(), INDEX(Haviz!$D:$D, 12))</f>
        <v>Penyesuaian mapping data pada integrasi TCES ke TICS  - Testing dan memastikan proses otentikasi signature, decrypt insured dan insert data ke database sudah berjalan.</v>
      </c>
      <c r="D162" t="str">
        <f>IF(INDEX(Haviz!$D:$D, 12)="", NA(), INDEX(Haviz!$E:$E, 12))</f>
        <v>DONE</v>
      </c>
      <c r="E162" s="13">
        <f>IF(INDEX(Haviz!$D:$D, 12)="", NA(), INDEX(Haviz!$K:$K, 12))</f>
        <v>46252</v>
      </c>
      <c r="F162">
        <f t="shared" si="4"/>
        <v>1</v>
      </c>
      <c r="G162" s="13">
        <f>IF(INDEX(Haviz!$D:$D, 12)="", NA(), INDEX(Haviz!$L:$L, 12))</f>
        <v>46252</v>
      </c>
      <c r="H162" t="str">
        <f t="shared" si="5"/>
        <v>Haviz (Developer) - Integrasi TCES TICS - Penyesuaian mapping data pada integrasi TCES ke TICS  - Testing dan memastikan proses otentikasi signature, decrypt insured dan insert data ke database sudah berjalan.</v>
      </c>
    </row>
    <row r="163" spans="1:8" ht="72.5" customHeight="1" x14ac:dyDescent="0.2">
      <c r="A163" t="str">
        <f>IF(INDEX(Haviz!$D:$D, 13)="", NA(), "Haviz (Developer)")</f>
        <v>Haviz (Developer)</v>
      </c>
      <c r="B163" t="str">
        <f>IF(INDEX(Haviz!$D:$D, 13)="", NA(), INDEX(Haviz!$B:$B, 13))</f>
        <v>Integrasi TCES TICS</v>
      </c>
      <c r="C163" t="str">
        <f>IF(INDEX(Haviz!$D:$D, 13)="", NA(), INDEX(Haviz!$D:$D, 13))</f>
        <v>Proses penambahan variable baru untuk keperluan verify signature &amp; decrypt data pada file .env yang ada di server dev.
variable yang di tambahkan : INTEGRATION_PUBLIC_KEY &amp; TICS_PARTNER_PRIVATE_KEY</v>
      </c>
      <c r="D163" t="str">
        <f>IF(INDEX(Haviz!$D:$D, 13)="", NA(), INDEX(Haviz!$E:$E, 13))</f>
        <v>DONE</v>
      </c>
      <c r="E163" s="13">
        <f>IF(INDEX(Haviz!$D:$D, 13)="", NA(), INDEX(Haviz!$K:$K, 13))</f>
        <v>46253</v>
      </c>
      <c r="F163">
        <f t="shared" si="4"/>
        <v>1</v>
      </c>
      <c r="G163" s="13">
        <f>IF(INDEX(Haviz!$D:$D, 13)="", NA(), INDEX(Haviz!$L:$L, 13))</f>
        <v>46253</v>
      </c>
      <c r="H163" t="str">
        <f t="shared" si="5"/>
        <v>Haviz (Developer) - Integrasi TCES TICS - Proses penambahan variable baru untuk keperluan verify signature &amp; decrypt data pada file .env yang ada di server dev.
variable yang di tambahkan : INTEGRATION_PUBLIC_KEY &amp; TICS_PARTNER_PRIVATE_KEY</v>
      </c>
    </row>
    <row r="164" spans="1:8" ht="116" customHeight="1" x14ac:dyDescent="0.2">
      <c r="A164" t="str">
        <f>IF(INDEX(Haviz!$D:$D, 14)="", NA(), "Haviz (Developer)")</f>
        <v>Haviz (Developer)</v>
      </c>
      <c r="B164" t="str">
        <f>IF(INDEX(Haviz!$D:$D, 14)="", NA(), INDEX(Haviz!$B:$B, 14))</f>
        <v>Integrasi TCES TICS</v>
      </c>
      <c r="C164" t="str">
        <f>IF(INDEX(Haviz!$D:$D, 14)="", NA(), INDEX(Haviz!$D:$D, 14))</f>
        <v>Pembuatan API Docs pada Swagger : membuat sample request body, request header dan sample response untuk API v2</v>
      </c>
      <c r="D164" t="str">
        <f>IF(INDEX(Haviz!$D:$D, 14)="", NA(), INDEX(Haviz!$E:$E, 14))</f>
        <v>DONE</v>
      </c>
      <c r="E164" s="13">
        <f>IF(INDEX(Haviz!$D:$D, 14)="", NA(), INDEX(Haviz!$K:$K, 14))</f>
        <v>46253</v>
      </c>
      <c r="F164">
        <f t="shared" si="4"/>
        <v>1</v>
      </c>
      <c r="G164" s="13">
        <f>IF(INDEX(Haviz!$D:$D, 14)="", NA(), INDEX(Haviz!$L:$L, 14))</f>
        <v>46253</v>
      </c>
      <c r="H164" t="str">
        <f t="shared" si="5"/>
        <v>Haviz (Developer) - Integrasi TCES TICS - Pembuatan API Docs pada Swagger : membuat sample request body, request header dan sample response untuk API v2</v>
      </c>
    </row>
    <row r="165" spans="1:8" ht="87" customHeight="1" x14ac:dyDescent="0.2">
      <c r="A165" t="str">
        <f>IF(INDEX(Haviz!$D:$D, 15)="", NA(), "Haviz (Developer)")</f>
        <v>Haviz (Developer)</v>
      </c>
      <c r="B165" t="str">
        <f>IF(INDEX(Haviz!$D:$D, 15)="", NA(), INDEX(Haviz!$B:$B, 15))</f>
        <v>Integrasi TCES TICS</v>
      </c>
      <c r="C165" t="str">
        <f>IF(INDEX(Haviz!$D:$D, 15)="", NA(), INDEX(Haviz!$D:$D, 15))</f>
        <v>Koordinasi dengan team TCES (mas Rifqi) untuk menyamakan private key dan public key yang akan digunakan untuk integrasi TCES to TICS.</v>
      </c>
      <c r="D165" t="str">
        <f>IF(INDEX(Haviz!$D:$D, 15)="", NA(), INDEX(Haviz!$E:$E, 15))</f>
        <v>DONE</v>
      </c>
      <c r="E165" s="13">
        <f>IF(INDEX(Haviz!$D:$D, 15)="", NA(), INDEX(Haviz!$K:$K, 15))</f>
        <v>46253</v>
      </c>
      <c r="F165">
        <f t="shared" si="4"/>
        <v>1</v>
      </c>
      <c r="G165" s="13">
        <f>IF(INDEX(Haviz!$D:$D, 15)="", NA(), INDEX(Haviz!$L:$L, 15))</f>
        <v>46254</v>
      </c>
      <c r="H165" t="str">
        <f t="shared" si="5"/>
        <v>Haviz (Developer) - Integrasi TCES TICS - Koordinasi dengan team TCES (mas Rifqi) untuk menyamakan private key dan public key yang akan digunakan untuk integrasi TCES to TICS.</v>
      </c>
    </row>
    <row r="166" spans="1:8" ht="72.5" customHeight="1" x14ac:dyDescent="0.2">
      <c r="A166" t="str">
        <f>IF(INDEX(Haviz!$D:$D, 16)="", NA(), "Haviz (Developer)")</f>
        <v>Haviz (Developer)</v>
      </c>
      <c r="B166" t="str">
        <f>IF(INDEX(Haviz!$D:$D, 16)="", NA(), INDEX(Haviz!$B:$B, 16))</f>
        <v>Integrasi TCES TICS</v>
      </c>
      <c r="C166" t="str">
        <f>IF(INDEX(Haviz!$D:$D, 16)="", NA(), INDEX(Haviz!$D:$D, 16))</f>
        <v>Melakukan penyesuaian ekstraksi raw HTTP Request content (json_decode($request-&gt;getContent(), true)) pada middleware verifikasi enkripsi &amp; digital signature sebelum dilakukan verifikasi payload.</v>
      </c>
      <c r="D166" t="str">
        <f>IF(INDEX(Haviz!$D:$D, 16)="", NA(), INDEX(Haviz!$E:$E, 16))</f>
        <v>DONE</v>
      </c>
      <c r="E166" s="13">
        <f>IF(INDEX(Haviz!$D:$D, 16)="", NA(), INDEX(Haviz!$K:$K, 16))</f>
        <v>46254</v>
      </c>
      <c r="F166">
        <f t="shared" si="4"/>
        <v>1</v>
      </c>
      <c r="G166" s="13">
        <f>IF(INDEX(Haviz!$D:$D, 16)="", NA(), INDEX(Haviz!$L:$L, 16))</f>
        <v>46254</v>
      </c>
      <c r="H166" t="str">
        <f t="shared" si="5"/>
        <v>Haviz (Developer) - Integrasi TCES TICS - Melakukan penyesuaian ekstraksi raw HTTP Request content (json_decode($request-&gt;getContent(), true)) pada middleware verifikasi enkripsi &amp; digital signature sebelum dilakukan verifikasi payload.</v>
      </c>
    </row>
    <row r="167" spans="1:8" ht="72.5" customHeight="1" x14ac:dyDescent="0.2">
      <c r="A167" t="str">
        <f>IF(INDEX(Haviz!$D:$D, 17)="", NA(), "Haviz (Developer)")</f>
        <v>Haviz (Developer)</v>
      </c>
      <c r="B167" t="str">
        <f>IF(INDEX(Haviz!$D:$D, 17)="", NA(), INDEX(Haviz!$B:$B, 17))</f>
        <v>Integrasi TCES TICS</v>
      </c>
      <c r="C167" t="str">
        <f>IF(INDEX(Haviz!$D:$D, 17)="", NA(), INDEX(Haviz!$D:$D, 17))</f>
        <v>Membantu dan mendampingi tim QA dalam pengujian integrasi API TICS. Memastikan seluruh alur enkripsi, validasi signature, dan dekripsi payload pada middleware berjalan sesuai ekspektasi</v>
      </c>
      <c r="D167" t="str">
        <f>IF(INDEX(Haviz!$D:$D, 17)="", NA(), INDEX(Haviz!$E:$E, 17))</f>
        <v>DONE</v>
      </c>
      <c r="E167" s="13">
        <f>IF(INDEX(Haviz!$D:$D, 17)="", NA(), INDEX(Haviz!$K:$K, 17))</f>
        <v>46254</v>
      </c>
      <c r="F167">
        <f t="shared" si="4"/>
        <v>1</v>
      </c>
      <c r="G167" s="13">
        <f>IF(INDEX(Haviz!$D:$D, 17)="", NA(), INDEX(Haviz!$L:$L, 17))</f>
        <v>46254</v>
      </c>
      <c r="H167" t="str">
        <f t="shared" si="5"/>
        <v>Haviz (Developer) - Integrasi TCES TICS - Membantu dan mendampingi tim QA dalam pengujian integrasi API TICS. Memastikan seluruh alur enkripsi, validasi signature, dan dekripsi payload pada middleware berjalan sesuai ekspektasi</v>
      </c>
    </row>
    <row r="168" spans="1:8" ht="58" customHeight="1" x14ac:dyDescent="0.2">
      <c r="A168" t="str">
        <f>IF(INDEX(Haviz!$D:$D, 18)="", NA(), "Haviz (Developer)")</f>
        <v>Haviz (Developer)</v>
      </c>
      <c r="B168" t="str">
        <f>IF(INDEX(Haviz!$D:$D, 18)="", NA(), INDEX(Haviz!$B:$B, 18))</f>
        <v>Integrasi TCES TICS</v>
      </c>
      <c r="C168" t="str">
        <f>IF(INDEX(Haviz!$D:$D, 18)="", NA(), INDEX(Haviz!$D:$D, 18))</f>
        <v>Melakukan eksplorasi terhadap Stored Procedure yang berjalan pada database tics, mencakup penelusuran logic di dalam Stored Procedure, parameter, tabel, relasi, serta Stored Procedure tersebut dipanggil dan digunakan oleh aplikasi.</v>
      </c>
      <c r="D168" t="str">
        <f>IF(INDEX(Haviz!$D:$D, 18)="", NA(), INDEX(Haviz!$E:$E, 18))</f>
        <v>DONE</v>
      </c>
      <c r="E168" s="13">
        <f>IF(INDEX(Haviz!$D:$D, 18)="", NA(), INDEX(Haviz!$K:$K, 18))</f>
        <v>46255</v>
      </c>
      <c r="F168">
        <f t="shared" si="4"/>
        <v>5</v>
      </c>
      <c r="G168" s="13">
        <f>IF(INDEX(Haviz!$D:$D, 18)="", NA(), INDEX(Haviz!$L:$L, 18))</f>
        <v>46260</v>
      </c>
      <c r="H168" t="str">
        <f t="shared" si="5"/>
        <v>Haviz (Developer) - Integrasi TCES TICS - Melakukan eksplorasi terhadap Stored Procedure yang berjalan pada database tics, mencakup penelusuran logic di dalam Stored Procedure, parameter, tabel, relasi, serta Stored Procedure tersebut dipanggil dan digunakan oleh aplikasi.</v>
      </c>
    </row>
    <row r="169" spans="1:8" ht="87" customHeight="1" x14ac:dyDescent="0.2">
      <c r="A169" t="str">
        <f>IF(INDEX(Haviz!$D:$D, 19)="", NA(), "Haviz (Developer)")</f>
        <v>Haviz (Developer)</v>
      </c>
      <c r="B169" t="str">
        <f>IF(INDEX(Haviz!$D:$D, 19)="", NA(), INDEX(Haviz!$B:$B, 19))</f>
        <v>Integrasi TCES TICS</v>
      </c>
      <c r="C169" t="str">
        <f>IF(INDEX(Haviz!$D:$D, 19)="", NA(), INDEX(Haviz!$D:$D, 19))</f>
        <v>Menambahkan logging terstruktur (error &amp; warning) dengan menyertakan context nomor polis (pol_nbr) dan kuotasi (quo_nbr) pada middleware keamanan dan service verifikasi kriptografi saat terjadi kegagalan request.</v>
      </c>
      <c r="D169" t="str">
        <f>IF(INDEX(Haviz!$D:$D, 19)="", NA(), INDEX(Haviz!$E:$E, 19))</f>
        <v>DONE</v>
      </c>
      <c r="E169" s="13">
        <f>IF(INDEX(Haviz!$D:$D, 19)="", NA(), INDEX(Haviz!$K:$K, 19))</f>
        <v>46258</v>
      </c>
      <c r="F169">
        <f t="shared" si="4"/>
        <v>1</v>
      </c>
      <c r="G169" s="13">
        <f>IF(INDEX(Haviz!$D:$D, 19)="", NA(), INDEX(Haviz!$L:$L, 19))</f>
        <v>46258</v>
      </c>
      <c r="H169" t="str">
        <f t="shared" si="5"/>
        <v>Haviz (Developer) - Integrasi TCES TICS - Menambahkan logging terstruktur (error &amp; warning) dengan menyertakan context nomor polis (pol_nbr) dan kuotasi (quo_nbr) pada middleware keamanan dan service verifikasi kriptografi saat terjadi kegagalan request.</v>
      </c>
    </row>
    <row r="170" spans="1:8" ht="72.5" customHeight="1" x14ac:dyDescent="0.2">
      <c r="A170" t="str">
        <f>IF(INDEX(Haviz!$D:$D, 20)="", NA(), "Haviz (Developer)")</f>
        <v>Haviz (Developer)</v>
      </c>
      <c r="B170" t="str">
        <f>IF(INDEX(Haviz!$D:$D, 20)="", NA(), INDEX(Haviz!$B:$B, 20))</f>
        <v>Integrasi TCES TICS</v>
      </c>
      <c r="C170" t="str">
        <f>IF(INDEX(Haviz!$D:$D, 20)="", NA(), INDEX(Haviz!$D:$D, 20))</f>
        <v>Melakukan meeting terkait progress review task yang sudah dikerjakan bersama tim dan stakeholder</v>
      </c>
      <c r="D170" t="str">
        <f>IF(INDEX(Haviz!$D:$D, 20)="", NA(), INDEX(Haviz!$E:$E, 20))</f>
        <v>DONE</v>
      </c>
      <c r="E170" s="13">
        <f>IF(INDEX(Haviz!$D:$D, 20)="", NA(), INDEX(Haviz!$K:$K, 20))</f>
        <v>46258</v>
      </c>
      <c r="F170">
        <f t="shared" si="4"/>
        <v>1</v>
      </c>
      <c r="G170" s="13">
        <f>IF(INDEX(Haviz!$D:$D, 20)="", NA(), INDEX(Haviz!$L:$L, 20))</f>
        <v>46258</v>
      </c>
      <c r="H170" t="str">
        <f t="shared" si="5"/>
        <v>Haviz (Developer) - Integrasi TCES TICS - Melakukan meeting terkait progress review task yang sudah dikerjakan bersama tim dan stakeholder</v>
      </c>
    </row>
    <row r="171" spans="1:8" x14ac:dyDescent="0.2">
      <c r="A171" t="str">
        <f>IF(INDEX(Haviz!$D:$D, 21)="", NA(), "Haviz (Developer)")</f>
        <v>Haviz (Developer)</v>
      </c>
      <c r="B171" t="str">
        <f>IF(INDEX(Haviz!$D:$D, 21)="", NA(), INDEX(Haviz!$B:$B, 21))</f>
        <v>Integrasi TCES TICS</v>
      </c>
      <c r="C171" t="str">
        <f>IF(INDEX(Haviz!$D:$D, 21)="", NA(), INDEX(Haviz!$D:$D, 21))</f>
        <v>Melakukan pendampingan kepada tim QA dalam pelaksanaan End-to-End (E2E) Testing. Pengujian mencakup alur input data pada aplikasi TCES hingga memverifikasi bahwa data telah terintegrasi dan tersinkronisasi di aplikasi TICS.</v>
      </c>
      <c r="D171" t="str">
        <f>IF(INDEX(Haviz!$D:$D, 21)="", NA(), INDEX(Haviz!$E:$E, 21))</f>
        <v>DONE</v>
      </c>
      <c r="E171" s="13">
        <f>IF(INDEX(Haviz!$D:$D, 21)="", NA(), INDEX(Haviz!$K:$K, 21))</f>
        <v>46260</v>
      </c>
      <c r="F171">
        <f t="shared" si="4"/>
        <v>1</v>
      </c>
      <c r="G171" s="13">
        <f>IF(INDEX(Haviz!$D:$D, 21)="", NA(), INDEX(Haviz!$L:$L, 21))</f>
        <v>46260</v>
      </c>
      <c r="H171" t="str">
        <f t="shared" si="5"/>
        <v>Haviz (Developer) - Integrasi TCES TICS - Melakukan pendampingan kepada tim QA dalam pelaksanaan End-to-End (E2E) Testing. Pengujian mencakup alur input data pada aplikasi TCES hingga memverifikasi bahwa data telah terintegrasi dan tersinkronisasi di aplikasi TICS.</v>
      </c>
    </row>
    <row r="172" spans="1:8" x14ac:dyDescent="0.2">
      <c r="A172" t="str">
        <f>IF(INDEX(Haviz!$D:$D, 22)="", NA(), "Haviz (Developer)")</f>
        <v>Haviz (Developer)</v>
      </c>
      <c r="B172" t="str">
        <f>IF(INDEX(Haviz!$D:$D, 22)="", NA(), INDEX(Haviz!$B:$B, 22))</f>
        <v>Integrasi TCES TICS</v>
      </c>
      <c r="C172" t="str">
        <f>IF(INDEX(Haviz!$D:$D, 22)="", NA(), INDEX(Haviz!$D:$D, 22))</f>
        <v>Koordinasi lanjutan dengan team TCES (Mas Rifqi) untuk dalam melakukan fixing pada jenis produk Travella yang belum bisa terintegrasi dengan TICS</v>
      </c>
      <c r="D172" t="str">
        <f>IF(INDEX(Haviz!$D:$D, 22)="", NA(), INDEX(Haviz!$E:$E, 22))</f>
        <v>DONE</v>
      </c>
      <c r="E172" s="13">
        <f>IF(INDEX(Haviz!$D:$D, 22)="", NA(), INDEX(Haviz!$K:$K, 22))</f>
        <v>46261</v>
      </c>
      <c r="F172">
        <f t="shared" si="4"/>
        <v>1</v>
      </c>
      <c r="G172" s="13">
        <f>IF(INDEX(Haviz!$D:$D, 22)="", NA(), INDEX(Haviz!$L:$L, 22))</f>
        <v>46261</v>
      </c>
      <c r="H172" t="str">
        <f t="shared" si="5"/>
        <v>Haviz (Developer) - Integrasi TCES TICS - Koordinasi lanjutan dengan team TCES (Mas Rifqi) untuk dalam melakukan fixing pada jenis produk Travella yang belum bisa terintegrasi dengan TICS</v>
      </c>
    </row>
    <row r="173" spans="1:8" x14ac:dyDescent="0.2">
      <c r="A173" t="str">
        <f>IF(INDEX(Haviz!$D:$D, 23)="", NA(), "Haviz (Developer)")</f>
        <v>Haviz (Developer)</v>
      </c>
      <c r="B173" t="str">
        <f>IF(INDEX(Haviz!$D:$D, 23)="", NA(), INDEX(Haviz!$B:$B, 23))</f>
        <v>Integrasi TCES TICS</v>
      </c>
      <c r="C173" t="str">
        <f>IF(INDEX(Haviz!$D:$D, 23)="", NA(), INDEX(Haviz!$D:$D, 23))</f>
        <v>Melakukan pendampingan kepada tim QA dalam pelaksanaan End-to-End (E2E) Testing. Pengujian mencakup alur input data pada aplikasi TCES hingga memverifikasi bahwa data telah terintegrasi dan tersinkronisasi di aplikasi TICS.</v>
      </c>
      <c r="D173" t="str">
        <f>IF(INDEX(Haviz!$D:$D, 23)="", NA(), INDEX(Haviz!$E:$E, 23))</f>
        <v>DONE</v>
      </c>
      <c r="E173" s="13">
        <f>IF(INDEX(Haviz!$D:$D, 23)="", NA(), INDEX(Haviz!$K:$K, 23))</f>
        <v>46261</v>
      </c>
      <c r="F173">
        <f t="shared" si="4"/>
        <v>1</v>
      </c>
      <c r="G173" s="13">
        <f>IF(INDEX(Haviz!$D:$D, 23)="", NA(), INDEX(Haviz!$L:$L, 23))</f>
        <v>46261</v>
      </c>
      <c r="H173" t="str">
        <f t="shared" si="5"/>
        <v>Haviz (Developer) - Integrasi TCES TICS - Melakukan pendampingan kepada tim QA dalam pelaksanaan End-to-End (E2E) Testing. Pengujian mencakup alur input data pada aplikasi TCES hingga memverifikasi bahwa data telah terintegrasi dan tersinkronisasi di aplikasi TICS.</v>
      </c>
    </row>
    <row r="174" spans="1:8" x14ac:dyDescent="0.2">
      <c r="A174" t="str">
        <f>IF(INDEX(Haviz!$D:$D, 24)="", NA(), "Haviz (Developer)")</f>
        <v>Haviz (Developer)</v>
      </c>
      <c r="B174" t="str">
        <f>IF(INDEX(Haviz!$D:$D, 24)="", NA(), INDEX(Haviz!$B:$B, 24))</f>
        <v>Integrasi TCES TICS</v>
      </c>
      <c r="C174" t="str">
        <f>IF(INDEX(Haviz!$D:$D, 24)="", NA(), INDEX(Haviz!$D:$D, 24))</f>
        <v>Eksplorasi Scheduler dan Store Procedur untuk Ektraksi Polis untuk produk Misceleanious dan Fire</v>
      </c>
      <c r="D174" t="str">
        <f>IF(INDEX(Haviz!$D:$D, 24)="", NA(), INDEX(Haviz!$E:$E, 24))</f>
        <v>DONE</v>
      </c>
      <c r="E174" s="13">
        <f>IF(INDEX(Haviz!$D:$D, 24)="", NA(), INDEX(Haviz!$K:$K, 24))</f>
        <v>46262</v>
      </c>
      <c r="F174">
        <f t="shared" si="4"/>
        <v>1</v>
      </c>
      <c r="G174" s="13">
        <f>IF(INDEX(Haviz!$D:$D, 24)="", NA(), INDEX(Haviz!$L:$L, 24))</f>
        <v>46262</v>
      </c>
      <c r="H174" t="str">
        <f t="shared" si="5"/>
        <v>Haviz (Developer) - Integrasi TCES TICS - Eksplorasi Scheduler dan Store Procedur untuk Ektraksi Polis untuk produk Misceleanious dan Fire</v>
      </c>
    </row>
    <row r="175" spans="1:8" x14ac:dyDescent="0.2">
      <c r="A175" t="str">
        <f>IF(INDEX(Haviz!$D:$D, 25)="", NA(), "Haviz (Developer)")</f>
        <v>Haviz (Developer)</v>
      </c>
      <c r="B175" t="str">
        <f>IF(INDEX(Haviz!$D:$D, 25)="", NA(), INDEX(Haviz!$B:$B, 25))</f>
        <v>Integrasi TCES TICS</v>
      </c>
      <c r="C175" t="str">
        <f>IF(INDEX(Haviz!$D:$D, 25)="", NA(), INDEX(Haviz!$D:$D, 25))</f>
        <v>Monitoring &amp; Validasi Data Dashboard E2E serta Koordinasi Issue SP, ditemukan issue pada proses ekstraksi data di Store Procedure dan telah dikomunikasikan</v>
      </c>
      <c r="D175" t="str">
        <f>IF(INDEX(Haviz!$D:$D, 25)="", NA(), INDEX(Haviz!$E:$E, 25))</f>
        <v>DONE</v>
      </c>
      <c r="E175" s="13">
        <f>IF(INDEX(Haviz!$D:$D, 25)="", NA(), INDEX(Haviz!$K:$K, 25))</f>
        <v>46265</v>
      </c>
      <c r="F175">
        <f t="shared" si="4"/>
        <v>1</v>
      </c>
      <c r="G175" s="13">
        <f>IF(INDEX(Haviz!$D:$D, 25)="", NA(), INDEX(Haviz!$L:$L, 25))</f>
        <v>46265</v>
      </c>
      <c r="H175" t="str">
        <f t="shared" si="5"/>
        <v>Haviz (Developer) - Integrasi TCES TICS - Monitoring &amp; Validasi Data Dashboard E2E serta Koordinasi Issue SP, ditemukan issue pada proses ekstraksi data di Store Procedure dan telah dikomunikasikan</v>
      </c>
    </row>
    <row r="176" spans="1:8" x14ac:dyDescent="0.2">
      <c r="A176" t="str">
        <f>IF(INDEX(Haviz!$D:$D, 26)="", NA(), "Haviz (Developer)")</f>
        <v>Haviz (Developer)</v>
      </c>
      <c r="B176" t="str">
        <f>IF(INDEX(Haviz!$D:$D, 26)="", NA(), INDEX(Haviz!$B:$B, 26))</f>
        <v>Integrasi TCES TICS</v>
      </c>
      <c r="C176" t="str">
        <f>IF(INDEX(Haviz!$D:$D, 26)="", NA(), INDEX(Haviz!$D:$D, 26))</f>
        <v>Membantu QA dan BA Monitoring &amp; Validasi Data Dashboard &amp; Database ketika melakukan testing E2E (T-Drive)</v>
      </c>
      <c r="D176" t="str">
        <f>IF(INDEX(Haviz!$D:$D, 26)="", NA(), INDEX(Haviz!$E:$E, 26))</f>
        <v>DONE</v>
      </c>
      <c r="E176" s="13">
        <f>IF(INDEX(Haviz!$D:$D, 26)="", NA(), INDEX(Haviz!$K:$K, 26))</f>
        <v>46266</v>
      </c>
      <c r="F176">
        <f t="shared" si="4"/>
        <v>1</v>
      </c>
      <c r="G176" s="13">
        <f>IF(INDEX(Haviz!$D:$D, 26)="", NA(), INDEX(Haviz!$L:$L, 26))</f>
        <v>46266</v>
      </c>
      <c r="H176" t="str">
        <f t="shared" si="5"/>
        <v>Haviz (Developer) - Integrasi TCES TICS - Membantu QA dan BA Monitoring &amp; Validasi Data Dashboard &amp; Database ketika melakukan testing E2E (T-Drive)</v>
      </c>
    </row>
    <row r="177" spans="1:8" ht="58" customHeight="1" x14ac:dyDescent="0.2">
      <c r="A177" t="str">
        <f>IF(INDEX(Haviz!$D:$D, 27)="", NA(), "Haviz (Developer)")</f>
        <v>Haviz (Developer)</v>
      </c>
      <c r="B177" t="str">
        <f>IF(INDEX(Haviz!$D:$D, 27)="", NA(), INDEX(Haviz!$B:$B, 27))</f>
        <v>Integrasi TCES TICS</v>
      </c>
      <c r="C177" t="str">
        <f>IF(INDEX(Haviz!$D:$D, 27)="", NA(), INDEX(Haviz!$D:$D, 27))</f>
        <v>Setup dan Mempelajari Aplikasi Integration Monitoring</v>
      </c>
      <c r="D177" t="str">
        <f>IF(INDEX(Haviz!$D:$D, 27)="", NA(), INDEX(Haviz!$E:$E, 27))</f>
        <v>DONE</v>
      </c>
      <c r="E177" s="13">
        <f>IF(INDEX(Haviz!$D:$D, 27)="", NA(), INDEX(Haviz!$K:$K, 27))</f>
        <v>46266</v>
      </c>
      <c r="F177">
        <f t="shared" si="4"/>
        <v>1</v>
      </c>
      <c r="G177" s="13">
        <f>IF(INDEX(Haviz!$D:$D, 27)="", NA(), INDEX(Haviz!$L:$L, 27))</f>
        <v>46266</v>
      </c>
      <c r="H177" t="str">
        <f t="shared" si="5"/>
        <v>Haviz (Developer) - Integrasi TCES TICS - Setup dan Mempelajari Aplikasi Integration Monitoring</v>
      </c>
    </row>
    <row r="178" spans="1:8" ht="58" customHeight="1" x14ac:dyDescent="0.2">
      <c r="A178" t="str">
        <f>IF(INDEX(Haviz!$D:$D, 28)="", NA(), "Haviz (Developer)")</f>
        <v>Haviz (Developer)</v>
      </c>
      <c r="B178" t="str">
        <f>IF(INDEX(Haviz!$D:$D, 28)="", NA(), INDEX(Haviz!$B:$B, 28))</f>
        <v>Integrasi TCES TICS</v>
      </c>
      <c r="C178" t="str">
        <f>IF(INDEX(Haviz!$D:$D, 28)="", NA(), INDEX(Haviz!$D:$D, 28))</f>
        <v>Eksplorasi codebase Aplikasi Integration Monitoring (Mencakup koneksi database, flow dan route yang tersedia)</v>
      </c>
      <c r="D178" t="str">
        <f>IF(INDEX(Haviz!$D:$D, 28)="", NA(), INDEX(Haviz!$E:$E, 28))</f>
        <v>DONE</v>
      </c>
      <c r="E178" s="13">
        <f>IF(INDEX(Haviz!$D:$D, 28)="", NA(), INDEX(Haviz!$K:$K, 28))</f>
        <v>46267</v>
      </c>
      <c r="F178">
        <f t="shared" si="4"/>
        <v>1</v>
      </c>
      <c r="G178" s="13">
        <f>IF(INDEX(Haviz!$D:$D, 28)="", NA(), INDEX(Haviz!$L:$L, 28))</f>
        <v>46267</v>
      </c>
      <c r="H178" t="str">
        <f t="shared" si="5"/>
        <v>Haviz (Developer) - Integrasi TCES TICS - Eksplorasi codebase Aplikasi Integration Monitoring (Mencakup koneksi database, flow dan route yang tersedia)</v>
      </c>
    </row>
    <row r="179" spans="1:8" ht="43.5" customHeight="1" x14ac:dyDescent="0.2">
      <c r="A179" t="str">
        <f>IF(INDEX(Haviz!$D:$D, 29)="", NA(), "Haviz (Developer)")</f>
        <v>Haviz (Developer)</v>
      </c>
      <c r="B179" t="str">
        <f>IF(INDEX(Haviz!$D:$D, 29)="", NA(), INDEX(Haviz!$B:$B, 29))</f>
        <v>Integrasi TCES TICS</v>
      </c>
      <c r="C179" t="str">
        <f>IF(INDEX(Haviz!$D:$D, 29)="", NA(), INDEX(Haviz!$D:$D, 29))</f>
        <v>Membantu QA dan BA Monitoring &amp; Validasi Data Dashboard ketika melakukan testing E2E (Travella)</v>
      </c>
      <c r="D179" t="str">
        <f>IF(INDEX(Haviz!$D:$D, 29)="", NA(), INDEX(Haviz!$E:$E, 29))</f>
        <v>DONE</v>
      </c>
      <c r="E179" s="13">
        <f>IF(INDEX(Haviz!$D:$D, 29)="", NA(), INDEX(Haviz!$K:$K, 29))</f>
        <v>46267</v>
      </c>
      <c r="F179">
        <f t="shared" si="4"/>
        <v>1</v>
      </c>
      <c r="G179" s="13">
        <f>IF(INDEX(Haviz!$D:$D, 29)="", NA(), INDEX(Haviz!$L:$L, 29))</f>
        <v>46267</v>
      </c>
      <c r="H179" t="str">
        <f t="shared" si="5"/>
        <v>Haviz (Developer) - Integrasi TCES TICS - Membantu QA dan BA Monitoring &amp; Validasi Data Dashboard ketika melakukan testing E2E (Travella)</v>
      </c>
    </row>
    <row r="180" spans="1:8" ht="58" customHeight="1" x14ac:dyDescent="0.2">
      <c r="A180" t="str">
        <f>IF(INDEX(Haviz!$D:$D, 30)="", NA(), "Haviz (Developer)")</f>
        <v>Haviz (Developer)</v>
      </c>
      <c r="B180" t="str">
        <f>IF(INDEX(Haviz!$D:$D, 30)="", NA(), INDEX(Haviz!$B:$B, 30))</f>
        <v>Integrasi TCES TICS</v>
      </c>
      <c r="C180" t="str">
        <f>IF(INDEX(Haviz!$D:$D, 30)="", NA(), INDEX(Haviz!$D:$D, 30))</f>
        <v>Eksplorasi codebase Aplikasi Integration Monitoring (Route BE/API, Service dan Controller)</v>
      </c>
      <c r="D180" t="str">
        <f>IF(INDEX(Haviz!$D:$D, 30)="", NA(), INDEX(Haviz!$E:$E, 30))</f>
        <v>DONE</v>
      </c>
      <c r="E180" s="13">
        <f>IF(INDEX(Haviz!$D:$D, 30)="", NA(), INDEX(Haviz!$K:$K, 30))</f>
        <v>46268</v>
      </c>
      <c r="F180">
        <f t="shared" si="4"/>
        <v>1</v>
      </c>
      <c r="G180" s="13">
        <f>IF(INDEX(Haviz!$D:$D, 30)="", NA(), INDEX(Haviz!$L:$L, 30))</f>
        <v>46268</v>
      </c>
      <c r="H180" t="str">
        <f t="shared" si="5"/>
        <v>Haviz (Developer) - Integrasi TCES TICS - Eksplorasi codebase Aplikasi Integration Monitoring (Route BE/API, Service dan Controller)</v>
      </c>
    </row>
    <row r="181" spans="1:8" ht="58" customHeight="1" x14ac:dyDescent="0.2">
      <c r="A181" t="str">
        <f>IF(INDEX(Haviz!$D:$D, 31)="", NA(), "Haviz (Developer)")</f>
        <v>Haviz (Developer)</v>
      </c>
      <c r="B181" t="str">
        <f>IF(INDEX(Haviz!$D:$D, 31)="", NA(), INDEX(Haviz!$B:$B, 31))</f>
        <v>Integrasi TCES TICS</v>
      </c>
      <c r="C181" t="str">
        <f>IF(INDEX(Haviz!$D:$D, 31)="", NA(), INDEX(Haviz!$D:$D, 31))</f>
        <v>Fixing penggunaan Helpers::defaultFromConfig di seluruh codebase dan memperbarui TransactionController agar parameter cob diambil secara dinamis dari biz_cls.</v>
      </c>
      <c r="D181" t="str">
        <f>IF(INDEX(Haviz!$D:$D, 31)="", NA(), INDEX(Haviz!$E:$E, 31))</f>
        <v>DONE</v>
      </c>
      <c r="E181" s="13">
        <f>IF(INDEX(Haviz!$D:$D, 31)="", NA(), INDEX(Haviz!$K:$K, 31))</f>
        <v>46268</v>
      </c>
      <c r="F181">
        <f t="shared" si="4"/>
        <v>1</v>
      </c>
      <c r="G181" s="13">
        <f>IF(INDEX(Haviz!$D:$D, 31)="", NA(), INDEX(Haviz!$L:$L, 31))</f>
        <v>46268</v>
      </c>
      <c r="H181" t="str">
        <f t="shared" si="5"/>
        <v>Haviz (Developer) - Integrasi TCES TICS - Fixing penggunaan Helpers::defaultFromConfig di seluruh codebase dan memperbarui TransactionController agar parameter cob diambil secara dinamis dari biz_cls.</v>
      </c>
    </row>
    <row r="182" spans="1:8" ht="87" customHeight="1" x14ac:dyDescent="0.2">
      <c r="A182" t="str">
        <f>IF(INDEX(Haviz!$D:$D, 32)="", NA(), "Haviz (Developer)")</f>
        <v>Haviz (Developer)</v>
      </c>
      <c r="B182" t="str">
        <f>IF(INDEX(Haviz!$D:$D, 32)="", NA(), INDEX(Haviz!$B:$B, 32))</f>
        <v>Integrasi TCES TICS</v>
      </c>
      <c r="C182" t="str">
        <f>IF(INDEX(Haviz!$D:$D, 32)="", NA(), INDEX(Haviz!$D:$D, 32))</f>
        <v>Tracing Nominal TSI Amount yang belum masuk ke TICS untuk Integrasi Data Travella dari TCES. Bug tersebut disebabkan karena TCES tidak mengirim value tsi_amount. Sudah koordinasi dengan tim TCES untuk dilakukan perbaikan.</v>
      </c>
      <c r="D182" t="str">
        <f>IF(INDEX(Haviz!$D:$D, 32)="", NA(), INDEX(Haviz!$E:$E, 32))</f>
        <v>DONE</v>
      </c>
      <c r="E182" s="13">
        <f>IF(INDEX(Haviz!$D:$D, 32)="", NA(), INDEX(Haviz!$K:$K, 32))</f>
        <v>46269</v>
      </c>
      <c r="F182">
        <f t="shared" si="4"/>
        <v>1</v>
      </c>
      <c r="G182" s="13">
        <f>IF(INDEX(Haviz!$D:$D, 32)="", NA(), INDEX(Haviz!$L:$L, 32))</f>
        <v>46269</v>
      </c>
      <c r="H182" t="str">
        <f t="shared" si="5"/>
        <v>Haviz (Developer) - Integrasi TCES TICS - Tracing Nominal TSI Amount yang belum masuk ke TICS untuk Integrasi Data Travella dari TCES. Bug tersebut disebabkan karena TCES tidak mengirim value tsi_amount. Sudah koordinasi dengan tim TCES untuk dilakukan perbaikan.</v>
      </c>
    </row>
    <row r="183" spans="1:8" ht="72.5" customHeight="1" x14ac:dyDescent="0.2">
      <c r="A183" t="str">
        <f>IF(INDEX(Haviz!$D:$D, 33)="", NA(), "Haviz (Developer)")</f>
        <v>Haviz (Developer)</v>
      </c>
      <c r="B183" t="str">
        <f>IF(INDEX(Haviz!$D:$D, 33)="", NA(), INDEX(Haviz!$B:$B, 33))</f>
        <v>Integrasi TCES TICS</v>
      </c>
      <c r="C183" t="str">
        <f>IF(INDEX(Haviz!$D:$D, 33)="", NA(), INDEX(Haviz!$D:$D, 33))</f>
        <v>Meeting Transfer Knowledge Aplikasi Admin CMS TCES</v>
      </c>
      <c r="D183" t="str">
        <f>IF(INDEX(Haviz!$D:$D, 33)="", NA(), INDEX(Haviz!$E:$E, 33))</f>
        <v>DONE</v>
      </c>
      <c r="E183" s="13">
        <f>IF(INDEX(Haviz!$D:$D, 33)="", NA(), INDEX(Haviz!$K:$K, 33))</f>
        <v>46269</v>
      </c>
      <c r="F183">
        <f t="shared" si="4"/>
        <v>1</v>
      </c>
      <c r="G183" s="13">
        <f>IF(INDEX(Haviz!$D:$D, 33)="", NA(), INDEX(Haviz!$L:$L, 33))</f>
        <v>46269</v>
      </c>
      <c r="H183" t="str">
        <f t="shared" si="5"/>
        <v>Haviz (Developer) - Integrasi TCES TICS - Meeting Transfer Knowledge Aplikasi Admin CMS TCES</v>
      </c>
    </row>
    <row r="184" spans="1:8" ht="159.5" customHeight="1" x14ac:dyDescent="0.2">
      <c r="A184" t="str">
        <f>IF(INDEX(Haviz!$D:$D, 34)="", NA(), "Haviz (Developer)")</f>
        <v>Haviz (Developer)</v>
      </c>
      <c r="B184" t="str">
        <f>IF(INDEX(Haviz!$D:$D, 34)="", NA(), INDEX(Haviz!$B:$B, 34))</f>
        <v>Integrasi TCES TICS</v>
      </c>
      <c r="C184" t="str">
        <f>IF(INDEX(Haviz!$D:$D, 34)="", NA(), INDEX(Haviz!$D:$D, 34))</f>
        <v>Meeting Review Progress Bersama Seluruh Tim ERP Tugu</v>
      </c>
      <c r="D184" t="str">
        <f>IF(INDEX(Haviz!$D:$D, 34)="", NA(), INDEX(Haviz!$E:$E, 34))</f>
        <v>DONE</v>
      </c>
      <c r="E184" s="13">
        <f>IF(INDEX(Haviz!$D:$D, 34)="", NA(), INDEX(Haviz!$K:$K, 34))</f>
        <v>46272</v>
      </c>
      <c r="F184">
        <f t="shared" si="4"/>
        <v>1</v>
      </c>
      <c r="G184" s="13">
        <f>IF(INDEX(Haviz!$D:$D, 34)="", NA(), INDEX(Haviz!$L:$L, 34))</f>
        <v>46272</v>
      </c>
      <c r="H184" t="str">
        <f t="shared" si="5"/>
        <v>Haviz (Developer) - Integrasi TCES TICS - Meeting Review Progress Bersama Seluruh Tim ERP Tugu</v>
      </c>
    </row>
    <row r="185" spans="1:8" ht="232" customHeight="1" x14ac:dyDescent="0.2">
      <c r="A185" t="str">
        <f>IF(INDEX(Haviz!$D:$D, 35)="", NA(), "Haviz (Developer)")</f>
        <v>Haviz (Developer)</v>
      </c>
      <c r="B185" t="str">
        <f>IF(INDEX(Haviz!$D:$D, 35)="", NA(), INDEX(Haviz!$B:$B, 35))</f>
        <v>Integrasi TCES TICS</v>
      </c>
      <c r="C185" t="str">
        <f>IF(INDEX(Haviz!$D:$D, 35)="", NA(), INDEX(Haviz!$D:$D, 35))</f>
        <v>Membantu QA dan BA Monitoring &amp; Validasi Data Dashboard &amp; Database ketika melakukan testing E2E Integrasi TCES ke TICS</v>
      </c>
      <c r="D185" t="str">
        <f>IF(INDEX(Haviz!$D:$D, 35)="", NA(), INDEX(Haviz!$E:$E, 35))</f>
        <v>DONE</v>
      </c>
      <c r="E185" s="13">
        <f>IF(INDEX(Haviz!$D:$D, 35)="", NA(), INDEX(Haviz!$K:$K, 35))</f>
        <v>46272</v>
      </c>
      <c r="F185">
        <f t="shared" si="4"/>
        <v>1</v>
      </c>
      <c r="G185" s="13">
        <f>IF(INDEX(Haviz!$D:$D, 35)="", NA(), INDEX(Haviz!$L:$L, 35))</f>
        <v>46272</v>
      </c>
      <c r="H185" t="str">
        <f t="shared" si="5"/>
        <v>Haviz (Developer) - Integrasi TCES TICS - Membantu QA dan BA Monitoring &amp; Validasi Data Dashboard &amp; Database ketika melakukan testing E2E Integrasi TCES ke TICS</v>
      </c>
    </row>
    <row r="186" spans="1:8" ht="43.5" customHeight="1" x14ac:dyDescent="0.2">
      <c r="A186" t="str">
        <f>IF(INDEX(Haviz!$D:$D, 36)="", NA(), "Haviz (Developer)")</f>
        <v>Haviz (Developer)</v>
      </c>
      <c r="B186" t="str">
        <f>IF(INDEX(Haviz!$D:$D, 36)="", NA(), INDEX(Haviz!$B:$B, 36))</f>
        <v>Integrasi TCES TICS</v>
      </c>
      <c r="C186" t="str">
        <f>IF(INDEX(Haviz!$D:$D, 36)="", NA(), INDEX(Haviz!$D:$D, 36))</f>
        <v>Membantu QA dan BA Monitoring &amp; Validasi Data Dashboard &amp; Database ketika melakukan testing E2E Integrasi TCES ke TICS (MV) dengan semua matrix skenario</v>
      </c>
      <c r="D186" t="str">
        <f>IF(INDEX(Haviz!$D:$D, 36)="", NA(), INDEX(Haviz!$E:$E, 36))</f>
        <v>DONE</v>
      </c>
      <c r="E186" s="13">
        <f>IF(INDEX(Haviz!$D:$D, 36)="", NA(), INDEX(Haviz!$K:$K, 36))</f>
        <v>46273</v>
      </c>
      <c r="F186">
        <f t="shared" si="4"/>
        <v>1</v>
      </c>
      <c r="G186" s="13">
        <f>IF(INDEX(Haviz!$D:$D, 36)="", NA(), INDEX(Haviz!$L:$L, 36))</f>
        <v>46273</v>
      </c>
      <c r="H186" t="str">
        <f t="shared" si="5"/>
        <v>Haviz (Developer) - Integrasi TCES TICS - Membantu QA dan BA Monitoring &amp; Validasi Data Dashboard &amp; Database ketika melakukan testing E2E Integrasi TCES ke TICS (MV) dengan semua matrix skenario</v>
      </c>
    </row>
    <row r="187" spans="1:8" ht="43.5" customHeight="1" x14ac:dyDescent="0.2">
      <c r="A187" t="str">
        <f>IF(INDEX(Haviz!$D:$D, 37)="", NA(), "Haviz (Developer)")</f>
        <v>Haviz (Developer)</v>
      </c>
      <c r="B187" t="str">
        <f>IF(INDEX(Haviz!$D:$D, 37)="", NA(), INDEX(Haviz!$B:$B, 37))</f>
        <v>Integrasi TCES TICS</v>
      </c>
      <c r="C187" t="str">
        <f>IF(INDEX(Haviz!$D:$D, 37)="", NA(), INDEX(Haviz!$D:$D, 37))</f>
        <v>Membantu QA dan BA Monitoring &amp; Validasi Data Dashboard &amp; Database ketika melakukan testing E2E Integrasi TCES ke TICS (MV) dengan skema skenario yang masih belum ada</v>
      </c>
      <c r="D187" t="str">
        <f>IF(INDEX(Haviz!$D:$D, 37)="", NA(), INDEX(Haviz!$E:$E, 37))</f>
        <v>DONE</v>
      </c>
      <c r="E187" s="13">
        <f>IF(INDEX(Haviz!$D:$D, 37)="", NA(), INDEX(Haviz!$K:$K, 37))</f>
        <v>46274</v>
      </c>
      <c r="F187">
        <f t="shared" si="4"/>
        <v>1</v>
      </c>
      <c r="G187" s="13">
        <f>IF(INDEX(Haviz!$D:$D, 37)="", NA(), INDEX(Haviz!$L:$L, 37))</f>
        <v>46274</v>
      </c>
      <c r="H187" t="str">
        <f t="shared" si="5"/>
        <v>Haviz (Developer) - Integrasi TCES TICS - Membantu QA dan BA Monitoring &amp; Validasi Data Dashboard &amp; Database ketika melakukan testing E2E Integrasi TCES ke TICS (MV) dengan skema skenario yang masih belum ada</v>
      </c>
    </row>
    <row r="188" spans="1:8" ht="101.5" customHeight="1" x14ac:dyDescent="0.2">
      <c r="A188" t="str">
        <f>IF(INDEX(Haviz!$D:$D, 38)="", NA(), "Haviz (Developer)")</f>
        <v>Haviz (Developer)</v>
      </c>
      <c r="B188" t="str">
        <f>IF(INDEX(Haviz!$D:$D, 38)="", NA(), INDEX(Haviz!$B:$B, 38))</f>
        <v>Integrasi TCES TICS</v>
      </c>
      <c r="C188" t="str">
        <f>IF(INDEX(Haviz!$D:$D, 38)="", NA(), INDEX(Haviz!$D:$D, 38))</f>
        <v>Membantu TW melakukan review pada dokumen TSD</v>
      </c>
      <c r="D188" t="str">
        <f>IF(INDEX(Haviz!$D:$D, 38)="", NA(), INDEX(Haviz!$E:$E, 38))</f>
        <v>DONE</v>
      </c>
      <c r="E188" s="13">
        <f>IF(INDEX(Haviz!$D:$D, 38)="", NA(), INDEX(Haviz!$K:$K, 38))</f>
        <v>46274</v>
      </c>
      <c r="F188">
        <f t="shared" si="4"/>
        <v>1</v>
      </c>
      <c r="G188" s="13">
        <f>IF(INDEX(Haviz!$D:$D, 38)="", NA(), INDEX(Haviz!$L:$L, 38))</f>
        <v>46274</v>
      </c>
      <c r="H188" t="str">
        <f t="shared" si="5"/>
        <v>Haviz (Developer) - Integrasi TCES TICS - Membantu TW melakukan review pada dokumen TSD</v>
      </c>
    </row>
    <row r="189" spans="1:8" ht="130.5" customHeight="1" x14ac:dyDescent="0.2">
      <c r="A189" t="str">
        <f>IF(INDEX(Haviz!$D:$D, 39)="", NA(), "Haviz (Developer)")</f>
        <v>Haviz (Developer)</v>
      </c>
      <c r="B189" t="str">
        <f>IF(INDEX(Haviz!$D:$D, 39)="", NA(), INDEX(Haviz!$B:$B, 39))</f>
        <v>Integrasi TCES TICS</v>
      </c>
      <c r="C189" t="str">
        <f>IF(INDEX(Haviz!$D:$D, 39)="", NA(), INDEX(Haviz!$D:$D, 39))</f>
        <v>Membantu QA dan BA Monitoring &amp; Validasi Data Dashboard &amp; Database ketika melakukan testing E2E Integrasi TCES ke TICS (MV) dengan Diskon/Promo</v>
      </c>
      <c r="D189" t="str">
        <f>IF(INDEX(Haviz!$D:$D, 39)="", NA(), INDEX(Haviz!$E:$E, 39))</f>
        <v>DONE</v>
      </c>
      <c r="E189" s="13">
        <f>IF(INDEX(Haviz!$D:$D, 39)="", NA(), INDEX(Haviz!$K:$K, 39))</f>
        <v>46275</v>
      </c>
      <c r="F189">
        <f t="shared" si="4"/>
        <v>1</v>
      </c>
      <c r="G189" s="13">
        <f>IF(INDEX(Haviz!$D:$D, 39)="", NA(), INDEX(Haviz!$L:$L, 39))</f>
        <v>46275</v>
      </c>
      <c r="H189" t="str">
        <f t="shared" si="5"/>
        <v>Haviz (Developer) - Integrasi TCES TICS - Membantu QA dan BA Monitoring &amp; Validasi Data Dashboard &amp; Database ketika melakukan testing E2E Integrasi TCES ke TICS (MV) dengan Diskon/Promo</v>
      </c>
    </row>
    <row r="190" spans="1:8" ht="87" customHeight="1" x14ac:dyDescent="0.2">
      <c r="A190" t="str">
        <f>IF(INDEX(Haviz!$D:$D, 40)="", NA(), "Haviz (Developer)")</f>
        <v>Haviz (Developer)</v>
      </c>
      <c r="B190" t="str">
        <f>IF(INDEX(Haviz!$D:$D, 40)="", NA(), INDEX(Haviz!$B:$B, 40))</f>
        <v>Integrasi TCES TICS</v>
      </c>
      <c r="C190" t="str">
        <f>IF(INDEX(Haviz!$D:$D, 40)="", NA(), INDEX(Haviz!$D:$D, 40))</f>
        <v>Membantu QA dan BA Monitoring &amp; Validasi Data Dashboard &amp; Database ketika melakukan testing E2E Integrasi TCES ke TICS (MV) dengan Diskon/Promo + BP Belum Terdaftar</v>
      </c>
      <c r="D190" t="str">
        <f>IF(INDEX(Haviz!$D:$D, 40)="", NA(), INDEX(Haviz!$E:$E, 40))</f>
        <v>DONE</v>
      </c>
      <c r="E190" s="13">
        <f>IF(INDEX(Haviz!$D:$D, 40)="", NA(), INDEX(Haviz!$K:$K, 40))</f>
        <v>46276</v>
      </c>
      <c r="F190">
        <f t="shared" si="4"/>
        <v>1</v>
      </c>
      <c r="G190" s="13">
        <f>IF(INDEX(Haviz!$D:$D, 40)="", NA(), INDEX(Haviz!$L:$L, 40))</f>
        <v>46276</v>
      </c>
      <c r="H190" t="str">
        <f t="shared" si="5"/>
        <v>Haviz (Developer) - Integrasi TCES TICS - Membantu QA dan BA Monitoring &amp; Validasi Data Dashboard &amp; Database ketika melakukan testing E2E Integrasi TCES ke TICS (MV) dengan Diskon/Promo + BP Belum Terdaftar</v>
      </c>
    </row>
    <row r="191" spans="1:8" ht="58" customHeight="1" x14ac:dyDescent="0.2">
      <c r="A191" t="str">
        <f>IF(INDEX(Haviz!$D:$D, 41)="", NA(), "Haviz (Developer)")</f>
        <v>Haviz (Developer)</v>
      </c>
      <c r="B191" t="str">
        <f>IF(INDEX(Haviz!$D:$D, 41)="", NA(), INDEX(Haviz!$B:$B, 41))</f>
        <v>Integrasi TCES TICS</v>
      </c>
      <c r="C191" t="str">
        <f>IF(INDEX(Haviz!$D:$D, 41)="", NA(), INDEX(Haviz!$D:$D, 41))</f>
        <v>Membantu QA dan BA Monitoring &amp; Validasi Data Dashboard &amp; Database ketika melakukan testing E2E Integrasi TCES ke TICS (MV) dengan Diskon/Promo + BP Belum Terdaftar</v>
      </c>
      <c r="D191" t="str">
        <f>IF(INDEX(Haviz!$D:$D, 41)="", NA(), INDEX(Haviz!$E:$E, 41))</f>
        <v>DONE</v>
      </c>
      <c r="E191" s="13">
        <f>IF(INDEX(Haviz!$D:$D, 41)="", NA(), INDEX(Haviz!$K:$K, 41))</f>
        <v>46279</v>
      </c>
      <c r="F191">
        <f t="shared" si="4"/>
        <v>1</v>
      </c>
      <c r="G191" s="13">
        <f>IF(INDEX(Haviz!$D:$D, 41)="", NA(), INDEX(Haviz!$L:$L, 41))</f>
        <v>46279</v>
      </c>
      <c r="H191" t="str">
        <f t="shared" si="5"/>
        <v>Haviz (Developer) - Integrasi TCES TICS - Membantu QA dan BA Monitoring &amp; Validasi Data Dashboard &amp; Database ketika melakukan testing E2E Integrasi TCES ke TICS (MV) dengan Diskon/Promo + BP Belum Terdaftar</v>
      </c>
    </row>
    <row r="192" spans="1:8" ht="43.5" customHeight="1" x14ac:dyDescent="0.2">
      <c r="A192" t="str">
        <f>IF(INDEX(Haviz!$D:$D, 42)="", NA(), "Haviz (Developer)")</f>
        <v>Haviz (Developer)</v>
      </c>
      <c r="B192" t="str">
        <f>IF(INDEX(Haviz!$D:$D, 42)="", NA(), INDEX(Haviz!$B:$B, 42))</f>
        <v>API Settlement Payment</v>
      </c>
      <c r="C192" t="str">
        <f>IF(INDEX(Haviz!$D:$D, 42)="", NA(), INDEX(Haviz!$D:$D, 42))</f>
        <v>Briefing Penjelasan Alur Settlement Payment bersama Bu Etha dan Mas Abel</v>
      </c>
      <c r="D192" t="str">
        <f>IF(INDEX(Haviz!$D:$D, 42)="", NA(), INDEX(Haviz!$E:$E, 42))</f>
        <v>DONE</v>
      </c>
      <c r="E192" s="13">
        <f>IF(INDEX(Haviz!$D:$D, 42)="", NA(), INDEX(Haviz!$K:$K, 42))</f>
        <v>46280</v>
      </c>
      <c r="F192">
        <f t="shared" si="4"/>
        <v>1</v>
      </c>
      <c r="G192" s="13">
        <f>IF(INDEX(Haviz!$D:$D, 42)="", NA(), INDEX(Haviz!$L:$L, 42))</f>
        <v>46280</v>
      </c>
      <c r="H192" t="str">
        <f t="shared" si="5"/>
        <v>Haviz (Developer) - API Settlement Payment - Briefing Penjelasan Alur Settlement Payment bersama Bu Etha dan Mas Abel</v>
      </c>
    </row>
    <row r="193" spans="1:8" ht="58" customHeight="1" x14ac:dyDescent="0.2">
      <c r="A193" t="str">
        <f>IF(INDEX(Haviz!$D:$D, 43)="", NA(), "Haviz (Developer)")</f>
        <v>Haviz (Developer)</v>
      </c>
      <c r="B193" t="str">
        <f>IF(INDEX(Haviz!$D:$D, 43)="", NA(), INDEX(Haviz!$B:$B, 43))</f>
        <v>API Settlement Payment</v>
      </c>
      <c r="C193" t="str">
        <f>IF(INDEX(Haviz!$D:$D, 43)="", NA(), INDEX(Haviz!$D:$D, 43))</f>
        <v>Meeting Terkait Espay Settlement Notification dengan Mas Rifqi (TCES)</v>
      </c>
      <c r="D193" t="str">
        <f>IF(INDEX(Haviz!$D:$D, 43)="", NA(), INDEX(Haviz!$E:$E, 43))</f>
        <v>DONE</v>
      </c>
      <c r="E193" s="13">
        <f>IF(INDEX(Haviz!$D:$D, 43)="", NA(), INDEX(Haviz!$K:$K, 43))</f>
        <v>46280</v>
      </c>
      <c r="F193">
        <f t="shared" si="4"/>
        <v>1</v>
      </c>
      <c r="G193" s="13">
        <f>IF(INDEX(Haviz!$D:$D, 43)="", NA(), INDEX(Haviz!$L:$L, 43))</f>
        <v>46280</v>
      </c>
      <c r="H193" t="str">
        <f t="shared" si="5"/>
        <v>Haviz (Developer) - API Settlement Payment - Meeting Terkait Espay Settlement Notification dengan Mas Rifqi (TCES)</v>
      </c>
    </row>
    <row r="194" spans="1:8" x14ac:dyDescent="0.2">
      <c r="A194" t="str">
        <f>IF(INDEX(Haviz!$D:$D, 44)="", NA(), "Haviz (Developer)")</f>
        <v>Haviz (Developer)</v>
      </c>
      <c r="B194" t="str">
        <f>IF(INDEX(Haviz!$D:$D, 44)="", NA(), INDEX(Haviz!$B:$B, 44))</f>
        <v>Integrasi TCES TICS</v>
      </c>
      <c r="C194" t="str">
        <f>IF(INDEX(Haviz!$D:$D, 44)="", NA(), INDEX(Haviz!$D:$D, 44))</f>
        <v>Membantu QA dan BA Monitoring &amp; Validasi Data Dashboard &amp; Database ketika melakukan testing E2E Integrasi TCES ke TICS (MV) dengan Diskon/Promo + BP Belum Terdaftar</v>
      </c>
      <c r="D194" t="str">
        <f>IF(INDEX(Haviz!$D:$D, 44)="", NA(), INDEX(Haviz!$E:$E, 44))</f>
        <v>DONE</v>
      </c>
      <c r="E194" s="13">
        <f>IF(INDEX(Haviz!$D:$D, 44)="", NA(), INDEX(Haviz!$K:$K, 44))</f>
        <v>46280</v>
      </c>
      <c r="F194">
        <f t="shared" ref="F194:F257" si="6">IF(OR(E194="", ISNA(E194), ISNA(G194)), 0, MAX(1, G194-E194))</f>
        <v>1</v>
      </c>
      <c r="G194" s="13">
        <f>IF(INDEX(Haviz!$D:$D, 44)="", NA(), INDEX(Haviz!$L:$L, 44))</f>
        <v>46280</v>
      </c>
      <c r="H194" t="str">
        <f t="shared" ref="H194:H257" si="7">IF(ISNA(C194), NA(), A194 &amp; " - " &amp; B194 &amp; " - " &amp; C194)</f>
        <v>Haviz (Developer) - Integrasi TCES TICS - Membantu QA dan BA Monitoring &amp; Validasi Data Dashboard &amp; Database ketika melakukan testing E2E Integrasi TCES ke TICS (MV) dengan Diskon/Promo + BP Belum Terdaftar</v>
      </c>
    </row>
    <row r="195" spans="1:8" x14ac:dyDescent="0.2">
      <c r="A195" t="str">
        <f>IF(INDEX(Haviz!$D:$D, 45)="", NA(), "Haviz (Developer)")</f>
        <v>Haviz (Developer)</v>
      </c>
      <c r="B195" t="str">
        <f>IF(INDEX(Haviz!$D:$D, 45)="", NA(), INDEX(Haviz!$B:$B, 45))</f>
        <v>Integrasi TCES TICS</v>
      </c>
      <c r="C195" t="str">
        <f>IF(INDEX(Haviz!$D:$D, 45)="", NA(), INDEX(Haviz!$D:$D, 45))</f>
        <v>Meeting Integrasi Claim TCES (Tim IT Tugu, Tim Claim Tugu, Tim IT Elistec)</v>
      </c>
      <c r="D195" t="str">
        <f>IF(INDEX(Haviz!$D:$D, 45)="", NA(), INDEX(Haviz!$E:$E, 45))</f>
        <v>DONE</v>
      </c>
      <c r="E195" s="13">
        <f>IF(INDEX(Haviz!$D:$D, 45)="", NA(), INDEX(Haviz!$K:$K, 45))</f>
        <v>46281</v>
      </c>
      <c r="F195">
        <f t="shared" si="6"/>
        <v>1</v>
      </c>
      <c r="G195" s="13">
        <f>IF(INDEX(Haviz!$D:$D, 45)="", NA(), INDEX(Haviz!$L:$L, 45))</f>
        <v>46281</v>
      </c>
      <c r="H195" t="str">
        <f t="shared" si="7"/>
        <v>Haviz (Developer) - Integrasi TCES TICS - Meeting Integrasi Claim TCES (Tim IT Tugu, Tim Claim Tugu, Tim IT Elistec)</v>
      </c>
    </row>
    <row r="196" spans="1:8" x14ac:dyDescent="0.2">
      <c r="A196" t="str">
        <f>IF(INDEX(Haviz!$D:$D, 46)="", NA(), "Haviz (Developer)")</f>
        <v>Haviz (Developer)</v>
      </c>
      <c r="B196" t="str">
        <f>IF(INDEX(Haviz!$D:$D, 46)="", NA(), INDEX(Haviz!$B:$B, 46))</f>
        <v>API Settlement Payment</v>
      </c>
      <c r="C196" t="str">
        <f>IF(INDEX(Haviz!$D:$D, 46)="", NA(), INDEX(Haviz!$D:$D, 46))</f>
        <v>Implementasi API Settlement Payment Espay to TICS - Setup middleware untuk Otentikasi Digital Signature</v>
      </c>
      <c r="D196" t="str">
        <f>IF(INDEX(Haviz!$D:$D, 46)="", NA(), INDEX(Haviz!$E:$E, 46))</f>
        <v>DONE</v>
      </c>
      <c r="E196" s="13">
        <f>IF(INDEX(Haviz!$D:$D, 46)="", NA(), INDEX(Haviz!$K:$K, 46))</f>
        <v>46282</v>
      </c>
      <c r="F196">
        <f t="shared" si="6"/>
        <v>1</v>
      </c>
      <c r="G196" s="13">
        <f>IF(INDEX(Haviz!$D:$D, 46)="", NA(), INDEX(Haviz!$L:$L, 46))</f>
        <v>46282</v>
      </c>
      <c r="H196" t="str">
        <f t="shared" si="7"/>
        <v>Haviz (Developer) - API Settlement Payment - Implementasi API Settlement Payment Espay to TICS - Setup middleware untuk Otentikasi Digital Signature</v>
      </c>
    </row>
    <row r="197" spans="1:8" x14ac:dyDescent="0.2">
      <c r="A197" t="str">
        <f>IF(INDEX(Haviz!$D:$D, 47)="", NA(), "Haviz (Developer)")</f>
        <v>Haviz (Developer)</v>
      </c>
      <c r="B197" t="str">
        <f>IF(INDEX(Haviz!$D:$D, 47)="", NA(), INDEX(Haviz!$B:$B, 47))</f>
        <v>Integrasi TCES TICS</v>
      </c>
      <c r="C197" t="str">
        <f>IF(INDEX(Haviz!$D:$D, 47)="", NA(), INDEX(Haviz!$D:$D, 47))</f>
        <v>Meeting Sharing Knowledge TCES oleh tim Elistec dan Tugu</v>
      </c>
      <c r="D197" t="str">
        <f>IF(INDEX(Haviz!$D:$D, 47)="", NA(), INDEX(Haviz!$E:$E, 47))</f>
        <v>DONE</v>
      </c>
      <c r="E197" s="13">
        <f>IF(INDEX(Haviz!$D:$D, 47)="", NA(), INDEX(Haviz!$K:$K, 47))</f>
        <v>46283</v>
      </c>
      <c r="F197">
        <f t="shared" si="6"/>
        <v>1</v>
      </c>
      <c r="G197" s="13">
        <f>IF(INDEX(Haviz!$D:$D, 47)="", NA(), INDEX(Haviz!$L:$L, 47))</f>
        <v>46283</v>
      </c>
      <c r="H197" t="str">
        <f t="shared" si="7"/>
        <v>Haviz (Developer) - Integrasi TCES TICS - Meeting Sharing Knowledge TCES oleh tim Elistec dan Tugu</v>
      </c>
    </row>
    <row r="198" spans="1:8" x14ac:dyDescent="0.2">
      <c r="A198" t="str">
        <f>IF(INDEX(Haviz!$D:$D, 48)="", NA(), "Haviz (Developer)")</f>
        <v>Haviz (Developer)</v>
      </c>
      <c r="B198" t="str">
        <f>IF(INDEX(Haviz!$D:$D, 48)="", NA(), INDEX(Haviz!$B:$B, 48))</f>
        <v>API Settlement Payment</v>
      </c>
      <c r="C198" t="str">
        <f>IF(INDEX(Haviz!$D:$D, 48)="", NA(), INDEX(Haviz!$D:$D, 48))</f>
        <v>Implementasi endpoint baru POST /api/v2/tics/settlement/store melalui pembuatan SettlementController untuk menerima dan menyimpan data payload settlement transaksi (Espay/Tces) ke tabel integration_payload dengan kategori TCES SETTLEMENT</v>
      </c>
      <c r="D198" t="str">
        <f>IF(INDEX(Haviz!$D:$D, 48)="", NA(), INDEX(Haviz!$E:$E, 48))</f>
        <v>DONE</v>
      </c>
      <c r="E198" s="13">
        <f>IF(INDEX(Haviz!$D:$D, 48)="", NA(), INDEX(Haviz!$K:$K, 48))</f>
        <v>46286</v>
      </c>
      <c r="F198">
        <f t="shared" si="6"/>
        <v>1</v>
      </c>
      <c r="G198" s="13">
        <f>IF(INDEX(Haviz!$D:$D, 48)="", NA(), INDEX(Haviz!$L:$L, 48))</f>
        <v>46286</v>
      </c>
      <c r="H198" t="str">
        <f t="shared" si="7"/>
        <v>Haviz (Developer) - API Settlement Payment - Implementasi endpoint baru POST /api/v2/tics/settlement/store melalui pembuatan SettlementController untuk menerima dan menyimpan data payload settlement transaksi (Espay/Tces) ke tabel integration_payload dengan kategori TCES SETTLEMENT</v>
      </c>
    </row>
    <row r="199" spans="1:8" x14ac:dyDescent="0.2">
      <c r="A199" t="str">
        <f>IF(INDEX(Haviz!$D:$D, 49)="", NA(), "Haviz (Developer)")</f>
        <v>Haviz (Developer)</v>
      </c>
      <c r="B199" t="str">
        <f>IF(INDEX(Haviz!$D:$D, 49)="", NA(), INDEX(Haviz!$B:$B, 49))</f>
        <v>API Settlement Payment</v>
      </c>
      <c r="C199" t="str">
        <f>IF(INDEX(Haviz!$D:$D, 49)="", NA(), INDEX(Haviz!$D:$D, 49))</f>
        <v>Pengembangan endpoint POST /api/v2/tics/settlement/store untuk proses validasi, dilanjutkan dengan ekstraksi data ke tces_settlement_header &amp; tces_settlement_detail serta penanganan proteksi duplikasi rq_uuid (HTTP 409)</v>
      </c>
      <c r="D199" t="str">
        <f>IF(INDEX(Haviz!$D:$D, 49)="", NA(), INDEX(Haviz!$E:$E, 49))</f>
        <v>DONE</v>
      </c>
      <c r="E199" s="13">
        <f>IF(INDEX(Haviz!$D:$D, 49)="", NA(), INDEX(Haviz!$K:$K, 49))</f>
        <v>46287</v>
      </c>
      <c r="F199">
        <f t="shared" si="6"/>
        <v>1</v>
      </c>
      <c r="G199" s="13">
        <f>IF(INDEX(Haviz!$D:$D, 49)="", NA(), INDEX(Haviz!$L:$L, 49))</f>
        <v>46287</v>
      </c>
      <c r="H199" t="str">
        <f t="shared" si="7"/>
        <v>Haviz (Developer) - API Settlement Payment - Pengembangan endpoint POST /api/v2/tics/settlement/store untuk proses validasi, dilanjutkan dengan ekstraksi data ke tces_settlement_header &amp; tces_settlement_detail serta penanganan proteksi duplikasi rq_uuid (HTTP 409)</v>
      </c>
    </row>
    <row r="200" spans="1:8" x14ac:dyDescent="0.2">
      <c r="A200" t="str">
        <f>IF(INDEX(Haviz!$D:$D, 50)="", NA(), "Haviz (Developer)")</f>
        <v>Haviz (Developer)</v>
      </c>
      <c r="B200" t="str">
        <f>IF(INDEX(Haviz!$D:$D, 50)="", NA(), INDEX(Haviz!$B:$B, 50))</f>
        <v>API Settlement Payment</v>
      </c>
      <c r="C200" t="str">
        <f>IF(INDEX(Haviz!$D:$D, 50)="", NA(), INDEX(Haviz!$D:$D, 50))</f>
        <v>Mengimplementasikan data enrichment pada tces_settlement_detail untuk memetakan pol_nbr, quo_nbr (via acceptance), dan zsddt0002_docs (via zsddt0002) saat proses store settlement di endpoint POST /api/v2/tics/settlement/store.</v>
      </c>
      <c r="D200" t="str">
        <f>IF(INDEX(Haviz!$D:$D, 50)="", NA(), INDEX(Haviz!$E:$E, 50))</f>
        <v>DONE</v>
      </c>
      <c r="E200" s="13">
        <f>IF(INDEX(Haviz!$D:$D, 50)="", NA(), INDEX(Haviz!$K:$K, 50))</f>
        <v>46288</v>
      </c>
      <c r="F200">
        <f t="shared" si="6"/>
        <v>1</v>
      </c>
      <c r="G200" s="13">
        <f>IF(INDEX(Haviz!$D:$D, 50)="", NA(), INDEX(Haviz!$L:$L, 50))</f>
        <v>46288</v>
      </c>
      <c r="H200" t="str">
        <f t="shared" si="7"/>
        <v>Haviz (Developer) - API Settlement Payment - Mengimplementasikan data enrichment pada tces_settlement_detail untuk memetakan pol_nbr, quo_nbr (via acceptance), dan zsddt0002_docs (via zsddt0002) saat proses store settlement di endpoint POST /api/v2/tics/settlement/store.</v>
      </c>
    </row>
    <row r="201" spans="1:8" x14ac:dyDescent="0.2">
      <c r="A201" t="str">
        <f>IF(INDEX(Haviz!$D:$D, 51)="", NA(), "Haviz (Developer)")</f>
        <v>Haviz (Developer)</v>
      </c>
      <c r="B201" t="str">
        <f>IF(INDEX(Haviz!$D:$D, 51)="", NA(), INDEX(Haviz!$B:$B, 51))</f>
        <v>API Settlement Payment</v>
      </c>
      <c r="C201" t="str">
        <f>IF(INDEX(Haviz!$D:$D, 51)="", NA(), INDEX(Haviz!$D:$D, 51))</f>
        <v>Membuat task scheduler SettlementService::syncMissingSettlementDocs, Artisan command settlement:sync-missing-docs, serta mendaftarkan task scheduler berkala (setiap 2 jam) untuk rekonsiliasi data settlement yang belum lengkap.</v>
      </c>
      <c r="D201" t="str">
        <f>IF(INDEX(Haviz!$D:$D, 51)="", NA(), INDEX(Haviz!$E:$E, 51))</f>
        <v>DONE</v>
      </c>
      <c r="E201" s="13">
        <f>IF(INDEX(Haviz!$D:$D, 51)="", NA(), INDEX(Haviz!$K:$K, 51))</f>
        <v>46288</v>
      </c>
      <c r="F201">
        <f t="shared" si="6"/>
        <v>1</v>
      </c>
      <c r="G201" s="13">
        <f>IF(INDEX(Haviz!$D:$D, 51)="", NA(), INDEX(Haviz!$L:$L, 51))</f>
        <v>46288</v>
      </c>
      <c r="H201" t="str">
        <f t="shared" si="7"/>
        <v>Haviz (Developer) - API Settlement Payment - Membuat task scheduler SettlementService::syncMissingSettlementDocs, Artisan command settlement:sync-missing-docs, serta mendaftarkan task scheduler berkala (setiap 2 jam) untuk rekonsiliasi data settlement yang belum lengkap.</v>
      </c>
    </row>
    <row r="202" spans="1:8" x14ac:dyDescent="0.2">
      <c r="A202" t="str">
        <f>IF(INDEX(Haviz!$D:$D, 52)="", NA(), "Haviz (Developer)")</f>
        <v>Haviz (Developer)</v>
      </c>
      <c r="B202" t="str">
        <f>IF(INDEX(Haviz!$D:$D, 52)="", NA(), INDEX(Haviz!$B:$B, 52))</f>
        <v>API Settlement Payment</v>
      </c>
      <c r="C202" t="str">
        <f>IF(INDEX(Haviz!$D:$D, 52)="", NA(), INDEX(Haviz!$D:$D, 52))</f>
        <v>Memperbarui dokumentasi OpenAPI/Swagger untuk endpoint settlement store beserta dokumentasi teknisnya</v>
      </c>
      <c r="D202" t="str">
        <f>IF(INDEX(Haviz!$D:$D, 52)="", NA(), INDEX(Haviz!$E:$E, 52))</f>
        <v>DONE</v>
      </c>
      <c r="E202" s="13">
        <f>IF(INDEX(Haviz!$D:$D, 52)="", NA(), INDEX(Haviz!$K:$K, 52))</f>
        <v>46289</v>
      </c>
      <c r="F202">
        <f t="shared" si="6"/>
        <v>1</v>
      </c>
      <c r="G202" s="13">
        <f>IF(INDEX(Haviz!$D:$D, 52)="", NA(), INDEX(Haviz!$L:$L, 52))</f>
        <v>46289</v>
      </c>
      <c r="H202" t="str">
        <f t="shared" si="7"/>
        <v>Haviz (Developer) - API Settlement Payment - Memperbarui dokumentasi OpenAPI/Swagger untuk endpoint settlement store beserta dokumentasi teknisnya</v>
      </c>
    </row>
    <row r="203" spans="1:8" x14ac:dyDescent="0.2">
      <c r="A203" t="str">
        <f>IF(INDEX(Haviz!$D:$D, 53)="", NA(), "Haviz (Developer)")</f>
        <v>Haviz (Developer)</v>
      </c>
      <c r="B203" t="str">
        <f>IF(INDEX(Haviz!$D:$D, 53)="", NA(), INDEX(Haviz!$B:$B, 53))</f>
        <v>API Settlement Payment</v>
      </c>
      <c r="C203" t="str">
        <f>IF(INDEX(Haviz!$D:$D, 53)="", NA(), INDEX(Haviz!$D:$D, 53))</f>
        <v>Menambahkan validasi payload pada endpoint store settlement guna memastikan nilai amount sesuai dengan total akumulasi settlement_amount serta count_trx cocok dengan jumlah item detail data.</v>
      </c>
      <c r="D203" t="str">
        <f>IF(INDEX(Haviz!$D:$D, 53)="", NA(), INDEX(Haviz!$E:$E, 53))</f>
        <v>DONE</v>
      </c>
      <c r="E203" s="13">
        <f>IF(INDEX(Haviz!$D:$D, 53)="", NA(), INDEX(Haviz!$K:$K, 53))</f>
        <v>46289</v>
      </c>
      <c r="F203">
        <f t="shared" si="6"/>
        <v>1</v>
      </c>
      <c r="G203" s="13">
        <f>IF(INDEX(Haviz!$D:$D, 53)="", NA(), INDEX(Haviz!$L:$L, 53))</f>
        <v>46289</v>
      </c>
      <c r="H203" t="str">
        <f t="shared" si="7"/>
        <v>Haviz (Developer) - API Settlement Payment - Menambahkan validasi payload pada endpoint store settlement guna memastikan nilai amount sesuai dengan total akumulasi settlement_amount serta count_trx cocok dengan jumlah item detail data.</v>
      </c>
    </row>
    <row r="204" spans="1:8" x14ac:dyDescent="0.2">
      <c r="A204" t="str">
        <f>IF(INDEX(Haviz!$D:$D, 54)="", NA(), "Haviz (Developer)")</f>
        <v>Haviz (Developer)</v>
      </c>
      <c r="B204" t="str">
        <f>IF(INDEX(Haviz!$D:$D, 54)="", NA(), INDEX(Haviz!$B:$B, 54))</f>
        <v>API Settlement Payment</v>
      </c>
      <c r="C204" t="str">
        <f>IF(INDEX(Haviz!$D:$D, 54)="", NA(), INDEX(Haviz!$D:$D, 54))</f>
        <v>Mengimplementasikan terminable middleware beserta model TcesIntegrationLog untuk mencatat audit trail API integrasi (Settlement dan Transaction v2), dengan penanganan sanitasi data dan request headers.</v>
      </c>
      <c r="D204" t="str">
        <f>IF(INDEX(Haviz!$D:$D, 54)="", NA(), INDEX(Haviz!$E:$E, 54))</f>
        <v>DONE</v>
      </c>
      <c r="E204" s="13">
        <f>IF(INDEX(Haviz!$D:$D, 54)="", NA(), INDEX(Haviz!$K:$K, 54))</f>
        <v>46290</v>
      </c>
      <c r="F204">
        <f t="shared" si="6"/>
        <v>1</v>
      </c>
      <c r="G204" s="13">
        <f>IF(INDEX(Haviz!$D:$D, 54)="", NA(), INDEX(Haviz!$L:$L, 54))</f>
        <v>46290</v>
      </c>
      <c r="H204" t="str">
        <f t="shared" si="7"/>
        <v>Haviz (Developer) - API Settlement Payment - Mengimplementasikan terminable middleware beserta model TcesIntegrationLog untuk mencatat audit trail API integrasi (Settlement dan Transaction v2), dengan penanganan sanitasi data dan request headers.</v>
      </c>
    </row>
    <row r="205" spans="1:8" x14ac:dyDescent="0.2">
      <c r="A205" t="str">
        <f>IF(INDEX(Haviz!$D:$D, 55)="", NA(), "Haviz (Developer)")</f>
        <v>Haviz (Developer)</v>
      </c>
      <c r="B205" t="str">
        <f>IF(INDEX(Haviz!$D:$D, 55)="", NA(), INDEX(Haviz!$B:$B, 55))</f>
        <v>API Settlement Payment</v>
      </c>
      <c r="C205" t="str">
        <f>IF(INDEX(Haviz!$D:$D, 55)="", NA(), INDEX(Haviz!$D:$D, 55))</f>
        <v>Membantu QA dan BA Monitoring &amp; Validasi Data di Database ketika melakukan testing integrasi API Settlement</v>
      </c>
      <c r="D205" t="str">
        <f>IF(INDEX(Haviz!$D:$D, 55)="", NA(), INDEX(Haviz!$E:$E, 55))</f>
        <v>DONE</v>
      </c>
      <c r="E205" s="13">
        <f>IF(INDEX(Haviz!$D:$D, 55)="", NA(), INDEX(Haviz!$K:$K, 55))</f>
        <v>46293</v>
      </c>
      <c r="F205">
        <f t="shared" si="6"/>
        <v>1</v>
      </c>
      <c r="G205" s="13">
        <f>IF(INDEX(Haviz!$D:$D, 55)="", NA(), INDEX(Haviz!$L:$L, 55))</f>
        <v>46293</v>
      </c>
      <c r="H205" t="str">
        <f t="shared" si="7"/>
        <v>Haviz (Developer) - API Settlement Payment - Membantu QA dan BA Monitoring &amp; Validasi Data di Database ketika melakukan testing integrasi API Settlement</v>
      </c>
    </row>
    <row r="206" spans="1:8" x14ac:dyDescent="0.2">
      <c r="A206" t="str">
        <f>IF(INDEX(Haviz!$D:$D, 56)="", NA(), "Haviz (Developer)")</f>
        <v>Haviz (Developer)</v>
      </c>
      <c r="B206" t="str">
        <f>IF(INDEX(Haviz!$D:$D, 56)="", NA(), INDEX(Haviz!$B:$B, 56))</f>
        <v>API Settlement Payment</v>
      </c>
      <c r="C206" t="str">
        <f>IF(INDEX(Haviz!$D:$D, 56)="", NA(), INDEX(Haviz!$D:$D, 56))</f>
        <v>Meeting API Settlement Payment - Kelanjutan Data Stagging</v>
      </c>
      <c r="D206" t="str">
        <f>IF(INDEX(Haviz!$D:$D, 56)="", NA(), INDEX(Haviz!$E:$E, 56))</f>
        <v>DONE</v>
      </c>
      <c r="E206" s="13">
        <f>IF(INDEX(Haviz!$D:$D, 56)="", NA(), INDEX(Haviz!$K:$K, 56))</f>
        <v>46293</v>
      </c>
      <c r="F206">
        <f t="shared" si="6"/>
        <v>1</v>
      </c>
      <c r="G206" s="13">
        <f>IF(INDEX(Haviz!$D:$D, 56)="", NA(), INDEX(Haviz!$L:$L, 56))</f>
        <v>46293</v>
      </c>
      <c r="H206" t="str">
        <f t="shared" si="7"/>
        <v>Haviz (Developer) - API Settlement Payment - Meeting API Settlement Payment - Kelanjutan Data Stagging</v>
      </c>
    </row>
    <row r="207" spans="1:8" x14ac:dyDescent="0.2">
      <c r="A207" t="str">
        <f>IF(INDEX(Haviz!$D:$D, 57)="", NA(), "Haviz (Developer)")</f>
        <v>Haviz (Developer)</v>
      </c>
      <c r="B207" t="str">
        <f>IF(INDEX(Haviz!$D:$D, 57)="", NA(), INDEX(Haviz!$B:$B, 57))</f>
        <v>API Settlement Payment</v>
      </c>
      <c r="C207" t="str">
        <f>IF(INDEX(Haviz!$D:$D, 57)="", NA(), INDEX(Haviz!$D:$D, 57))</f>
        <v>Menambahkan aturan validasi dengan menerapkan format string numerik dua desimal non-negatif untuk field finansial, validasi standar tanggal-waktu (rq_datetime dan settlement_date), serta memastikan keunikan setiap tx_id menggunakan aturan distinct.</v>
      </c>
      <c r="D207" t="str">
        <f>IF(INDEX(Haviz!$D:$D, 57)="", NA(), INDEX(Haviz!$E:$E, 57))</f>
        <v>DONE</v>
      </c>
      <c r="E207" s="13">
        <f>IF(INDEX(Haviz!$D:$D, 57)="", NA(), INDEX(Haviz!$K:$K, 57))</f>
        <v>46294</v>
      </c>
      <c r="F207">
        <f t="shared" si="6"/>
        <v>1</v>
      </c>
      <c r="G207" s="13">
        <f>IF(INDEX(Haviz!$D:$D, 57)="", NA(), INDEX(Haviz!$L:$L, 57))</f>
        <v>46294</v>
      </c>
      <c r="H207" t="str">
        <f t="shared" si="7"/>
        <v>Haviz (Developer) - API Settlement Payment - Menambahkan aturan validasi dengan menerapkan format string numerik dua desimal non-negatif untuk field finansial, validasi standar tanggal-waktu (rq_datetime dan settlement_date), serta memastikan keunikan setiap tx_id menggunakan aturan distinct.</v>
      </c>
    </row>
    <row r="208" spans="1:8" ht="116" customHeight="1" x14ac:dyDescent="0.2">
      <c r="A208" t="str">
        <f>IF(INDEX(Haviz!$D:$D, 58)="", NA(), "Haviz (Developer)")</f>
        <v>Haviz (Developer)</v>
      </c>
      <c r="B208" t="str">
        <f>IF(INDEX(Haviz!$D:$D, 58)="", NA(), INDEX(Haviz!$B:$B, 58))</f>
        <v>API Settlement Payment</v>
      </c>
      <c r="C208" t="str">
        <f>IF(INDEX(Haviz!$D:$D, 58)="", NA(), INDEX(Haviz!$D:$D, 58))</f>
        <v>Membantu QA dan BA Monitoring &amp; Validasi Data di Database ketika melakukan testing integrasi API Settlement</v>
      </c>
      <c r="D208" t="str">
        <f>IF(INDEX(Haviz!$D:$D, 58)="", NA(), INDEX(Haviz!$E:$E, 58))</f>
        <v>DONE</v>
      </c>
      <c r="E208" s="13">
        <f>IF(INDEX(Haviz!$D:$D, 58)="", NA(), INDEX(Haviz!$K:$K, 58))</f>
        <v>46294</v>
      </c>
      <c r="F208">
        <f t="shared" si="6"/>
        <v>1</v>
      </c>
      <c r="G208" s="13">
        <f>IF(INDEX(Haviz!$D:$D, 58)="", NA(), INDEX(Haviz!$L:$L, 58))</f>
        <v>46294</v>
      </c>
      <c r="H208" t="str">
        <f t="shared" si="7"/>
        <v>Haviz (Developer) - API Settlement Payment - Membantu QA dan BA Monitoring &amp; Validasi Data di Database ketika melakukan testing integrasi API Settlement</v>
      </c>
    </row>
    <row r="209" spans="1:8" ht="101.5" customHeight="1" x14ac:dyDescent="0.2">
      <c r="A209" t="str">
        <f>IF(INDEX(Haviz!$D:$D, 59)="", NA(), "Haviz (Developer)")</f>
        <v>Haviz (Developer)</v>
      </c>
      <c r="B209" t="str">
        <f>IF(INDEX(Haviz!$D:$D, 59)="", NA(), INDEX(Haviz!$B:$B, 59))</f>
        <v>API Settlement Payment</v>
      </c>
      <c r="C209" t="str">
        <f>IF(INDEX(Haviz!$D:$D, 59)="", NA(), INDEX(Haviz!$D:$D, 59))</f>
        <v>Melakukan sinkronisasi codebase dengan dokumen TSD bersama Technical Writter</v>
      </c>
      <c r="D209" t="str">
        <f>IF(INDEX(Haviz!$D:$D, 59)="", NA(), INDEX(Haviz!$E:$E, 59))</f>
        <v>DONE</v>
      </c>
      <c r="E209" s="13">
        <f>IF(INDEX(Haviz!$D:$D, 59)="", NA(), INDEX(Haviz!$K:$K, 59))</f>
        <v>46295</v>
      </c>
      <c r="F209">
        <f t="shared" si="6"/>
        <v>1</v>
      </c>
      <c r="G209" s="13">
        <f>IF(INDEX(Haviz!$D:$D, 59)="", NA(), INDEX(Haviz!$L:$L, 59))</f>
        <v>46295</v>
      </c>
      <c r="H209" t="str">
        <f t="shared" si="7"/>
        <v>Haviz (Developer) - API Settlement Payment - Melakukan sinkronisasi codebase dengan dokumen TSD bersama Technical Writter</v>
      </c>
    </row>
    <row r="210" spans="1:8" ht="87" customHeight="1" x14ac:dyDescent="0.2">
      <c r="A210" t="str">
        <f>IF(INDEX(Haviz!$D:$D, 60)="", NA(), "Haviz (Developer)")</f>
        <v>Haviz (Developer)</v>
      </c>
      <c r="B210" t="str">
        <f>IF(INDEX(Haviz!$D:$D, 60)="", NA(), INDEX(Haviz!$B:$B, 60))</f>
        <v>API Settlement Payment</v>
      </c>
      <c r="C210" t="str">
        <f>IF(INDEX(Haviz!$D:$D, 60)="", NA(), INDEX(Haviz!$D:$D, 60))</f>
        <v>Membantu QA dan BA Monitoring &amp; Validasi Data di Database ketika melakukan testing integrasi API Settlement</v>
      </c>
      <c r="D210" t="str">
        <f>IF(INDEX(Haviz!$D:$D, 60)="", NA(), INDEX(Haviz!$E:$E, 60))</f>
        <v>DONE</v>
      </c>
      <c r="E210" s="13">
        <f>IF(INDEX(Haviz!$D:$D, 60)="", NA(), INDEX(Haviz!$K:$K, 60))</f>
        <v>46295</v>
      </c>
      <c r="F210">
        <f t="shared" si="6"/>
        <v>1</v>
      </c>
      <c r="G210" s="13">
        <f>IF(INDEX(Haviz!$D:$D, 60)="", NA(), INDEX(Haviz!$L:$L, 60))</f>
        <v>46295</v>
      </c>
      <c r="H210" t="str">
        <f t="shared" si="7"/>
        <v>Haviz (Developer) - API Settlement Payment - Membantu QA dan BA Monitoring &amp; Validasi Data di Database ketika melakukan testing integrasi API Settlement</v>
      </c>
    </row>
    <row r="211" spans="1:8" ht="72.5" customHeight="1" x14ac:dyDescent="0.2">
      <c r="A211" t="str">
        <f>IF(INDEX(Haviz!$D:$D, 61)="", NA(), "Haviz (Developer)")</f>
        <v>Haviz (Developer)</v>
      </c>
      <c r="B211" t="str">
        <f>IF(INDEX(Haviz!$D:$D, 61)="", NA(), INDEX(Haviz!$B:$B, 61))</f>
        <v>API Settlement Payment</v>
      </c>
      <c r="C211" t="str">
        <f>IF(INDEX(Haviz!$D:$D, 61)="", NA(), INDEX(Haviz!$D:$D, 61))</f>
        <v>Membantu QA dan BA Monitoring &amp; Validasi Data di Database ketika melakukan testing integrasi API Settlement</v>
      </c>
      <c r="D211" t="str">
        <f>IF(INDEX(Haviz!$D:$D, 61)="", NA(), INDEX(Haviz!$E:$E, 61))</f>
        <v>DONE</v>
      </c>
      <c r="E211" s="13">
        <f>IF(INDEX(Haviz!$D:$D, 61)="", NA(), INDEX(Haviz!$K:$K, 61))</f>
        <v>46296</v>
      </c>
      <c r="F211">
        <f t="shared" si="6"/>
        <v>1</v>
      </c>
      <c r="G211" s="13">
        <f>IF(INDEX(Haviz!$D:$D, 61)="", NA(), INDEX(Haviz!$L:$L, 61))</f>
        <v>46297</v>
      </c>
      <c r="H211" t="str">
        <f t="shared" si="7"/>
        <v>Haviz (Developer) - API Settlement Payment - Membantu QA dan BA Monitoring &amp; Validasi Data di Database ketika melakukan testing integrasi API Settlement</v>
      </c>
    </row>
    <row r="212" spans="1:8" ht="87" customHeight="1" x14ac:dyDescent="0.2">
      <c r="A212" t="str">
        <f>IF(INDEX(Haviz!$D:$D, 62)="", NA(), "Haviz (Developer)")</f>
        <v>Haviz (Developer)</v>
      </c>
      <c r="B212" t="str">
        <f>IF(INDEX(Haviz!$D:$D, 62)="", NA(), INDEX(Haviz!$B:$B, 62))</f>
        <v>API Settlement Payment</v>
      </c>
      <c r="C212" t="str">
        <f>IF(INDEX(Haviz!$D:$D, 62)="", NA(), INDEX(Haviz!$D:$D, 62))</f>
        <v>Menyiapkan skenario untuk batas retry untuk scheduler syncMissingSettlementDocs() agar tidak terus menerus menarik data terupdate jika sudah melebihi batas yang ditentukan.</v>
      </c>
      <c r="D212" t="str">
        <f>IF(INDEX(Haviz!$D:$D, 62)="", NA(), INDEX(Haviz!$E:$E, 62))</f>
        <v>DONE</v>
      </c>
      <c r="E212" s="13">
        <f>IF(INDEX(Haviz!$D:$D, 62)="", NA(), INDEX(Haviz!$K:$K, 62))</f>
        <v>46300</v>
      </c>
      <c r="F212">
        <f t="shared" si="6"/>
        <v>1</v>
      </c>
      <c r="G212" s="13">
        <f>IF(INDEX(Haviz!$D:$D, 62)="", NA(), INDEX(Haviz!$L:$L, 62))</f>
        <v>46300</v>
      </c>
      <c r="H212" t="str">
        <f t="shared" si="7"/>
        <v>Haviz (Developer) - API Settlement Payment - Menyiapkan skenario untuk batas retry untuk scheduler syncMissingSettlementDocs() agar tidak terus menerus menarik data terupdate jika sudah melebihi batas yang ditentukan.</v>
      </c>
    </row>
    <row r="213" spans="1:8" ht="87" customHeight="1" x14ac:dyDescent="0.2">
      <c r="A213" t="str">
        <f>IF(INDEX(Haviz!$D:$D, 63)="", NA(), "Haviz (Developer)")</f>
        <v>Haviz (Developer)</v>
      </c>
      <c r="B213" t="str">
        <f>IF(INDEX(Haviz!$D:$D, 63)="", NA(), INDEX(Haviz!$B:$B, 63))</f>
        <v>API Settlement Payment</v>
      </c>
      <c r="C213" t="str">
        <f>IF(INDEX(Haviz!$D:$D, 63)="", NA(), INDEX(Haviz!$D:$D, 63))</f>
        <v>Implementasi batas retry scheduler syncMissingSettlementDocs() max 7hari</v>
      </c>
      <c r="D213" t="str">
        <f>IF(INDEX(Haviz!$D:$D, 63)="", NA(), INDEX(Haviz!$E:$E, 63))</f>
        <v>DONE</v>
      </c>
      <c r="E213" s="13">
        <f>IF(INDEX(Haviz!$D:$D, 63)="", NA(), INDEX(Haviz!$K:$K, 63))</f>
        <v>46301</v>
      </c>
      <c r="F213">
        <f t="shared" si="6"/>
        <v>1</v>
      </c>
      <c r="G213" s="13">
        <f>IF(INDEX(Haviz!$D:$D, 63)="", NA(), INDEX(Haviz!$L:$L, 63))</f>
        <v>46302</v>
      </c>
      <c r="H213" t="str">
        <f t="shared" si="7"/>
        <v>Haviz (Developer) - API Settlement Payment - Implementasi batas retry scheduler syncMissingSettlementDocs() max 7hari</v>
      </c>
    </row>
    <row r="214" spans="1:8" x14ac:dyDescent="0.2">
      <c r="A214" t="str">
        <f>IF(INDEX(Haviz!$D:$D, 64)="", NA(), "Haviz (Developer)")</f>
        <v>Haviz (Developer)</v>
      </c>
      <c r="B214" t="str">
        <f>IF(INDEX(Haviz!$D:$D, 64)="", NA(), INDEX(Haviz!$B:$B, 64))</f>
        <v>Integrasi TCES Claim - BengkelNet</v>
      </c>
      <c r="C214" t="str">
        <f>IF(INDEX(Haviz!$D:$D, 64)="", NA(), INDEX(Haviz!$D:$D, 64))</f>
        <v>Meeting Integrasi Claim &amp; Settlement TCES x Bengkel.net x Tugu</v>
      </c>
      <c r="D214" t="str">
        <f>IF(INDEX(Haviz!$D:$D, 64)="", NA(), INDEX(Haviz!$E:$E, 64))</f>
        <v>DONE</v>
      </c>
      <c r="E214" s="13">
        <f>IF(INDEX(Haviz!$D:$D, 64)="", NA(), INDEX(Haviz!$K:$K, 64))</f>
        <v>46301</v>
      </c>
      <c r="F214">
        <f t="shared" si="6"/>
        <v>1</v>
      </c>
      <c r="G214" s="13">
        <f>IF(INDEX(Haviz!$D:$D, 64)="", NA(), INDEX(Haviz!$L:$L, 64))</f>
        <v>46301</v>
      </c>
      <c r="H214" t="str">
        <f t="shared" si="7"/>
        <v>Haviz (Developer) - Integrasi TCES Claim - BengkelNet - Meeting Integrasi Claim &amp; Settlement TCES x Bengkel.net x Tugu</v>
      </c>
    </row>
    <row r="215" spans="1:8" ht="43.5" customHeight="1" x14ac:dyDescent="0.2">
      <c r="A215" t="str">
        <f>IF(INDEX(Haviz!$D:$D, 65)="", NA(), "Haviz (Developer)")</f>
        <v>Haviz (Developer)</v>
      </c>
      <c r="B215" t="str">
        <f>IF(INDEX(Haviz!$D:$D, 65)="", NA(), INDEX(Haviz!$B:$B, 65))</f>
        <v>API Settlement Payment</v>
      </c>
      <c r="C215" t="str">
        <f>IF(INDEX(Haviz!$D:$D, 65)="", NA(), INDEX(Haviz!$D:$D, 65))</f>
        <v>Membantu QA dan BA Monitoring &amp; Validasi Data di Database ketika melakukan testing integrasi API Settlement sekaligus testing batas scheduler syncMissingSettlementDocs()</v>
      </c>
      <c r="D215" t="str">
        <f>IF(INDEX(Haviz!$D:$D, 65)="", NA(), INDEX(Haviz!$E:$E, 65))</f>
        <v>DONE</v>
      </c>
      <c r="E215" s="13">
        <f>IF(INDEX(Haviz!$D:$D, 65)="", NA(), INDEX(Haviz!$K:$K, 65))</f>
        <v>46302</v>
      </c>
      <c r="F215">
        <f t="shared" si="6"/>
        <v>1</v>
      </c>
      <c r="G215" s="13">
        <f>IF(INDEX(Haviz!$D:$D, 65)="", NA(), INDEX(Haviz!$L:$L, 65))</f>
        <v>46302</v>
      </c>
      <c r="H215" t="str">
        <f t="shared" si="7"/>
        <v>Haviz (Developer) - API Settlement Payment - Membantu QA dan BA Monitoring &amp; Validasi Data di Database ketika melakukan testing integrasi API Settlement sekaligus testing batas scheduler syncMissingSettlementDocs()</v>
      </c>
    </row>
    <row r="216" spans="1:8" ht="116" customHeight="1" x14ac:dyDescent="0.2">
      <c r="A216" t="str">
        <f>IF(INDEX(Haviz!$D:$D, 66)="", NA(), "Haviz (Developer)")</f>
        <v>Haviz (Developer)</v>
      </c>
      <c r="B216" t="str">
        <f>IF(INDEX(Haviz!$D:$D, 66)="", NA(), INDEX(Haviz!$B:$B, 66))</f>
        <v>API Settlement Payment</v>
      </c>
      <c r="C216" t="str">
        <f>IF(INDEX(Haviz!$D:$D, 66)="", NA(), INDEX(Haviz!$D:$D, 66))</f>
        <v>Melakukan validasi pada dokumen TSD agar sesuai dengan codebase yang diimplementasikan</v>
      </c>
      <c r="D216" t="str">
        <f>IF(INDEX(Haviz!$D:$D, 66)="", NA(), INDEX(Haviz!$E:$E, 66))</f>
        <v>DONE</v>
      </c>
      <c r="E216" s="13">
        <f>IF(INDEX(Haviz!$D:$D, 66)="", NA(), INDEX(Haviz!$K:$K, 66))</f>
        <v>46303</v>
      </c>
      <c r="F216">
        <f t="shared" si="6"/>
        <v>1</v>
      </c>
      <c r="G216" s="13">
        <f>IF(INDEX(Haviz!$D:$D, 66)="", NA(), INDEX(Haviz!$L:$L, 66))</f>
        <v>46303</v>
      </c>
      <c r="H216" t="str">
        <f t="shared" si="7"/>
        <v>Haviz (Developer) - API Settlement Payment - Melakukan validasi pada dokumen TSD agar sesuai dengan codebase yang diimplementasikan</v>
      </c>
    </row>
    <row r="217" spans="1:8" ht="87" customHeight="1" x14ac:dyDescent="0.2">
      <c r="A217" t="str">
        <f>IF(INDEX(Haviz!$D:$D, 67)="", NA(), "Haviz (Developer)")</f>
        <v>Haviz (Developer)</v>
      </c>
      <c r="B217" t="str">
        <f>IF(INDEX(Haviz!$D:$D, 67)="", NA(), INDEX(Haviz!$B:$B, 67))</f>
        <v>API Settlement Payment</v>
      </c>
      <c r="C217" t="str">
        <f>IF(INDEX(Haviz!$D:$D, 67)="", NA(), INDEX(Haviz!$D:$D, 67))</f>
        <v>Implementasi filter tanggal sinkronisasi missing settlement menjadi 5 hari yang dapat dikonfigurasi secara dinamis melalui .env (SETTLEMENT_SYNC_DAYS) beserta penyelarasan pada service dan command terkait</v>
      </c>
      <c r="D217" t="str">
        <f>IF(INDEX(Haviz!$D:$D, 67)="", NA(), INDEX(Haviz!$E:$E, 67))</f>
        <v>DONE</v>
      </c>
      <c r="E217" s="13">
        <f>IF(INDEX(Haviz!$D:$D, 67)="", NA(), INDEX(Haviz!$K:$K, 67))</f>
        <v>46304</v>
      </c>
      <c r="F217">
        <f t="shared" si="6"/>
        <v>1</v>
      </c>
      <c r="G217" s="13">
        <f>IF(INDEX(Haviz!$D:$D, 67)="", NA(), INDEX(Haviz!$L:$L, 67))</f>
        <v>46304</v>
      </c>
      <c r="H217" t="str">
        <f t="shared" si="7"/>
        <v>Haviz (Developer) - API Settlement Payment - Implementasi filter tanggal sinkronisasi missing settlement menjadi 5 hari yang dapat dikonfigurasi secara dinamis melalui .env (SETTLEMENT_SYNC_DAYS) beserta penyelarasan pada service dan command terkait</v>
      </c>
    </row>
    <row r="218" spans="1:8" ht="72.5" customHeight="1" x14ac:dyDescent="0.2">
      <c r="A218" t="str">
        <f>IF(INDEX(Haviz!$D:$D, 68)="", NA(), "Haviz (Developer)")</f>
        <v>Haviz (Developer)</v>
      </c>
      <c r="B218" t="str">
        <f>IF(INDEX(Haviz!$D:$D, 68)="", NA(), INDEX(Haviz!$B:$B, 68))</f>
        <v>VIRTUAL ACCOUNT</v>
      </c>
      <c r="C218" t="str">
        <f>IF(INDEX(Haviz!$D:$D, 68)="", NA(), INDEX(Haviz!$D:$D, 68))</f>
        <v>Melakukan riset mengenai deployment .NET ke GCP</v>
      </c>
      <c r="D218" t="str">
        <f>IF(INDEX(Haviz!$D:$D, 68)="", NA(), INDEX(Haviz!$E:$E, 68))</f>
        <v>IN_PROGRESS</v>
      </c>
      <c r="E218" s="13">
        <f>IF(INDEX(Haviz!$D:$D, 68)="", NA(), INDEX(Haviz!$K:$K, 68))</f>
        <v>46307</v>
      </c>
      <c r="F218">
        <f t="shared" si="6"/>
        <v>4</v>
      </c>
      <c r="G218" s="13">
        <f>IF(INDEX(Haviz!$D:$D, 68)="", NA(), INDEX(Haviz!$L:$L, 68))</f>
        <v>46311</v>
      </c>
      <c r="H218" t="str">
        <f t="shared" si="7"/>
        <v>Haviz (Developer) - VIRTUAL ACCOUNT - Melakukan riset mengenai deployment .NET ke GCP</v>
      </c>
    </row>
    <row r="219" spans="1:8" ht="116" customHeight="1" x14ac:dyDescent="0.2">
      <c r="A219" t="str">
        <f>IF(INDEX(Haviz!$D:$D, 69)="", NA(), "Haviz (Developer)")</f>
        <v>Haviz (Developer)</v>
      </c>
      <c r="B219" t="str">
        <f>IF(INDEX(Haviz!$D:$D, 69)="", NA(), INDEX(Haviz!$B:$B, 69))</f>
        <v>API Settlement Payment</v>
      </c>
      <c r="C219" t="str">
        <f>IF(INDEX(Haviz!$D:$D, 69)="", NA(), INDEX(Haviz!$D:$D, 69))</f>
        <v>Melakukan validasi dan sinkronisasi pada dokumen FSD agar sesuai dengan codebase yang diimplementasikan</v>
      </c>
      <c r="D219" t="str">
        <f>IF(INDEX(Haviz!$D:$D, 69)="", NA(), INDEX(Haviz!$E:$E, 69))</f>
        <v>DONE</v>
      </c>
      <c r="E219" s="13">
        <f>IF(INDEX(Haviz!$D:$D, 69)="", NA(), INDEX(Haviz!$K:$K, 69))</f>
        <v>46308</v>
      </c>
      <c r="F219">
        <f t="shared" si="6"/>
        <v>1</v>
      </c>
      <c r="G219" s="13">
        <f>IF(INDEX(Haviz!$D:$D, 69)="", NA(), INDEX(Haviz!$L:$L, 69))</f>
        <v>46308</v>
      </c>
      <c r="H219" t="str">
        <f t="shared" si="7"/>
        <v>Haviz (Developer) - API Settlement Payment - Melakukan validasi dan sinkronisasi pada dokumen FSD agar sesuai dengan codebase yang diimplementasikan</v>
      </c>
    </row>
    <row r="220" spans="1:8" ht="87" customHeight="1" x14ac:dyDescent="0.2">
      <c r="A220" t="str">
        <f>IF(INDEX(Haviz!$D:$D, 70)="", NA(), "Haviz (Developer)")</f>
        <v>Haviz (Developer)</v>
      </c>
      <c r="B220" t="str">
        <f>IF(INDEX(Haviz!$D:$D, 70)="", NA(), INDEX(Haviz!$B:$B, 70))</f>
        <v>Integrasi TCES TICS</v>
      </c>
      <c r="C220" t="str">
        <f>IF(INDEX(Haviz!$D:$D, 70)="", NA(), INDEX(Haviz!$D:$D, 70))</f>
        <v>Melakukan perbaikan pada case false positive di middleware IntegrationCryptoVerifyService ketika kondisi payload tidak memiliki atribut insured namun tetap menjalankan proses decrypt yang seharusnya dilewati</v>
      </c>
      <c r="D220" t="str">
        <f>IF(INDEX(Haviz!$D:$D, 70)="", NA(), INDEX(Haviz!$E:$E, 70))</f>
        <v>DONE</v>
      </c>
      <c r="E220" s="13">
        <f>IF(INDEX(Haviz!$D:$D, 70)="", NA(), INDEX(Haviz!$K:$K, 70))</f>
        <v>46309</v>
      </c>
      <c r="F220">
        <f t="shared" si="6"/>
        <v>1</v>
      </c>
      <c r="G220" s="13">
        <f>IF(INDEX(Haviz!$D:$D, 70)="", NA(), INDEX(Haviz!$L:$L, 70))</f>
        <v>46309</v>
      </c>
      <c r="H220" t="str">
        <f t="shared" si="7"/>
        <v>Haviz (Developer) - Integrasi TCES TICS - Melakukan perbaikan pada case false positive di middleware IntegrationCryptoVerifyService ketika kondisi payload tidak memiliki atribut insured namun tetap menjalankan proses decrypt yang seharusnya dilewati</v>
      </c>
    </row>
    <row r="221" spans="1:8" ht="72.5" customHeight="1" x14ac:dyDescent="0.2">
      <c r="A221" t="str">
        <f>IF(INDEX(Haviz!$D:$D, 71)="", NA(), "Haviz (Developer)")</f>
        <v>Haviz (Developer)</v>
      </c>
      <c r="B221" t="str">
        <f>IF(INDEX(Haviz!$D:$D, 71)="", NA(), INDEX(Haviz!$B:$B, 71))</f>
        <v>Integrasi TCES TICS</v>
      </c>
      <c r="C221" t="str">
        <f>IF(INDEX(Haviz!$D:$D, 71)="", NA(), INDEX(Haviz!$D:$D, 71))</f>
        <v>Sanitasi Error code 500 pada endpoint transaksi dan settlement</v>
      </c>
      <c r="D221" t="str">
        <f>IF(INDEX(Haviz!$D:$D, 71)="", NA(), INDEX(Haviz!$E:$E, 71))</f>
        <v>DONE</v>
      </c>
      <c r="E221" s="13">
        <f>IF(INDEX(Haviz!$D:$D, 71)="", NA(), INDEX(Haviz!$K:$K, 71))</f>
        <v>46310</v>
      </c>
      <c r="F221">
        <f t="shared" si="6"/>
        <v>1</v>
      </c>
      <c r="G221" s="13">
        <f>IF(INDEX(Haviz!$D:$D, 71)="", NA(), INDEX(Haviz!$L:$L, 71))</f>
        <v>46310</v>
      </c>
      <c r="H221" t="str">
        <f t="shared" si="7"/>
        <v>Haviz (Developer) - Integrasi TCES TICS - Sanitasi Error code 500 pada endpoint transaksi dan settlement</v>
      </c>
    </row>
    <row r="222" spans="1:8" ht="101.5" customHeight="1" x14ac:dyDescent="0.2">
      <c r="A222" t="str">
        <f>IF(INDEX(Haviz!$D:$D, 72)="", NA(), "Haviz (Developer)")</f>
        <v>Haviz (Developer)</v>
      </c>
      <c r="B222" t="str">
        <f>IF(INDEX(Haviz!$D:$D, 72)="", NA(), INDEX(Haviz!$B:$B, 72))</f>
        <v>Integrasi TCES TICS</v>
      </c>
      <c r="C222" t="str">
        <f>IF(INDEX(Haviz!$D:$D, 72)="", NA(), INDEX(Haviz!$D:$D, 72))</f>
        <v>Menghapus Kunci Privat RSA yang Tertulis Langsung pada Berkas Konfigurasi Git. Pengamanan Sistem Kriptografi Kini Dialihkan ke Variabel Environment Menggunakan Prinsip Fail-Closed.</v>
      </c>
      <c r="D222" t="str">
        <f>IF(INDEX(Haviz!$D:$D, 72)="", NA(), INDEX(Haviz!$E:$E, 72))</f>
        <v>DONE</v>
      </c>
      <c r="E222" s="13">
        <f>IF(INDEX(Haviz!$D:$D, 72)="", NA(), INDEX(Haviz!$K:$K, 72))</f>
        <v>46310</v>
      </c>
      <c r="F222">
        <f t="shared" si="6"/>
        <v>1</v>
      </c>
      <c r="G222" s="13">
        <f>IF(INDEX(Haviz!$D:$D, 72)="", NA(), INDEX(Haviz!$L:$L, 72))</f>
        <v>46310</v>
      </c>
      <c r="H222" t="str">
        <f t="shared" si="7"/>
        <v>Haviz (Developer) - Integrasi TCES TICS - Menghapus Kunci Privat RSA yang Tertulis Langsung pada Berkas Konfigurasi Git. Pengamanan Sistem Kriptografi Kini Dialihkan ke Variabel Environment Menggunakan Prinsip Fail-Closed.</v>
      </c>
    </row>
    <row r="223" spans="1:8" ht="87" customHeight="1" x14ac:dyDescent="0.2">
      <c r="A223" t="str">
        <f>IF(INDEX(Haviz!$D:$D, 73)="", NA(), "Haviz (Developer)")</f>
        <v>Haviz (Developer)</v>
      </c>
      <c r="B223" t="str">
        <f>IF(INDEX(Haviz!$D:$D, 73)="", NA(), INDEX(Haviz!$B:$B, 73))</f>
        <v>Integrasi TCES TICS</v>
      </c>
      <c r="C223" t="str">
        <f>IF(INDEX(Haviz!$D:$D, 73)="", NA(), INDEX(Haviz!$D:$D, 73))</f>
        <v>Melakukan sinkronisasi pada dokumen TSD agar sesuai dengan codebase yang diimplementasikan</v>
      </c>
      <c r="D223" t="str">
        <f>IF(INDEX(Haviz!$D:$D, 73)="", NA(), INDEX(Haviz!$E:$E, 73))</f>
        <v>DONE</v>
      </c>
      <c r="E223" s="13">
        <f>IF(INDEX(Haviz!$D:$D, 73)="", NA(), INDEX(Haviz!$K:$K, 73))</f>
        <v>46311</v>
      </c>
      <c r="F223">
        <f t="shared" si="6"/>
        <v>1</v>
      </c>
      <c r="G223" s="13">
        <f>IF(INDEX(Haviz!$D:$D, 73)="", NA(), INDEX(Haviz!$L:$L, 73))</f>
        <v>46311</v>
      </c>
      <c r="H223" t="str">
        <f t="shared" si="7"/>
        <v>Haviz (Developer) - Integrasi TCES TICS - Melakukan sinkronisasi pada dokumen TSD agar sesuai dengan codebase yang diimplementasikan</v>
      </c>
    </row>
    <row r="224" spans="1:8" ht="72.5" customHeight="1" x14ac:dyDescent="0.2">
      <c r="A224" t="str">
        <f>IF(INDEX(Haviz!$D:$D, 74)="", NA(), "Haviz (Developer)")</f>
        <v>Haviz (Developer)</v>
      </c>
      <c r="B224" t="str">
        <f>IF(INDEX(Haviz!$D:$D, 74)="", NA(), INDEX(Haviz!$B:$B, 74))</f>
        <v>Integrasi TCES Claim - BengkelNet</v>
      </c>
      <c r="C224" t="str">
        <f>IF(INDEX(Haviz!$D:$D, 74)="", NA(), INDEX(Haviz!$D:$D, 74))</f>
        <v>Mempelajari Dokumentasi API Bengkel.net Claim</v>
      </c>
      <c r="D224" t="str">
        <f>IF(INDEX(Haviz!$D:$D, 74)="", NA(), INDEX(Haviz!$E:$E, 74))</f>
        <v>DONE</v>
      </c>
      <c r="E224" s="13">
        <f>IF(INDEX(Haviz!$D:$D, 74)="", NA(), INDEX(Haviz!$K:$K, 74))</f>
        <v>46314</v>
      </c>
      <c r="F224">
        <f t="shared" si="6"/>
        <v>1</v>
      </c>
      <c r="G224" s="13">
        <f>IF(INDEX(Haviz!$D:$D, 74)="", NA(), INDEX(Haviz!$L:$L, 74))</f>
        <v>46314</v>
      </c>
      <c r="H224" t="str">
        <f t="shared" si="7"/>
        <v>Haviz (Developer) - Integrasi TCES Claim - BengkelNet - Mempelajari Dokumentasi API Bengkel.net Claim</v>
      </c>
    </row>
    <row r="225" spans="1:8" ht="72.5" customHeight="1" x14ac:dyDescent="0.2">
      <c r="A225" t="str">
        <f>IF(INDEX(Haviz!$D:$D, 75)="", NA(), "Haviz (Developer)")</f>
        <v>Haviz (Developer)</v>
      </c>
      <c r="B225" t="str">
        <f>IF(INDEX(Haviz!$D:$D, 75)="", NA(), INDEX(Haviz!$B:$B, 75))</f>
        <v>Integrasi TCES Claim - BengkelNet</v>
      </c>
      <c r="C225" t="str">
        <f>IF(INDEX(Haviz!$D:$D, 75)="", NA(), INDEX(Haviz!$D:$D, 75))</f>
        <v>Koordinasi dengan tim TCES (Mas Rifqi) terkait pembuatan endpoint untuk pengecekan Polis yang sudah ter-ekstraksi untuk melakukan claim ke bengkel.net</v>
      </c>
      <c r="D225" t="str">
        <f>IF(INDEX(Haviz!$D:$D, 75)="", NA(), INDEX(Haviz!$E:$E, 75))</f>
        <v>DONE</v>
      </c>
      <c r="E225" s="13">
        <f>IF(INDEX(Haviz!$D:$D, 75)="", NA(), INDEX(Haviz!$K:$K, 75))</f>
        <v>46315</v>
      </c>
      <c r="F225">
        <f t="shared" si="6"/>
        <v>1</v>
      </c>
      <c r="G225" s="13">
        <f>IF(INDEX(Haviz!$D:$D, 75)="", NA(), INDEX(Haviz!$L:$L, 75))</f>
        <v>46315</v>
      </c>
      <c r="H225" t="str">
        <f t="shared" si="7"/>
        <v>Haviz (Developer) - Integrasi TCES Claim - BengkelNet - Koordinasi dengan tim TCES (Mas Rifqi) terkait pembuatan endpoint untuk pengecekan Polis yang sudah ter-ekstraksi untuk melakukan claim ke bengkel.net</v>
      </c>
    </row>
    <row r="226" spans="1:8" ht="101.5" customHeight="1" x14ac:dyDescent="0.2">
      <c r="A226" t="str">
        <f>IF(INDEX(Haviz!$D:$D, 76)="", NA(), "Haviz (Developer)")</f>
        <v>Haviz (Developer)</v>
      </c>
      <c r="B226" t="str">
        <f>IF(INDEX(Haviz!$D:$D, 76)="", NA(), INDEX(Haviz!$B:$B, 76))</f>
        <v>Integrasi TCES Claim - BengkelNet</v>
      </c>
      <c r="C226" t="str">
        <f>IF(INDEX(Haviz!$D:$D, 76)="", NA(), INDEX(Haviz!$D:$D, 76))</f>
        <v>Menyiapkan API Specification untuk Endpoint Policy Check bersama Technical Writer</v>
      </c>
      <c r="D226" t="str">
        <f>IF(INDEX(Haviz!$D:$D, 76)="", NA(), INDEX(Haviz!$E:$E, 76))</f>
        <v>DONE</v>
      </c>
      <c r="E226" s="13">
        <f>IF(INDEX(Haviz!$D:$D, 76)="", NA(), INDEX(Haviz!$K:$K, 76))</f>
        <v>46316</v>
      </c>
      <c r="F226">
        <f t="shared" si="6"/>
        <v>1</v>
      </c>
      <c r="G226" s="13">
        <f>IF(INDEX(Haviz!$D:$D, 76)="", NA(), INDEX(Haviz!$L:$L, 76))</f>
        <v>46316</v>
      </c>
      <c r="H226" t="str">
        <f t="shared" si="7"/>
        <v>Haviz (Developer) - Integrasi TCES Claim - BengkelNet - Menyiapkan API Specification untuk Endpoint Policy Check bersama Technical Writer</v>
      </c>
    </row>
    <row r="227" spans="1:8" ht="116" customHeight="1" x14ac:dyDescent="0.2">
      <c r="A227" t="str">
        <f>IF(INDEX(Haviz!$D:$D, 77)="", NA(), "Haviz (Developer)")</f>
        <v>Haviz (Developer)</v>
      </c>
      <c r="B227" t="str">
        <f>IF(INDEX(Haviz!$D:$D, 77)="", NA(), INDEX(Haviz!$B:$B, 77))</f>
        <v>Integrasi TCES Claim - BengkelNet</v>
      </c>
      <c r="C227" t="str">
        <f>IF(INDEX(Haviz!$D:$D, 77)="", NA(), INDEX(Haviz!$D:$D, 77))</f>
        <v>Implementasi endpoint baru POST /api/v2/tics/policy/check-status untuk memeriksa kesiapan klaim polis secara bulk</v>
      </c>
      <c r="D227" t="str">
        <f>IF(INDEX(Haviz!$D:$D, 77)="", NA(), INDEX(Haviz!$E:$E, 77))</f>
        <v>DONE</v>
      </c>
      <c r="E227" s="13">
        <f>IF(INDEX(Haviz!$D:$D, 77)="", NA(), INDEX(Haviz!$K:$K, 77))</f>
        <v>46317</v>
      </c>
      <c r="F227">
        <f t="shared" si="6"/>
        <v>1</v>
      </c>
      <c r="G227" s="13">
        <f>IF(INDEX(Haviz!$D:$D, 77)="", NA(), INDEX(Haviz!$L:$L, 77))</f>
        <v>46317</v>
      </c>
      <c r="H227" t="str">
        <f t="shared" si="7"/>
        <v>Haviz (Developer) - Integrasi TCES Claim - BengkelNet - Implementasi endpoint baru POST /api/v2/tics/policy/check-status untuk memeriksa kesiapan klaim polis secara bulk</v>
      </c>
    </row>
    <row r="228" spans="1:8" x14ac:dyDescent="0.2">
      <c r="A228" t="str">
        <f>IF(INDEX(Haviz!$D:$D, 78)="", NA(), "Haviz (Developer)")</f>
        <v>Haviz (Developer)</v>
      </c>
      <c r="B228" t="str">
        <f>IF(INDEX(Haviz!$D:$D, 78)="", NA(), INDEX(Haviz!$B:$B, 78))</f>
        <v>Integrasi TCES Claim - BengkelNet</v>
      </c>
      <c r="C228" t="str">
        <f>IF(INDEX(Haviz!$D:$D, 78)="", NA(), INDEX(Haviz!$D:$D, 78))</f>
        <v>Melakukan Meeting Progress bersama stakeholder</v>
      </c>
      <c r="D228" t="str">
        <f>IF(INDEX(Haviz!$D:$D, 78)="", NA(), INDEX(Haviz!$E:$E, 78))</f>
        <v>DONE</v>
      </c>
      <c r="E228" s="13">
        <f>IF(INDEX(Haviz!$D:$D, 78)="", NA(), INDEX(Haviz!$K:$K, 78))</f>
        <v>46318</v>
      </c>
      <c r="F228">
        <f t="shared" si="6"/>
        <v>1</v>
      </c>
      <c r="G228" s="13">
        <f>IF(INDEX(Haviz!$D:$D, 78)="", NA(), INDEX(Haviz!$L:$L, 78))</f>
        <v>46318</v>
      </c>
      <c r="H228" t="str">
        <f t="shared" si="7"/>
        <v>Haviz (Developer) - Integrasi TCES Claim - BengkelNet - Melakukan Meeting Progress bersama stakeholder</v>
      </c>
    </row>
    <row r="229" spans="1:8" x14ac:dyDescent="0.2">
      <c r="A229" t="e">
        <f>IF(INDEX(Haviz!$D:$D, 79)="", NA(), "Haviz (Developer)")</f>
        <v>#N/A</v>
      </c>
      <c r="B229" t="e">
        <f>IF(INDEX(Haviz!$D:$D, 79)="", NA(), INDEX(Haviz!$B:$B, 79))</f>
        <v>#N/A</v>
      </c>
      <c r="C229" t="e">
        <f>IF(INDEX(Haviz!$D:$D, 79)="", NA(), INDEX(Haviz!$D:$D, 79))</f>
        <v>#N/A</v>
      </c>
      <c r="D229" t="e">
        <f>IF(INDEX(Haviz!$D:$D, 79)="", NA(), INDEX(Haviz!$E:$E, 79))</f>
        <v>#N/A</v>
      </c>
      <c r="E229" s="13" t="e">
        <f>IF(INDEX(Haviz!$D:$D, 79)="", NA(), INDEX(Haviz!$K:$K, 79))</f>
        <v>#N/A</v>
      </c>
      <c r="F229" t="e">
        <f t="shared" si="6"/>
        <v>#N/A</v>
      </c>
      <c r="G229" s="13" t="e">
        <f>IF(INDEX(Haviz!$D:$D, 79)="", NA(), INDEX(Haviz!$L:$L, 79))</f>
        <v>#N/A</v>
      </c>
      <c r="H229" t="e">
        <f t="shared" si="7"/>
        <v>#N/A</v>
      </c>
    </row>
    <row r="230" spans="1:8" x14ac:dyDescent="0.2">
      <c r="A230" t="e">
        <f>IF(INDEX(Haviz!$D:$D, 80)="", NA(), "Haviz (Developer)")</f>
        <v>#N/A</v>
      </c>
      <c r="B230" t="e">
        <f>IF(INDEX(Haviz!$D:$D, 80)="", NA(), INDEX(Haviz!$B:$B, 80))</f>
        <v>#N/A</v>
      </c>
      <c r="C230" t="e">
        <f>IF(INDEX(Haviz!$D:$D, 80)="", NA(), INDEX(Haviz!$D:$D, 80))</f>
        <v>#N/A</v>
      </c>
      <c r="D230" t="e">
        <f>IF(INDEX(Haviz!$D:$D, 80)="", NA(), INDEX(Haviz!$E:$E, 80))</f>
        <v>#N/A</v>
      </c>
      <c r="E230" s="13" t="e">
        <f>IF(INDEX(Haviz!$D:$D, 80)="", NA(), INDEX(Haviz!$K:$K, 80))</f>
        <v>#N/A</v>
      </c>
      <c r="F230" t="e">
        <f t="shared" si="6"/>
        <v>#N/A</v>
      </c>
      <c r="G230" s="13" t="e">
        <f>IF(INDEX(Haviz!$D:$D, 80)="", NA(), INDEX(Haviz!$L:$L, 80))</f>
        <v>#N/A</v>
      </c>
      <c r="H230" t="e">
        <f t="shared" si="7"/>
        <v>#N/A</v>
      </c>
    </row>
    <row r="231" spans="1:8" x14ac:dyDescent="0.2">
      <c r="A231" t="e">
        <f>IF(INDEX(Haviz!$D:$D, 81)="", NA(), "Haviz (Developer)")</f>
        <v>#N/A</v>
      </c>
      <c r="B231" t="e">
        <f>IF(INDEX(Haviz!$D:$D, 81)="", NA(), INDEX(Haviz!$B:$B, 81))</f>
        <v>#N/A</v>
      </c>
      <c r="C231" t="e">
        <f>IF(INDEX(Haviz!$D:$D, 81)="", NA(), INDEX(Haviz!$D:$D, 81))</f>
        <v>#N/A</v>
      </c>
      <c r="D231" t="e">
        <f>IF(INDEX(Haviz!$D:$D, 81)="", NA(), INDEX(Haviz!$E:$E, 81))</f>
        <v>#N/A</v>
      </c>
      <c r="E231" s="13" t="e">
        <f>IF(INDEX(Haviz!$D:$D, 81)="", NA(), INDEX(Haviz!$K:$K, 81))</f>
        <v>#N/A</v>
      </c>
      <c r="F231" t="e">
        <f t="shared" si="6"/>
        <v>#N/A</v>
      </c>
      <c r="G231" s="13" t="e">
        <f>IF(INDEX(Haviz!$D:$D, 81)="", NA(), INDEX(Haviz!$L:$L, 81))</f>
        <v>#N/A</v>
      </c>
      <c r="H231" t="e">
        <f t="shared" si="7"/>
        <v>#N/A</v>
      </c>
    </row>
    <row r="232" spans="1:8" x14ac:dyDescent="0.2">
      <c r="A232" t="e">
        <f>IF(INDEX(Haviz!$D:$D, 82)="", NA(), "Haviz (Developer)")</f>
        <v>#N/A</v>
      </c>
      <c r="B232" t="e">
        <f>IF(INDEX(Haviz!$D:$D, 82)="", NA(), INDEX(Haviz!$B:$B, 82))</f>
        <v>#N/A</v>
      </c>
      <c r="C232" t="e">
        <f>IF(INDEX(Haviz!$D:$D, 82)="", NA(), INDEX(Haviz!$D:$D, 82))</f>
        <v>#N/A</v>
      </c>
      <c r="D232" t="e">
        <f>IF(INDEX(Haviz!$D:$D, 82)="", NA(), INDEX(Haviz!$E:$E, 82))</f>
        <v>#N/A</v>
      </c>
      <c r="E232" s="13" t="e">
        <f>IF(INDEX(Haviz!$D:$D, 82)="", NA(), INDEX(Haviz!$K:$K, 82))</f>
        <v>#N/A</v>
      </c>
      <c r="F232" t="e">
        <f t="shared" si="6"/>
        <v>#N/A</v>
      </c>
      <c r="G232" s="13" t="e">
        <f>IF(INDEX(Haviz!$D:$D, 82)="", NA(), INDEX(Haviz!$L:$L, 82))</f>
        <v>#N/A</v>
      </c>
      <c r="H232" t="e">
        <f t="shared" si="7"/>
        <v>#N/A</v>
      </c>
    </row>
    <row r="233" spans="1:8" x14ac:dyDescent="0.2">
      <c r="A233" t="e">
        <f>IF(INDEX(Haviz!$D:$D, 83)="", NA(), "Haviz (Developer)")</f>
        <v>#N/A</v>
      </c>
      <c r="B233" t="e">
        <f>IF(INDEX(Haviz!$D:$D, 83)="", NA(), INDEX(Haviz!$B:$B, 83))</f>
        <v>#N/A</v>
      </c>
      <c r="C233" t="e">
        <f>IF(INDEX(Haviz!$D:$D, 83)="", NA(), INDEX(Haviz!$D:$D, 83))</f>
        <v>#N/A</v>
      </c>
      <c r="D233" t="e">
        <f>IF(INDEX(Haviz!$D:$D, 83)="", NA(), INDEX(Haviz!$E:$E, 83))</f>
        <v>#N/A</v>
      </c>
      <c r="E233" s="13" t="e">
        <f>IF(INDEX(Haviz!$D:$D, 83)="", NA(), INDEX(Haviz!$K:$K, 83))</f>
        <v>#N/A</v>
      </c>
      <c r="F233" t="e">
        <f t="shared" si="6"/>
        <v>#N/A</v>
      </c>
      <c r="G233" s="13" t="e">
        <f>IF(INDEX(Haviz!$D:$D, 83)="", NA(), INDEX(Haviz!$L:$L, 83))</f>
        <v>#N/A</v>
      </c>
      <c r="H233" t="e">
        <f t="shared" si="7"/>
        <v>#N/A</v>
      </c>
    </row>
    <row r="234" spans="1:8" x14ac:dyDescent="0.2">
      <c r="A234" t="e">
        <f>IF(INDEX(Haviz!$D:$D, 84)="", NA(), "Haviz (Developer)")</f>
        <v>#N/A</v>
      </c>
      <c r="B234" t="e">
        <f>IF(INDEX(Haviz!$D:$D, 84)="", NA(), INDEX(Haviz!$B:$B, 84))</f>
        <v>#N/A</v>
      </c>
      <c r="C234" t="e">
        <f>IF(INDEX(Haviz!$D:$D, 84)="", NA(), INDEX(Haviz!$D:$D, 84))</f>
        <v>#N/A</v>
      </c>
      <c r="D234" t="e">
        <f>IF(INDEX(Haviz!$D:$D, 84)="", NA(), INDEX(Haviz!$E:$E, 84))</f>
        <v>#N/A</v>
      </c>
      <c r="E234" s="13" t="e">
        <f>IF(INDEX(Haviz!$D:$D, 84)="", NA(), INDEX(Haviz!$K:$K, 84))</f>
        <v>#N/A</v>
      </c>
      <c r="F234" t="e">
        <f t="shared" si="6"/>
        <v>#N/A</v>
      </c>
      <c r="G234" s="13" t="e">
        <f>IF(INDEX(Haviz!$D:$D, 84)="", NA(), INDEX(Haviz!$L:$L, 84))</f>
        <v>#N/A</v>
      </c>
      <c r="H234" t="e">
        <f t="shared" si="7"/>
        <v>#N/A</v>
      </c>
    </row>
    <row r="235" spans="1:8" x14ac:dyDescent="0.2">
      <c r="A235" t="e">
        <f>IF(INDEX(Haviz!$D:$D, 85)="", NA(), "Haviz (Developer)")</f>
        <v>#N/A</v>
      </c>
      <c r="B235" t="e">
        <f>IF(INDEX(Haviz!$D:$D, 85)="", NA(), INDEX(Haviz!$B:$B, 85))</f>
        <v>#N/A</v>
      </c>
      <c r="C235" t="e">
        <f>IF(INDEX(Haviz!$D:$D, 85)="", NA(), INDEX(Haviz!$D:$D, 85))</f>
        <v>#N/A</v>
      </c>
      <c r="D235" t="e">
        <f>IF(INDEX(Haviz!$D:$D, 85)="", NA(), INDEX(Haviz!$E:$E, 85))</f>
        <v>#N/A</v>
      </c>
      <c r="E235" s="13" t="e">
        <f>IF(INDEX(Haviz!$D:$D, 85)="", NA(), INDEX(Haviz!$K:$K, 85))</f>
        <v>#N/A</v>
      </c>
      <c r="F235" t="e">
        <f t="shared" si="6"/>
        <v>#N/A</v>
      </c>
      <c r="G235" s="13" t="e">
        <f>IF(INDEX(Haviz!$D:$D, 85)="", NA(), INDEX(Haviz!$L:$L, 85))</f>
        <v>#N/A</v>
      </c>
      <c r="H235" t="e">
        <f t="shared" si="7"/>
        <v>#N/A</v>
      </c>
    </row>
    <row r="236" spans="1:8" x14ac:dyDescent="0.2">
      <c r="A236" t="e">
        <f>IF(INDEX(Haviz!$D:$D, 86)="", NA(), "Haviz (Developer)")</f>
        <v>#N/A</v>
      </c>
      <c r="B236" t="e">
        <f>IF(INDEX(Haviz!$D:$D, 86)="", NA(), INDEX(Haviz!$B:$B, 86))</f>
        <v>#N/A</v>
      </c>
      <c r="C236" t="e">
        <f>IF(INDEX(Haviz!$D:$D, 86)="", NA(), INDEX(Haviz!$D:$D, 86))</f>
        <v>#N/A</v>
      </c>
      <c r="D236" t="e">
        <f>IF(INDEX(Haviz!$D:$D, 86)="", NA(), INDEX(Haviz!$E:$E, 86))</f>
        <v>#N/A</v>
      </c>
      <c r="E236" s="13" t="e">
        <f>IF(INDEX(Haviz!$D:$D, 86)="", NA(), INDEX(Haviz!$K:$K, 86))</f>
        <v>#N/A</v>
      </c>
      <c r="F236" t="e">
        <f t="shared" si="6"/>
        <v>#N/A</v>
      </c>
      <c r="G236" s="13" t="e">
        <f>IF(INDEX(Haviz!$D:$D, 86)="", NA(), INDEX(Haviz!$L:$L, 86))</f>
        <v>#N/A</v>
      </c>
      <c r="H236" t="e">
        <f t="shared" si="7"/>
        <v>#N/A</v>
      </c>
    </row>
    <row r="237" spans="1:8" ht="29" customHeight="1" x14ac:dyDescent="0.2">
      <c r="A237" t="e">
        <f>IF(INDEX(Haviz!$D:$D, 87)="", NA(), "Haviz (Developer)")</f>
        <v>#N/A</v>
      </c>
      <c r="B237" t="e">
        <f>IF(INDEX(Haviz!$D:$D, 87)="", NA(), INDEX(Haviz!$B:$B, 87))</f>
        <v>#N/A</v>
      </c>
      <c r="C237" t="e">
        <f>IF(INDEX(Haviz!$D:$D, 87)="", NA(), INDEX(Haviz!$D:$D, 87))</f>
        <v>#N/A</v>
      </c>
      <c r="D237" t="e">
        <f>IF(INDEX(Haviz!$D:$D, 87)="", NA(), INDEX(Haviz!$E:$E, 87))</f>
        <v>#N/A</v>
      </c>
      <c r="E237" s="13" t="e">
        <f>IF(INDEX(Haviz!$D:$D, 87)="", NA(), INDEX(Haviz!$K:$K, 87))</f>
        <v>#N/A</v>
      </c>
      <c r="F237" t="e">
        <f t="shared" si="6"/>
        <v>#N/A</v>
      </c>
      <c r="G237" s="13" t="e">
        <f>IF(INDEX(Haviz!$D:$D, 87)="", NA(), INDEX(Haviz!$L:$L, 87))</f>
        <v>#N/A</v>
      </c>
      <c r="H237" t="e">
        <f t="shared" si="7"/>
        <v>#N/A</v>
      </c>
    </row>
    <row r="238" spans="1:8" ht="29" customHeight="1" x14ac:dyDescent="0.2">
      <c r="A238" t="e">
        <f>IF(INDEX(Haviz!$D:$D, 88)="", NA(), "Haviz (Developer)")</f>
        <v>#N/A</v>
      </c>
      <c r="B238" t="e">
        <f>IF(INDEX(Haviz!$D:$D, 88)="", NA(), INDEX(Haviz!$B:$B, 88))</f>
        <v>#N/A</v>
      </c>
      <c r="C238" t="e">
        <f>IF(INDEX(Haviz!$D:$D, 88)="", NA(), INDEX(Haviz!$D:$D, 88))</f>
        <v>#N/A</v>
      </c>
      <c r="D238" t="e">
        <f>IF(INDEX(Haviz!$D:$D, 88)="", NA(), INDEX(Haviz!$E:$E, 88))</f>
        <v>#N/A</v>
      </c>
      <c r="E238" s="13" t="e">
        <f>IF(INDEX(Haviz!$D:$D, 88)="", NA(), INDEX(Haviz!$K:$K, 88))</f>
        <v>#N/A</v>
      </c>
      <c r="F238" t="e">
        <f t="shared" si="6"/>
        <v>#N/A</v>
      </c>
      <c r="G238" s="13" t="e">
        <f>IF(INDEX(Haviz!$D:$D, 88)="", NA(), INDEX(Haviz!$L:$L, 88))</f>
        <v>#N/A</v>
      </c>
      <c r="H238" t="e">
        <f t="shared" si="7"/>
        <v>#N/A</v>
      </c>
    </row>
    <row r="239" spans="1:8" x14ac:dyDescent="0.2">
      <c r="A239" t="e">
        <f>IF(INDEX(Haviz!$D:$D, 89)="", NA(), "Haviz (Developer)")</f>
        <v>#N/A</v>
      </c>
      <c r="B239" t="e">
        <f>IF(INDEX(Haviz!$D:$D, 89)="", NA(), INDEX(Haviz!$B:$B, 89))</f>
        <v>#N/A</v>
      </c>
      <c r="C239" t="e">
        <f>IF(INDEX(Haviz!$D:$D, 89)="", NA(), INDEX(Haviz!$D:$D, 89))</f>
        <v>#N/A</v>
      </c>
      <c r="D239" t="e">
        <f>IF(INDEX(Haviz!$D:$D, 89)="", NA(), INDEX(Haviz!$E:$E, 89))</f>
        <v>#N/A</v>
      </c>
      <c r="E239" s="13" t="e">
        <f>IF(INDEX(Haviz!$D:$D, 89)="", NA(), INDEX(Haviz!$K:$K, 89))</f>
        <v>#N/A</v>
      </c>
      <c r="F239" t="e">
        <f t="shared" si="6"/>
        <v>#N/A</v>
      </c>
      <c r="G239" s="13" t="e">
        <f>IF(INDEX(Haviz!$D:$D, 89)="", NA(), INDEX(Haviz!$L:$L, 89))</f>
        <v>#N/A</v>
      </c>
      <c r="H239" t="e">
        <f t="shared" si="7"/>
        <v>#N/A</v>
      </c>
    </row>
    <row r="240" spans="1:8" x14ac:dyDescent="0.2">
      <c r="A240" t="e">
        <f>IF(INDEX(Haviz!$D:$D, 90)="", NA(), "Haviz (Developer)")</f>
        <v>#N/A</v>
      </c>
      <c r="B240" t="e">
        <f>IF(INDEX(Haviz!$D:$D, 90)="", NA(), INDEX(Haviz!$B:$B, 90))</f>
        <v>#N/A</v>
      </c>
      <c r="C240" t="e">
        <f>IF(INDEX(Haviz!$D:$D, 90)="", NA(), INDEX(Haviz!$D:$D, 90))</f>
        <v>#N/A</v>
      </c>
      <c r="D240" t="e">
        <f>IF(INDEX(Haviz!$D:$D, 90)="", NA(), INDEX(Haviz!$E:$E, 90))</f>
        <v>#N/A</v>
      </c>
      <c r="E240" s="13" t="e">
        <f>IF(INDEX(Haviz!$D:$D, 90)="", NA(), INDEX(Haviz!$K:$K, 90))</f>
        <v>#N/A</v>
      </c>
      <c r="F240" t="e">
        <f t="shared" si="6"/>
        <v>#N/A</v>
      </c>
      <c r="G240" s="13" t="e">
        <f>IF(INDEX(Haviz!$D:$D, 90)="", NA(), INDEX(Haviz!$L:$L, 90))</f>
        <v>#N/A</v>
      </c>
      <c r="H240" t="e">
        <f t="shared" si="7"/>
        <v>#N/A</v>
      </c>
    </row>
    <row r="241" spans="1:8" x14ac:dyDescent="0.2">
      <c r="A241" t="e">
        <f>IF(INDEX(Haviz!$D:$D, 91)="", NA(), "Haviz (Developer)")</f>
        <v>#N/A</v>
      </c>
      <c r="B241" t="e">
        <f>IF(INDEX(Haviz!$D:$D, 91)="", NA(), INDEX(Haviz!$B:$B, 91))</f>
        <v>#N/A</v>
      </c>
      <c r="C241" t="e">
        <f>IF(INDEX(Haviz!$D:$D, 91)="", NA(), INDEX(Haviz!$D:$D, 91))</f>
        <v>#N/A</v>
      </c>
      <c r="D241" t="e">
        <f>IF(INDEX(Haviz!$D:$D, 91)="", NA(), INDEX(Haviz!$E:$E, 91))</f>
        <v>#N/A</v>
      </c>
      <c r="E241" s="13" t="e">
        <f>IF(INDEX(Haviz!$D:$D, 91)="", NA(), INDEX(Haviz!$K:$K, 91))</f>
        <v>#N/A</v>
      </c>
      <c r="F241" t="e">
        <f t="shared" si="6"/>
        <v>#N/A</v>
      </c>
      <c r="G241" s="13" t="e">
        <f>IF(INDEX(Haviz!$D:$D, 91)="", NA(), INDEX(Haviz!$L:$L, 91))</f>
        <v>#N/A</v>
      </c>
      <c r="H241" t="e">
        <f t="shared" si="7"/>
        <v>#N/A</v>
      </c>
    </row>
    <row r="242" spans="1:8" x14ac:dyDescent="0.2">
      <c r="A242" t="e">
        <f>IF(INDEX(Haviz!$D:$D, 92)="", NA(), "Haviz (Developer)")</f>
        <v>#N/A</v>
      </c>
      <c r="B242" t="e">
        <f>IF(INDEX(Haviz!$D:$D, 92)="", NA(), INDEX(Haviz!$B:$B, 92))</f>
        <v>#N/A</v>
      </c>
      <c r="C242" t="e">
        <f>IF(INDEX(Haviz!$D:$D, 92)="", NA(), INDEX(Haviz!$D:$D, 92))</f>
        <v>#N/A</v>
      </c>
      <c r="D242" t="e">
        <f>IF(INDEX(Haviz!$D:$D, 92)="", NA(), INDEX(Haviz!$E:$E, 92))</f>
        <v>#N/A</v>
      </c>
      <c r="E242" s="13" t="e">
        <f>IF(INDEX(Haviz!$D:$D, 92)="", NA(), INDEX(Haviz!$K:$K, 92))</f>
        <v>#N/A</v>
      </c>
      <c r="F242" t="e">
        <f t="shared" si="6"/>
        <v>#N/A</v>
      </c>
      <c r="G242" s="13" t="e">
        <f>IF(INDEX(Haviz!$D:$D, 92)="", NA(), INDEX(Haviz!$L:$L, 92))</f>
        <v>#N/A</v>
      </c>
      <c r="H242" t="e">
        <f t="shared" si="7"/>
        <v>#N/A</v>
      </c>
    </row>
    <row r="243" spans="1:8" x14ac:dyDescent="0.2">
      <c r="A243" t="e">
        <f>IF(INDEX(Haviz!$D:$D, 93)="", NA(), "Haviz (Developer)")</f>
        <v>#N/A</v>
      </c>
      <c r="B243" t="e">
        <f>IF(INDEX(Haviz!$D:$D, 93)="", NA(), INDEX(Haviz!$B:$B, 93))</f>
        <v>#N/A</v>
      </c>
      <c r="C243" t="e">
        <f>IF(INDEX(Haviz!$D:$D, 93)="", NA(), INDEX(Haviz!$D:$D, 93))</f>
        <v>#N/A</v>
      </c>
      <c r="D243" t="e">
        <f>IF(INDEX(Haviz!$D:$D, 93)="", NA(), INDEX(Haviz!$E:$E, 93))</f>
        <v>#N/A</v>
      </c>
      <c r="E243" s="13" t="e">
        <f>IF(INDEX(Haviz!$D:$D, 93)="", NA(), INDEX(Haviz!$K:$K, 93))</f>
        <v>#N/A</v>
      </c>
      <c r="F243" t="e">
        <f t="shared" si="6"/>
        <v>#N/A</v>
      </c>
      <c r="G243" s="13" t="e">
        <f>IF(INDEX(Haviz!$D:$D, 93)="", NA(), INDEX(Haviz!$L:$L, 93))</f>
        <v>#N/A</v>
      </c>
      <c r="H243" t="e">
        <f t="shared" si="7"/>
        <v>#N/A</v>
      </c>
    </row>
    <row r="244" spans="1:8" x14ac:dyDescent="0.2">
      <c r="A244" t="e">
        <f>IF(INDEX(Haviz!$D:$D, 94)="", NA(), "Haviz (Developer)")</f>
        <v>#N/A</v>
      </c>
      <c r="B244" t="e">
        <f>IF(INDEX(Haviz!$D:$D, 94)="", NA(), INDEX(Haviz!$B:$B, 94))</f>
        <v>#N/A</v>
      </c>
      <c r="C244" t="e">
        <f>IF(INDEX(Haviz!$D:$D, 94)="", NA(), INDEX(Haviz!$D:$D, 94))</f>
        <v>#N/A</v>
      </c>
      <c r="D244" t="e">
        <f>IF(INDEX(Haviz!$D:$D, 94)="", NA(), INDEX(Haviz!$E:$E, 94))</f>
        <v>#N/A</v>
      </c>
      <c r="E244" s="13" t="e">
        <f>IF(INDEX(Haviz!$D:$D, 94)="", NA(), INDEX(Haviz!$K:$K, 94))</f>
        <v>#N/A</v>
      </c>
      <c r="F244" t="e">
        <f t="shared" si="6"/>
        <v>#N/A</v>
      </c>
      <c r="G244" s="13" t="e">
        <f>IF(INDEX(Haviz!$D:$D, 94)="", NA(), INDEX(Haviz!$L:$L, 94))</f>
        <v>#N/A</v>
      </c>
      <c r="H244" t="e">
        <f t="shared" si="7"/>
        <v>#N/A</v>
      </c>
    </row>
    <row r="245" spans="1:8" x14ac:dyDescent="0.2">
      <c r="A245" t="e">
        <f>IF(INDEX(Haviz!$D:$D, 95)="", NA(), "Haviz (Developer)")</f>
        <v>#N/A</v>
      </c>
      <c r="B245" t="e">
        <f>IF(INDEX(Haviz!$D:$D, 95)="", NA(), INDEX(Haviz!$B:$B, 95))</f>
        <v>#N/A</v>
      </c>
      <c r="C245" t="e">
        <f>IF(INDEX(Haviz!$D:$D, 95)="", NA(), INDEX(Haviz!$D:$D, 95))</f>
        <v>#N/A</v>
      </c>
      <c r="D245" t="e">
        <f>IF(INDEX(Haviz!$D:$D, 95)="", NA(), INDEX(Haviz!$E:$E, 95))</f>
        <v>#N/A</v>
      </c>
      <c r="E245" s="13" t="e">
        <f>IF(INDEX(Haviz!$D:$D, 95)="", NA(), INDEX(Haviz!$K:$K, 95))</f>
        <v>#N/A</v>
      </c>
      <c r="F245" t="e">
        <f t="shared" si="6"/>
        <v>#N/A</v>
      </c>
      <c r="G245" s="13" t="e">
        <f>IF(INDEX(Haviz!$D:$D, 95)="", NA(), INDEX(Haviz!$L:$L, 95))</f>
        <v>#N/A</v>
      </c>
      <c r="H245" t="e">
        <f t="shared" si="7"/>
        <v>#N/A</v>
      </c>
    </row>
    <row r="246" spans="1:8" x14ac:dyDescent="0.2">
      <c r="A246" t="e">
        <f>IF(INDEX(Haviz!$D:$D, 96)="", NA(), "Haviz (Developer)")</f>
        <v>#N/A</v>
      </c>
      <c r="B246" t="e">
        <f>IF(INDEX(Haviz!$D:$D, 96)="", NA(), INDEX(Haviz!$B:$B, 96))</f>
        <v>#N/A</v>
      </c>
      <c r="C246" t="e">
        <f>IF(INDEX(Haviz!$D:$D, 96)="", NA(), INDEX(Haviz!$D:$D, 96))</f>
        <v>#N/A</v>
      </c>
      <c r="D246" t="e">
        <f>IF(INDEX(Haviz!$D:$D, 96)="", NA(), INDEX(Haviz!$E:$E, 96))</f>
        <v>#N/A</v>
      </c>
      <c r="E246" s="13" t="e">
        <f>IF(INDEX(Haviz!$D:$D, 96)="", NA(), INDEX(Haviz!$K:$K, 96))</f>
        <v>#N/A</v>
      </c>
      <c r="F246" t="e">
        <f t="shared" si="6"/>
        <v>#N/A</v>
      </c>
      <c r="G246" s="13" t="e">
        <f>IF(INDEX(Haviz!$D:$D, 96)="", NA(), INDEX(Haviz!$L:$L, 96))</f>
        <v>#N/A</v>
      </c>
      <c r="H246" t="e">
        <f t="shared" si="7"/>
        <v>#N/A</v>
      </c>
    </row>
    <row r="247" spans="1:8" x14ac:dyDescent="0.2">
      <c r="A247" t="e">
        <f>IF(INDEX(Haviz!$D:$D, 97)="", NA(), "Haviz (Developer)")</f>
        <v>#N/A</v>
      </c>
      <c r="B247" t="e">
        <f>IF(INDEX(Haviz!$D:$D, 97)="", NA(), INDEX(Haviz!$B:$B, 97))</f>
        <v>#N/A</v>
      </c>
      <c r="C247" t="e">
        <f>IF(INDEX(Haviz!$D:$D, 97)="", NA(), INDEX(Haviz!$D:$D, 97))</f>
        <v>#N/A</v>
      </c>
      <c r="D247" t="e">
        <f>IF(INDEX(Haviz!$D:$D, 97)="", NA(), INDEX(Haviz!$E:$E, 97))</f>
        <v>#N/A</v>
      </c>
      <c r="E247" s="13" t="e">
        <f>IF(INDEX(Haviz!$D:$D, 97)="", NA(), INDEX(Haviz!$K:$K, 97))</f>
        <v>#N/A</v>
      </c>
      <c r="F247" t="e">
        <f t="shared" si="6"/>
        <v>#N/A</v>
      </c>
      <c r="G247" s="13" t="e">
        <f>IF(INDEX(Haviz!$D:$D, 97)="", NA(), INDEX(Haviz!$L:$L, 97))</f>
        <v>#N/A</v>
      </c>
      <c r="H247" t="e">
        <f t="shared" si="7"/>
        <v>#N/A</v>
      </c>
    </row>
    <row r="248" spans="1:8" x14ac:dyDescent="0.2">
      <c r="A248" t="e">
        <f>IF(INDEX(Haviz!$D:$D, 98)="", NA(), "Haviz (Developer)")</f>
        <v>#N/A</v>
      </c>
      <c r="B248" t="e">
        <f>IF(INDEX(Haviz!$D:$D, 98)="", NA(), INDEX(Haviz!$B:$B, 98))</f>
        <v>#N/A</v>
      </c>
      <c r="C248" t="e">
        <f>IF(INDEX(Haviz!$D:$D, 98)="", NA(), INDEX(Haviz!$D:$D, 98))</f>
        <v>#N/A</v>
      </c>
      <c r="D248" t="e">
        <f>IF(INDEX(Haviz!$D:$D, 98)="", NA(), INDEX(Haviz!$E:$E, 98))</f>
        <v>#N/A</v>
      </c>
      <c r="E248" s="13" t="e">
        <f>IF(INDEX(Haviz!$D:$D, 98)="", NA(), INDEX(Haviz!$K:$K, 98))</f>
        <v>#N/A</v>
      </c>
      <c r="F248" t="e">
        <f t="shared" si="6"/>
        <v>#N/A</v>
      </c>
      <c r="G248" s="13" t="e">
        <f>IF(INDEX(Haviz!$D:$D, 98)="", NA(), INDEX(Haviz!$L:$L, 98))</f>
        <v>#N/A</v>
      </c>
      <c r="H248" t="e">
        <f t="shared" si="7"/>
        <v>#N/A</v>
      </c>
    </row>
    <row r="249" spans="1:8" x14ac:dyDescent="0.2">
      <c r="A249" t="e">
        <f>IF(INDEX(Haviz!$D:$D, 99)="", NA(), "Haviz (Developer)")</f>
        <v>#N/A</v>
      </c>
      <c r="B249" t="e">
        <f>IF(INDEX(Haviz!$D:$D, 99)="", NA(), INDEX(Haviz!$B:$B, 99))</f>
        <v>#N/A</v>
      </c>
      <c r="C249" t="e">
        <f>IF(INDEX(Haviz!$D:$D, 99)="", NA(), INDEX(Haviz!$D:$D, 99))</f>
        <v>#N/A</v>
      </c>
      <c r="D249" t="e">
        <f>IF(INDEX(Haviz!$D:$D, 99)="", NA(), INDEX(Haviz!$E:$E, 99))</f>
        <v>#N/A</v>
      </c>
      <c r="E249" s="13" t="e">
        <f>IF(INDEX(Haviz!$D:$D, 99)="", NA(), INDEX(Haviz!$K:$K, 99))</f>
        <v>#N/A</v>
      </c>
      <c r="F249" t="e">
        <f t="shared" si="6"/>
        <v>#N/A</v>
      </c>
      <c r="G249" s="13" t="e">
        <f>IF(INDEX(Haviz!$D:$D, 99)="", NA(), INDEX(Haviz!$L:$L, 99))</f>
        <v>#N/A</v>
      </c>
      <c r="H249" t="e">
        <f t="shared" si="7"/>
        <v>#N/A</v>
      </c>
    </row>
    <row r="250" spans="1:8" x14ac:dyDescent="0.2">
      <c r="A250" t="e">
        <f>IF(INDEX(Haviz!$D:$D, 100)="", NA(), "Haviz (Developer)")</f>
        <v>#N/A</v>
      </c>
      <c r="B250" t="e">
        <f>IF(INDEX(Haviz!$D:$D, 100)="", NA(), INDEX(Haviz!$B:$B, 100))</f>
        <v>#N/A</v>
      </c>
      <c r="C250" t="e">
        <f>IF(INDEX(Haviz!$D:$D, 100)="", NA(), INDEX(Haviz!$D:$D, 100))</f>
        <v>#N/A</v>
      </c>
      <c r="D250" t="e">
        <f>IF(INDEX(Haviz!$D:$D, 100)="", NA(), INDEX(Haviz!$E:$E, 100))</f>
        <v>#N/A</v>
      </c>
      <c r="E250" s="13" t="e">
        <f>IF(INDEX(Haviz!$D:$D, 100)="", NA(), INDEX(Haviz!$K:$K, 100))</f>
        <v>#N/A</v>
      </c>
      <c r="F250" t="e">
        <f t="shared" si="6"/>
        <v>#N/A</v>
      </c>
      <c r="G250" s="13" t="e">
        <f>IF(INDEX(Haviz!$D:$D, 100)="", NA(), INDEX(Haviz!$L:$L, 100))</f>
        <v>#N/A</v>
      </c>
      <c r="H250" t="e">
        <f t="shared" si="7"/>
        <v>#N/A</v>
      </c>
    </row>
    <row r="251" spans="1:8" x14ac:dyDescent="0.2">
      <c r="A251" t="e">
        <f>IF(INDEX(Haviz!$D:$D, 101)="", NA(), "Haviz (Developer)")</f>
        <v>#N/A</v>
      </c>
      <c r="B251" t="e">
        <f>IF(INDEX(Haviz!$D:$D, 101)="", NA(), INDEX(Haviz!$B:$B, 101))</f>
        <v>#N/A</v>
      </c>
      <c r="C251" t="e">
        <f>IF(INDEX(Haviz!$D:$D, 101)="", NA(), INDEX(Haviz!$D:$D, 101))</f>
        <v>#N/A</v>
      </c>
      <c r="D251" t="e">
        <f>IF(INDEX(Haviz!$D:$D, 101)="", NA(), INDEX(Haviz!$E:$E, 101))</f>
        <v>#N/A</v>
      </c>
      <c r="E251" s="13" t="e">
        <f>IF(INDEX(Haviz!$D:$D, 101)="", NA(), INDEX(Haviz!$K:$K, 101))</f>
        <v>#N/A</v>
      </c>
      <c r="F251" t="e">
        <f t="shared" si="6"/>
        <v>#N/A</v>
      </c>
      <c r="G251" s="13" t="e">
        <f>IF(INDEX(Haviz!$D:$D, 101)="", NA(), INDEX(Haviz!$L:$L, 101))</f>
        <v>#N/A</v>
      </c>
      <c r="H251" t="e">
        <f t="shared" si="7"/>
        <v>#N/A</v>
      </c>
    </row>
    <row r="252" spans="1:8" x14ac:dyDescent="0.2">
      <c r="A252" t="e">
        <f>IF(INDEX(Haviz!$D:$D, 102)="", NA(), "Haviz (Developer)")</f>
        <v>#N/A</v>
      </c>
      <c r="B252" t="e">
        <f>IF(INDEX(Haviz!$D:$D, 102)="", NA(), INDEX(Haviz!$B:$B, 102))</f>
        <v>#N/A</v>
      </c>
      <c r="C252" t="e">
        <f>IF(INDEX(Haviz!$D:$D, 102)="", NA(), INDEX(Haviz!$D:$D, 102))</f>
        <v>#N/A</v>
      </c>
      <c r="D252" t="e">
        <f>IF(INDEX(Haviz!$D:$D, 102)="", NA(), INDEX(Haviz!$E:$E, 102))</f>
        <v>#N/A</v>
      </c>
      <c r="E252" s="13" t="e">
        <f>IF(INDEX(Haviz!$D:$D, 102)="", NA(), INDEX(Haviz!$K:$K, 102))</f>
        <v>#N/A</v>
      </c>
      <c r="F252" t="e">
        <f t="shared" si="6"/>
        <v>#N/A</v>
      </c>
      <c r="G252" s="13" t="e">
        <f>IF(INDEX(Haviz!$D:$D, 102)="", NA(), INDEX(Haviz!$L:$L, 102))</f>
        <v>#N/A</v>
      </c>
      <c r="H252" t="e">
        <f t="shared" si="7"/>
        <v>#N/A</v>
      </c>
    </row>
    <row r="253" spans="1:8" x14ac:dyDescent="0.2">
      <c r="A253" t="e">
        <f>IF(INDEX(Haviz!$D:$D, 103)="", NA(), "Haviz (Developer)")</f>
        <v>#N/A</v>
      </c>
      <c r="B253" t="e">
        <f>IF(INDEX(Haviz!$D:$D, 103)="", NA(), INDEX(Haviz!$B:$B, 103))</f>
        <v>#N/A</v>
      </c>
      <c r="C253" t="e">
        <f>IF(INDEX(Haviz!$D:$D, 103)="", NA(), INDEX(Haviz!$D:$D, 103))</f>
        <v>#N/A</v>
      </c>
      <c r="D253" t="e">
        <f>IF(INDEX(Haviz!$D:$D, 103)="", NA(), INDEX(Haviz!$E:$E, 103))</f>
        <v>#N/A</v>
      </c>
      <c r="E253" s="13" t="e">
        <f>IF(INDEX(Haviz!$D:$D, 103)="", NA(), INDEX(Haviz!$K:$K, 103))</f>
        <v>#N/A</v>
      </c>
      <c r="F253" t="e">
        <f t="shared" si="6"/>
        <v>#N/A</v>
      </c>
      <c r="G253" s="13" t="e">
        <f>IF(INDEX(Haviz!$D:$D, 103)="", NA(), INDEX(Haviz!$L:$L, 103))</f>
        <v>#N/A</v>
      </c>
      <c r="H253" t="e">
        <f t="shared" si="7"/>
        <v>#N/A</v>
      </c>
    </row>
    <row r="254" spans="1:8" x14ac:dyDescent="0.2">
      <c r="A254" t="e">
        <f>IF(INDEX(Haviz!$D:$D, 104)="", NA(), "Haviz (Developer)")</f>
        <v>#N/A</v>
      </c>
      <c r="B254" t="e">
        <f>IF(INDEX(Haviz!$D:$D, 104)="", NA(), INDEX(Haviz!$B:$B, 104))</f>
        <v>#N/A</v>
      </c>
      <c r="C254" t="e">
        <f>IF(INDEX(Haviz!$D:$D, 104)="", NA(), INDEX(Haviz!$D:$D, 104))</f>
        <v>#N/A</v>
      </c>
      <c r="D254" t="e">
        <f>IF(INDEX(Haviz!$D:$D, 104)="", NA(), INDEX(Haviz!$E:$E, 104))</f>
        <v>#N/A</v>
      </c>
      <c r="E254" s="13" t="e">
        <f>IF(INDEX(Haviz!$D:$D, 104)="", NA(), INDEX(Haviz!$K:$K, 104))</f>
        <v>#N/A</v>
      </c>
      <c r="F254" t="e">
        <f t="shared" si="6"/>
        <v>#N/A</v>
      </c>
      <c r="G254" s="13" t="e">
        <f>IF(INDEX(Haviz!$D:$D, 104)="", NA(), INDEX(Haviz!$L:$L, 104))</f>
        <v>#N/A</v>
      </c>
      <c r="H254" t="e">
        <f t="shared" si="7"/>
        <v>#N/A</v>
      </c>
    </row>
    <row r="255" spans="1:8" x14ac:dyDescent="0.2">
      <c r="A255" t="e">
        <f>IF(INDEX(Haviz!$D:$D, 105)="", NA(), "Haviz (Developer)")</f>
        <v>#N/A</v>
      </c>
      <c r="B255" t="e">
        <f>IF(INDEX(Haviz!$D:$D, 105)="", NA(), INDEX(Haviz!$B:$B, 105))</f>
        <v>#N/A</v>
      </c>
      <c r="C255" t="e">
        <f>IF(INDEX(Haviz!$D:$D, 105)="", NA(), INDEX(Haviz!$D:$D, 105))</f>
        <v>#N/A</v>
      </c>
      <c r="D255" t="e">
        <f>IF(INDEX(Haviz!$D:$D, 105)="", NA(), INDEX(Haviz!$E:$E, 105))</f>
        <v>#N/A</v>
      </c>
      <c r="E255" s="13" t="e">
        <f>IF(INDEX(Haviz!$D:$D, 105)="", NA(), INDEX(Haviz!$K:$K, 105))</f>
        <v>#N/A</v>
      </c>
      <c r="F255" t="e">
        <f t="shared" si="6"/>
        <v>#N/A</v>
      </c>
      <c r="G255" s="13" t="e">
        <f>IF(INDEX(Haviz!$D:$D, 105)="", NA(), INDEX(Haviz!$L:$L, 105))</f>
        <v>#N/A</v>
      </c>
      <c r="H255" t="e">
        <f t="shared" si="7"/>
        <v>#N/A</v>
      </c>
    </row>
    <row r="256" spans="1:8" x14ac:dyDescent="0.2">
      <c r="A256" t="e">
        <f>IF(INDEX(Haviz!$D:$D, 106)="", NA(), "Haviz (Developer)")</f>
        <v>#N/A</v>
      </c>
      <c r="B256" t="e">
        <f>IF(INDEX(Haviz!$D:$D, 106)="", NA(), INDEX(Haviz!$B:$B, 106))</f>
        <v>#N/A</v>
      </c>
      <c r="C256" t="e">
        <f>IF(INDEX(Haviz!$D:$D, 106)="", NA(), INDEX(Haviz!$D:$D, 106))</f>
        <v>#N/A</v>
      </c>
      <c r="D256" t="e">
        <f>IF(INDEX(Haviz!$D:$D, 106)="", NA(), INDEX(Haviz!$E:$E, 106))</f>
        <v>#N/A</v>
      </c>
      <c r="E256" s="13" t="e">
        <f>IF(INDEX(Haviz!$D:$D, 106)="", NA(), INDEX(Haviz!$K:$K, 106))</f>
        <v>#N/A</v>
      </c>
      <c r="F256" t="e">
        <f t="shared" si="6"/>
        <v>#N/A</v>
      </c>
      <c r="G256" s="13" t="e">
        <f>IF(INDEX(Haviz!$D:$D, 106)="", NA(), INDEX(Haviz!$L:$L, 106))</f>
        <v>#N/A</v>
      </c>
      <c r="H256" t="e">
        <f t="shared" si="7"/>
        <v>#N/A</v>
      </c>
    </row>
    <row r="257" spans="1:8" x14ac:dyDescent="0.2">
      <c r="A257" t="e">
        <f>IF(INDEX(Haviz!$D:$D, 107)="", NA(), "Haviz (Developer)")</f>
        <v>#N/A</v>
      </c>
      <c r="B257" t="e">
        <f>IF(INDEX(Haviz!$D:$D, 107)="", NA(), INDEX(Haviz!$B:$B, 107))</f>
        <v>#N/A</v>
      </c>
      <c r="C257" t="e">
        <f>IF(INDEX(Haviz!$D:$D, 107)="", NA(), INDEX(Haviz!$D:$D, 107))</f>
        <v>#N/A</v>
      </c>
      <c r="D257" t="e">
        <f>IF(INDEX(Haviz!$D:$D, 107)="", NA(), INDEX(Haviz!$E:$E, 107))</f>
        <v>#N/A</v>
      </c>
      <c r="E257" s="13" t="e">
        <f>IF(INDEX(Haviz!$D:$D, 107)="", NA(), INDEX(Haviz!$K:$K, 107))</f>
        <v>#N/A</v>
      </c>
      <c r="F257" t="e">
        <f t="shared" si="6"/>
        <v>#N/A</v>
      </c>
      <c r="G257" s="13" t="e">
        <f>IF(INDEX(Haviz!$D:$D, 107)="", NA(), INDEX(Haviz!$L:$L, 107))</f>
        <v>#N/A</v>
      </c>
      <c r="H257" t="e">
        <f t="shared" si="7"/>
        <v>#N/A</v>
      </c>
    </row>
    <row r="258" spans="1:8" x14ac:dyDescent="0.2">
      <c r="A258" t="e">
        <f>IF(INDEX(Haviz!$D:$D, 108)="", NA(), "Haviz (Developer)")</f>
        <v>#N/A</v>
      </c>
      <c r="B258" t="e">
        <f>IF(INDEX(Haviz!$D:$D, 108)="", NA(), INDEX(Haviz!$B:$B, 108))</f>
        <v>#N/A</v>
      </c>
      <c r="C258" t="e">
        <f>IF(INDEX(Haviz!$D:$D, 108)="", NA(), INDEX(Haviz!$D:$D, 108))</f>
        <v>#N/A</v>
      </c>
      <c r="D258" t="e">
        <f>IF(INDEX(Haviz!$D:$D, 108)="", NA(), INDEX(Haviz!$E:$E, 108))</f>
        <v>#N/A</v>
      </c>
      <c r="E258" s="13" t="e">
        <f>IF(INDEX(Haviz!$D:$D, 108)="", NA(), INDEX(Haviz!$K:$K, 108))</f>
        <v>#N/A</v>
      </c>
      <c r="F258" t="e">
        <f t="shared" ref="F258:F321" si="8">IF(OR(E258="", ISNA(E258), ISNA(G258)), 0, MAX(1, G258-E258))</f>
        <v>#N/A</v>
      </c>
      <c r="G258" s="13" t="e">
        <f>IF(INDEX(Haviz!$D:$D, 108)="", NA(), INDEX(Haviz!$L:$L, 108))</f>
        <v>#N/A</v>
      </c>
      <c r="H258" t="e">
        <f t="shared" ref="H258:H321" si="9">IF(ISNA(C258), NA(), A258 &amp; " - " &amp; B258 &amp; " - " &amp; C258)</f>
        <v>#N/A</v>
      </c>
    </row>
    <row r="259" spans="1:8" x14ac:dyDescent="0.2">
      <c r="A259" t="e">
        <f>IF(INDEX(Haviz!$D:$D, 109)="", NA(), "Haviz (Developer)")</f>
        <v>#N/A</v>
      </c>
      <c r="B259" t="e">
        <f>IF(INDEX(Haviz!$D:$D, 109)="", NA(), INDEX(Haviz!$B:$B, 109))</f>
        <v>#N/A</v>
      </c>
      <c r="C259" t="e">
        <f>IF(INDEX(Haviz!$D:$D, 109)="", NA(), INDEX(Haviz!$D:$D, 109))</f>
        <v>#N/A</v>
      </c>
      <c r="D259" t="e">
        <f>IF(INDEX(Haviz!$D:$D, 109)="", NA(), INDEX(Haviz!$E:$E, 109))</f>
        <v>#N/A</v>
      </c>
      <c r="E259" s="13" t="e">
        <f>IF(INDEX(Haviz!$D:$D, 109)="", NA(), INDEX(Haviz!$K:$K, 109))</f>
        <v>#N/A</v>
      </c>
      <c r="F259" t="e">
        <f t="shared" si="8"/>
        <v>#N/A</v>
      </c>
      <c r="G259" s="13" t="e">
        <f>IF(INDEX(Haviz!$D:$D, 109)="", NA(), INDEX(Haviz!$L:$L, 109))</f>
        <v>#N/A</v>
      </c>
      <c r="H259" t="e">
        <f t="shared" si="9"/>
        <v>#N/A</v>
      </c>
    </row>
    <row r="260" spans="1:8" x14ac:dyDescent="0.2">
      <c r="A260" t="e">
        <f>IF(INDEX(Haviz!$D:$D, 110)="", NA(), "Haviz (Developer)")</f>
        <v>#N/A</v>
      </c>
      <c r="B260" t="e">
        <f>IF(INDEX(Haviz!$D:$D, 110)="", NA(), INDEX(Haviz!$B:$B, 110))</f>
        <v>#N/A</v>
      </c>
      <c r="C260" t="e">
        <f>IF(INDEX(Haviz!$D:$D, 110)="", NA(), INDEX(Haviz!$D:$D, 110))</f>
        <v>#N/A</v>
      </c>
      <c r="D260" t="e">
        <f>IF(INDEX(Haviz!$D:$D, 110)="", NA(), INDEX(Haviz!$E:$E, 110))</f>
        <v>#N/A</v>
      </c>
      <c r="E260" s="13" t="e">
        <f>IF(INDEX(Haviz!$D:$D, 110)="", NA(), INDEX(Haviz!$K:$K, 110))</f>
        <v>#N/A</v>
      </c>
      <c r="F260" t="e">
        <f t="shared" si="8"/>
        <v>#N/A</v>
      </c>
      <c r="G260" s="13" t="e">
        <f>IF(INDEX(Haviz!$D:$D, 110)="", NA(), INDEX(Haviz!$L:$L, 110))</f>
        <v>#N/A</v>
      </c>
      <c r="H260" t="e">
        <f t="shared" si="9"/>
        <v>#N/A</v>
      </c>
    </row>
    <row r="261" spans="1:8" x14ac:dyDescent="0.2">
      <c r="A261" t="e">
        <f>IF(INDEX(Haviz!$D:$D, 111)="", NA(), "Haviz (Developer)")</f>
        <v>#N/A</v>
      </c>
      <c r="B261" t="e">
        <f>IF(INDEX(Haviz!$D:$D, 111)="", NA(), INDEX(Haviz!$B:$B, 111))</f>
        <v>#N/A</v>
      </c>
      <c r="C261" t="e">
        <f>IF(INDEX(Haviz!$D:$D, 111)="", NA(), INDEX(Haviz!$D:$D, 111))</f>
        <v>#N/A</v>
      </c>
      <c r="D261" t="e">
        <f>IF(INDEX(Haviz!$D:$D, 111)="", NA(), INDEX(Haviz!$E:$E, 111))</f>
        <v>#N/A</v>
      </c>
      <c r="E261" s="13" t="e">
        <f>IF(INDEX(Haviz!$D:$D, 111)="", NA(), INDEX(Haviz!$K:$K, 111))</f>
        <v>#N/A</v>
      </c>
      <c r="F261" t="e">
        <f t="shared" si="8"/>
        <v>#N/A</v>
      </c>
      <c r="G261" s="13" t="e">
        <f>IF(INDEX(Haviz!$D:$D, 111)="", NA(), INDEX(Haviz!$L:$L, 111))</f>
        <v>#N/A</v>
      </c>
      <c r="H261" t="e">
        <f t="shared" si="9"/>
        <v>#N/A</v>
      </c>
    </row>
    <row r="262" spans="1:8" x14ac:dyDescent="0.2">
      <c r="A262" t="e">
        <f>IF(INDEX(Haviz!$D:$D, 112)="", NA(), "Haviz (Developer)")</f>
        <v>#N/A</v>
      </c>
      <c r="B262" t="e">
        <f>IF(INDEX(Haviz!$D:$D, 112)="", NA(), INDEX(Haviz!$B:$B, 112))</f>
        <v>#N/A</v>
      </c>
      <c r="C262" t="e">
        <f>IF(INDEX(Haviz!$D:$D, 112)="", NA(), INDEX(Haviz!$D:$D, 112))</f>
        <v>#N/A</v>
      </c>
      <c r="D262" t="e">
        <f>IF(INDEX(Haviz!$D:$D, 112)="", NA(), INDEX(Haviz!$E:$E, 112))</f>
        <v>#N/A</v>
      </c>
      <c r="E262" s="13" t="e">
        <f>IF(INDEX(Haviz!$D:$D, 112)="", NA(), INDEX(Haviz!$K:$K, 112))</f>
        <v>#N/A</v>
      </c>
      <c r="F262" t="e">
        <f t="shared" si="8"/>
        <v>#N/A</v>
      </c>
      <c r="G262" s="13" t="e">
        <f>IF(INDEX(Haviz!$D:$D, 112)="", NA(), INDEX(Haviz!$L:$L, 112))</f>
        <v>#N/A</v>
      </c>
      <c r="H262" t="e">
        <f t="shared" si="9"/>
        <v>#N/A</v>
      </c>
    </row>
    <row r="263" spans="1:8" x14ac:dyDescent="0.2">
      <c r="A263" t="e">
        <f>IF(INDEX(Haviz!$D:$D, 113)="", NA(), "Haviz (Developer)")</f>
        <v>#N/A</v>
      </c>
      <c r="B263" t="e">
        <f>IF(INDEX(Haviz!$D:$D, 113)="", NA(), INDEX(Haviz!$B:$B, 113))</f>
        <v>#N/A</v>
      </c>
      <c r="C263" t="e">
        <f>IF(INDEX(Haviz!$D:$D, 113)="", NA(), INDEX(Haviz!$D:$D, 113))</f>
        <v>#N/A</v>
      </c>
      <c r="D263" t="e">
        <f>IF(INDEX(Haviz!$D:$D, 113)="", NA(), INDEX(Haviz!$E:$E, 113))</f>
        <v>#N/A</v>
      </c>
      <c r="E263" s="13" t="e">
        <f>IF(INDEX(Haviz!$D:$D, 113)="", NA(), INDEX(Haviz!$K:$K, 113))</f>
        <v>#N/A</v>
      </c>
      <c r="F263" t="e">
        <f t="shared" si="8"/>
        <v>#N/A</v>
      </c>
      <c r="G263" s="13" t="e">
        <f>IF(INDEX(Haviz!$D:$D, 113)="", NA(), INDEX(Haviz!$L:$L, 113))</f>
        <v>#N/A</v>
      </c>
      <c r="H263" t="e">
        <f t="shared" si="9"/>
        <v>#N/A</v>
      </c>
    </row>
    <row r="264" spans="1:8" x14ac:dyDescent="0.2">
      <c r="A264" t="e">
        <f>IF(INDEX(Haviz!$D:$D, 114)="", NA(), "Haviz (Developer)")</f>
        <v>#N/A</v>
      </c>
      <c r="B264" t="e">
        <f>IF(INDEX(Haviz!$D:$D, 114)="", NA(), INDEX(Haviz!$B:$B, 114))</f>
        <v>#N/A</v>
      </c>
      <c r="C264" t="e">
        <f>IF(INDEX(Haviz!$D:$D, 114)="", NA(), INDEX(Haviz!$D:$D, 114))</f>
        <v>#N/A</v>
      </c>
      <c r="D264" t="e">
        <f>IF(INDEX(Haviz!$D:$D, 114)="", NA(), INDEX(Haviz!$E:$E, 114))</f>
        <v>#N/A</v>
      </c>
      <c r="E264" s="13" t="e">
        <f>IF(INDEX(Haviz!$D:$D, 114)="", NA(), INDEX(Haviz!$K:$K, 114))</f>
        <v>#N/A</v>
      </c>
      <c r="F264" t="e">
        <f t="shared" si="8"/>
        <v>#N/A</v>
      </c>
      <c r="G264" s="13" t="e">
        <f>IF(INDEX(Haviz!$D:$D, 114)="", NA(), INDEX(Haviz!$L:$L, 114))</f>
        <v>#N/A</v>
      </c>
      <c r="H264" t="e">
        <f t="shared" si="9"/>
        <v>#N/A</v>
      </c>
    </row>
    <row r="265" spans="1:8" x14ac:dyDescent="0.2">
      <c r="A265" t="e">
        <f>IF(INDEX(Haviz!$D:$D, 115)="", NA(), "Haviz (Developer)")</f>
        <v>#N/A</v>
      </c>
      <c r="B265" t="e">
        <f>IF(INDEX(Haviz!$D:$D, 115)="", NA(), INDEX(Haviz!$B:$B, 115))</f>
        <v>#N/A</v>
      </c>
      <c r="C265" t="e">
        <f>IF(INDEX(Haviz!$D:$D, 115)="", NA(), INDEX(Haviz!$D:$D, 115))</f>
        <v>#N/A</v>
      </c>
      <c r="D265" t="e">
        <f>IF(INDEX(Haviz!$D:$D, 115)="", NA(), INDEX(Haviz!$E:$E, 115))</f>
        <v>#N/A</v>
      </c>
      <c r="E265" s="13" t="e">
        <f>IF(INDEX(Haviz!$D:$D, 115)="", NA(), INDEX(Haviz!$K:$K, 115))</f>
        <v>#N/A</v>
      </c>
      <c r="F265" t="e">
        <f t="shared" si="8"/>
        <v>#N/A</v>
      </c>
      <c r="G265" s="13" t="e">
        <f>IF(INDEX(Haviz!$D:$D, 115)="", NA(), INDEX(Haviz!$L:$L, 115))</f>
        <v>#N/A</v>
      </c>
      <c r="H265" t="e">
        <f t="shared" si="9"/>
        <v>#N/A</v>
      </c>
    </row>
    <row r="266" spans="1:8" x14ac:dyDescent="0.2">
      <c r="A266" t="e">
        <f>IF(INDEX(Haviz!$D:$D, 116)="", NA(), "Haviz (Developer)")</f>
        <v>#N/A</v>
      </c>
      <c r="B266" t="e">
        <f>IF(INDEX(Haviz!$D:$D, 116)="", NA(), INDEX(Haviz!$B:$B, 116))</f>
        <v>#N/A</v>
      </c>
      <c r="C266" t="e">
        <f>IF(INDEX(Haviz!$D:$D, 116)="", NA(), INDEX(Haviz!$D:$D, 116))</f>
        <v>#N/A</v>
      </c>
      <c r="D266" t="e">
        <f>IF(INDEX(Haviz!$D:$D, 116)="", NA(), INDEX(Haviz!$E:$E, 116))</f>
        <v>#N/A</v>
      </c>
      <c r="E266" s="13" t="e">
        <f>IF(INDEX(Haviz!$D:$D, 116)="", NA(), INDEX(Haviz!$K:$K, 116))</f>
        <v>#N/A</v>
      </c>
      <c r="F266" t="e">
        <f t="shared" si="8"/>
        <v>#N/A</v>
      </c>
      <c r="G266" s="13" t="e">
        <f>IF(INDEX(Haviz!$D:$D, 116)="", NA(), INDEX(Haviz!$L:$L, 116))</f>
        <v>#N/A</v>
      </c>
      <c r="H266" t="e">
        <f t="shared" si="9"/>
        <v>#N/A</v>
      </c>
    </row>
    <row r="267" spans="1:8" ht="29" customHeight="1" x14ac:dyDescent="0.2">
      <c r="A267" t="e">
        <f>IF(INDEX(Haviz!$D:$D, 117)="", NA(), "Haviz (Developer)")</f>
        <v>#N/A</v>
      </c>
      <c r="B267" t="e">
        <f>IF(INDEX(Haviz!$D:$D, 117)="", NA(), INDEX(Haviz!$B:$B, 117))</f>
        <v>#N/A</v>
      </c>
      <c r="C267" t="e">
        <f>IF(INDEX(Haviz!$D:$D, 117)="", NA(), INDEX(Haviz!$D:$D, 117))</f>
        <v>#N/A</v>
      </c>
      <c r="D267" t="e">
        <f>IF(INDEX(Haviz!$D:$D, 117)="", NA(), INDEX(Haviz!$E:$E, 117))</f>
        <v>#N/A</v>
      </c>
      <c r="E267" s="13" t="e">
        <f>IF(INDEX(Haviz!$D:$D, 117)="", NA(), INDEX(Haviz!$K:$K, 117))</f>
        <v>#N/A</v>
      </c>
      <c r="F267" t="e">
        <f t="shared" si="8"/>
        <v>#N/A</v>
      </c>
      <c r="G267" s="13" t="e">
        <f>IF(INDEX(Haviz!$D:$D, 117)="", NA(), INDEX(Haviz!$L:$L, 117))</f>
        <v>#N/A</v>
      </c>
      <c r="H267" t="e">
        <f t="shared" si="9"/>
        <v>#N/A</v>
      </c>
    </row>
    <row r="268" spans="1:8" ht="43.5" customHeight="1" x14ac:dyDescent="0.2">
      <c r="A268" t="e">
        <f>IF(INDEX(Haviz!$D:$D, 118)="", NA(), "Haviz (Developer)")</f>
        <v>#N/A</v>
      </c>
      <c r="B268" t="e">
        <f>IF(INDEX(Haviz!$D:$D, 118)="", NA(), INDEX(Haviz!$B:$B, 118))</f>
        <v>#N/A</v>
      </c>
      <c r="C268" t="e">
        <f>IF(INDEX(Haviz!$D:$D, 118)="", NA(), INDEX(Haviz!$D:$D, 118))</f>
        <v>#N/A</v>
      </c>
      <c r="D268" t="e">
        <f>IF(INDEX(Haviz!$D:$D, 118)="", NA(), INDEX(Haviz!$E:$E, 118))</f>
        <v>#N/A</v>
      </c>
      <c r="E268" s="13" t="e">
        <f>IF(INDEX(Haviz!$D:$D, 118)="", NA(), INDEX(Haviz!$K:$K, 118))</f>
        <v>#N/A</v>
      </c>
      <c r="F268" t="e">
        <f t="shared" si="8"/>
        <v>#N/A</v>
      </c>
      <c r="G268" s="13" t="e">
        <f>IF(INDEX(Haviz!$D:$D, 118)="", NA(), INDEX(Haviz!$L:$L, 118))</f>
        <v>#N/A</v>
      </c>
      <c r="H268" t="e">
        <f t="shared" si="9"/>
        <v>#N/A</v>
      </c>
    </row>
    <row r="269" spans="1:8" ht="58" customHeight="1" x14ac:dyDescent="0.2">
      <c r="A269" t="e">
        <f>IF(INDEX(Haviz!$D:$D, 119)="", NA(), "Haviz (Developer)")</f>
        <v>#N/A</v>
      </c>
      <c r="B269" t="e">
        <f>IF(INDEX(Haviz!$D:$D, 119)="", NA(), INDEX(Haviz!$B:$B, 119))</f>
        <v>#N/A</v>
      </c>
      <c r="C269" t="e">
        <f>IF(INDEX(Haviz!$D:$D, 119)="", NA(), INDEX(Haviz!$D:$D, 119))</f>
        <v>#N/A</v>
      </c>
      <c r="D269" t="e">
        <f>IF(INDEX(Haviz!$D:$D, 119)="", NA(), INDEX(Haviz!$E:$E, 119))</f>
        <v>#N/A</v>
      </c>
      <c r="E269" s="13" t="e">
        <f>IF(INDEX(Haviz!$D:$D, 119)="", NA(), INDEX(Haviz!$K:$K, 119))</f>
        <v>#N/A</v>
      </c>
      <c r="F269" t="e">
        <f t="shared" si="8"/>
        <v>#N/A</v>
      </c>
      <c r="G269" s="13" t="e">
        <f>IF(INDEX(Haviz!$D:$D, 119)="", NA(), INDEX(Haviz!$L:$L, 119))</f>
        <v>#N/A</v>
      </c>
      <c r="H269" t="e">
        <f t="shared" si="9"/>
        <v>#N/A</v>
      </c>
    </row>
    <row r="270" spans="1:8" ht="101.5" customHeight="1" x14ac:dyDescent="0.2">
      <c r="A270" t="e">
        <f>IF(INDEX(Haviz!$D:$D, 120)="", NA(), "Haviz (Developer)")</f>
        <v>#N/A</v>
      </c>
      <c r="B270" t="e">
        <f>IF(INDEX(Haviz!$D:$D, 120)="", NA(), INDEX(Haviz!$B:$B, 120))</f>
        <v>#N/A</v>
      </c>
      <c r="C270" t="e">
        <f>IF(INDEX(Haviz!$D:$D, 120)="", NA(), INDEX(Haviz!$D:$D, 120))</f>
        <v>#N/A</v>
      </c>
      <c r="D270" t="e">
        <f>IF(INDEX(Haviz!$D:$D, 120)="", NA(), INDEX(Haviz!$E:$E, 120))</f>
        <v>#N/A</v>
      </c>
      <c r="E270" s="13" t="e">
        <f>IF(INDEX(Haviz!$D:$D, 120)="", NA(), INDEX(Haviz!$K:$K, 120))</f>
        <v>#N/A</v>
      </c>
      <c r="F270" t="e">
        <f t="shared" si="8"/>
        <v>#N/A</v>
      </c>
      <c r="G270" s="13" t="e">
        <f>IF(INDEX(Haviz!$D:$D, 120)="", NA(), INDEX(Haviz!$L:$L, 120))</f>
        <v>#N/A</v>
      </c>
      <c r="H270" t="e">
        <f t="shared" si="9"/>
        <v>#N/A</v>
      </c>
    </row>
    <row r="271" spans="1:8" ht="43.5" customHeight="1" x14ac:dyDescent="0.2">
      <c r="A271" t="e">
        <f>IF(INDEX(Haviz!$D:$D, 121)="", NA(), "Haviz (Developer)")</f>
        <v>#N/A</v>
      </c>
      <c r="B271" t="e">
        <f>IF(INDEX(Haviz!$D:$D, 121)="", NA(), INDEX(Haviz!$B:$B, 121))</f>
        <v>#N/A</v>
      </c>
      <c r="C271" t="e">
        <f>IF(INDEX(Haviz!$D:$D, 121)="", NA(), INDEX(Haviz!$D:$D, 121))</f>
        <v>#N/A</v>
      </c>
      <c r="D271" t="e">
        <f>IF(INDEX(Haviz!$D:$D, 121)="", NA(), INDEX(Haviz!$E:$E, 121))</f>
        <v>#N/A</v>
      </c>
      <c r="E271" s="13" t="e">
        <f>IF(INDEX(Haviz!$D:$D, 121)="", NA(), INDEX(Haviz!$K:$K, 121))</f>
        <v>#N/A</v>
      </c>
      <c r="F271" t="e">
        <f t="shared" si="8"/>
        <v>#N/A</v>
      </c>
      <c r="G271" s="13" t="e">
        <f>IF(INDEX(Haviz!$D:$D, 121)="", NA(), INDEX(Haviz!$L:$L, 121))</f>
        <v>#N/A</v>
      </c>
      <c r="H271" t="e">
        <f t="shared" si="9"/>
        <v>#N/A</v>
      </c>
    </row>
    <row r="272" spans="1:8" ht="43.5" customHeight="1" x14ac:dyDescent="0.2">
      <c r="A272" t="e">
        <f>IF(INDEX(Haviz!$D:$D, 122)="", NA(), "Haviz (Developer)")</f>
        <v>#N/A</v>
      </c>
      <c r="B272" t="e">
        <f>IF(INDEX(Haviz!$D:$D, 122)="", NA(), INDEX(Haviz!$B:$B, 122))</f>
        <v>#N/A</v>
      </c>
      <c r="C272" t="e">
        <f>IF(INDEX(Haviz!$D:$D, 122)="", NA(), INDEX(Haviz!$D:$D, 122))</f>
        <v>#N/A</v>
      </c>
      <c r="D272" t="e">
        <f>IF(INDEX(Haviz!$D:$D, 122)="", NA(), INDEX(Haviz!$E:$E, 122))</f>
        <v>#N/A</v>
      </c>
      <c r="E272" s="13" t="e">
        <f>IF(INDEX(Haviz!$D:$D, 122)="", NA(), INDEX(Haviz!$K:$K, 122))</f>
        <v>#N/A</v>
      </c>
      <c r="F272" t="e">
        <f t="shared" si="8"/>
        <v>#N/A</v>
      </c>
      <c r="G272" s="13" t="e">
        <f>IF(INDEX(Haviz!$D:$D, 122)="", NA(), INDEX(Haviz!$L:$L, 122))</f>
        <v>#N/A</v>
      </c>
      <c r="H272" t="e">
        <f t="shared" si="9"/>
        <v>#N/A</v>
      </c>
    </row>
    <row r="273" spans="1:8" ht="87" customHeight="1" x14ac:dyDescent="0.2">
      <c r="A273" t="e">
        <f>IF(INDEX(Haviz!$D:$D, 123)="", NA(), "Haviz (Developer)")</f>
        <v>#N/A</v>
      </c>
      <c r="B273" t="e">
        <f>IF(INDEX(Haviz!$D:$D, 123)="", NA(), INDEX(Haviz!$B:$B, 123))</f>
        <v>#N/A</v>
      </c>
      <c r="C273" t="e">
        <f>IF(INDEX(Haviz!$D:$D, 123)="", NA(), INDEX(Haviz!$D:$D, 123))</f>
        <v>#N/A</v>
      </c>
      <c r="D273" t="e">
        <f>IF(INDEX(Haviz!$D:$D, 123)="", NA(), INDEX(Haviz!$E:$E, 123))</f>
        <v>#N/A</v>
      </c>
      <c r="E273" s="13" t="e">
        <f>IF(INDEX(Haviz!$D:$D, 123)="", NA(), INDEX(Haviz!$K:$K, 123))</f>
        <v>#N/A</v>
      </c>
      <c r="F273" t="e">
        <f t="shared" si="8"/>
        <v>#N/A</v>
      </c>
      <c r="G273" s="13" t="e">
        <f>IF(INDEX(Haviz!$D:$D, 123)="", NA(), INDEX(Haviz!$L:$L, 123))</f>
        <v>#N/A</v>
      </c>
      <c r="H273" t="e">
        <f t="shared" si="9"/>
        <v>#N/A</v>
      </c>
    </row>
    <row r="274" spans="1:8" ht="29" customHeight="1" x14ac:dyDescent="0.2">
      <c r="A274" t="e">
        <f>IF(INDEX(Haviz!$D:$D, 124)="", NA(), "Haviz (Developer)")</f>
        <v>#N/A</v>
      </c>
      <c r="B274" t="e">
        <f>IF(INDEX(Haviz!$D:$D, 124)="", NA(), INDEX(Haviz!$B:$B, 124))</f>
        <v>#N/A</v>
      </c>
      <c r="C274" t="e">
        <f>IF(INDEX(Haviz!$D:$D, 124)="", NA(), INDEX(Haviz!$D:$D, 124))</f>
        <v>#N/A</v>
      </c>
      <c r="D274" t="e">
        <f>IF(INDEX(Haviz!$D:$D, 124)="", NA(), INDEX(Haviz!$E:$E, 124))</f>
        <v>#N/A</v>
      </c>
      <c r="E274" s="13" t="e">
        <f>IF(INDEX(Haviz!$D:$D, 124)="", NA(), INDEX(Haviz!$K:$K, 124))</f>
        <v>#N/A</v>
      </c>
      <c r="F274" t="e">
        <f t="shared" si="8"/>
        <v>#N/A</v>
      </c>
      <c r="G274" s="13" t="e">
        <f>IF(INDEX(Haviz!$D:$D, 124)="", NA(), INDEX(Haviz!$L:$L, 124))</f>
        <v>#N/A</v>
      </c>
      <c r="H274" t="e">
        <f t="shared" si="9"/>
        <v>#N/A</v>
      </c>
    </row>
    <row r="275" spans="1:8" ht="43.5" customHeight="1" x14ac:dyDescent="0.2">
      <c r="A275" t="e">
        <f>IF(INDEX(Haviz!$D:$D, 125)="", NA(), "Haviz (Developer)")</f>
        <v>#N/A</v>
      </c>
      <c r="B275" t="e">
        <f>IF(INDEX(Haviz!$D:$D, 125)="", NA(), INDEX(Haviz!$B:$B, 125))</f>
        <v>#N/A</v>
      </c>
      <c r="C275" t="e">
        <f>IF(INDEX(Haviz!$D:$D, 125)="", NA(), INDEX(Haviz!$D:$D, 125))</f>
        <v>#N/A</v>
      </c>
      <c r="D275" t="e">
        <f>IF(INDEX(Haviz!$D:$D, 125)="", NA(), INDEX(Haviz!$E:$E, 125))</f>
        <v>#N/A</v>
      </c>
      <c r="E275" s="13" t="e">
        <f>IF(INDEX(Haviz!$D:$D, 125)="", NA(), INDEX(Haviz!$K:$K, 125))</f>
        <v>#N/A</v>
      </c>
      <c r="F275" t="e">
        <f t="shared" si="8"/>
        <v>#N/A</v>
      </c>
      <c r="G275" s="13" t="e">
        <f>IF(INDEX(Haviz!$D:$D, 125)="", NA(), INDEX(Haviz!$L:$L, 125))</f>
        <v>#N/A</v>
      </c>
      <c r="H275" t="e">
        <f t="shared" si="9"/>
        <v>#N/A</v>
      </c>
    </row>
    <row r="276" spans="1:8" ht="43.5" customHeight="1" x14ac:dyDescent="0.2">
      <c r="A276" t="e">
        <f>IF(INDEX(Haviz!$D:$D, 126)="", NA(), "Haviz (Developer)")</f>
        <v>#N/A</v>
      </c>
      <c r="B276" t="e">
        <f>IF(INDEX(Haviz!$D:$D, 126)="", NA(), INDEX(Haviz!$B:$B, 126))</f>
        <v>#N/A</v>
      </c>
      <c r="C276" t="e">
        <f>IF(INDEX(Haviz!$D:$D, 126)="", NA(), INDEX(Haviz!$D:$D, 126))</f>
        <v>#N/A</v>
      </c>
      <c r="D276" t="e">
        <f>IF(INDEX(Haviz!$D:$D, 126)="", NA(), INDEX(Haviz!$E:$E, 126))</f>
        <v>#N/A</v>
      </c>
      <c r="E276" s="13" t="e">
        <f>IF(INDEX(Haviz!$D:$D, 126)="", NA(), INDEX(Haviz!$K:$K, 126))</f>
        <v>#N/A</v>
      </c>
      <c r="F276" t="e">
        <f t="shared" si="8"/>
        <v>#N/A</v>
      </c>
      <c r="G276" s="13" t="e">
        <f>IF(INDEX(Haviz!$D:$D, 126)="", NA(), INDEX(Haviz!$L:$L, 126))</f>
        <v>#N/A</v>
      </c>
      <c r="H276" t="e">
        <f t="shared" si="9"/>
        <v>#N/A</v>
      </c>
    </row>
    <row r="277" spans="1:8" ht="72.5" customHeight="1" x14ac:dyDescent="0.2">
      <c r="A277" t="e">
        <f>IF(INDEX(Haviz!$D:$D, 127)="", NA(), "Haviz (Developer)")</f>
        <v>#N/A</v>
      </c>
      <c r="B277" t="e">
        <f>IF(INDEX(Haviz!$D:$D, 127)="", NA(), INDEX(Haviz!$B:$B, 127))</f>
        <v>#N/A</v>
      </c>
      <c r="C277" t="e">
        <f>IF(INDEX(Haviz!$D:$D, 127)="", NA(), INDEX(Haviz!$D:$D, 127))</f>
        <v>#N/A</v>
      </c>
      <c r="D277" t="e">
        <f>IF(INDEX(Haviz!$D:$D, 127)="", NA(), INDEX(Haviz!$E:$E, 127))</f>
        <v>#N/A</v>
      </c>
      <c r="E277" s="13" t="e">
        <f>IF(INDEX(Haviz!$D:$D, 127)="", NA(), INDEX(Haviz!$K:$K, 127))</f>
        <v>#N/A</v>
      </c>
      <c r="F277" t="e">
        <f t="shared" si="8"/>
        <v>#N/A</v>
      </c>
      <c r="G277" s="13" t="e">
        <f>IF(INDEX(Haviz!$D:$D, 127)="", NA(), INDEX(Haviz!$L:$L, 127))</f>
        <v>#N/A</v>
      </c>
      <c r="H277" t="e">
        <f t="shared" si="9"/>
        <v>#N/A</v>
      </c>
    </row>
    <row r="278" spans="1:8" ht="87" customHeight="1" x14ac:dyDescent="0.2">
      <c r="A278" t="e">
        <f>IF(INDEX(Haviz!$D:$D, 128)="", NA(), "Haviz (Developer)")</f>
        <v>#N/A</v>
      </c>
      <c r="B278" t="e">
        <f>IF(INDEX(Haviz!$D:$D, 128)="", NA(), INDEX(Haviz!$B:$B, 128))</f>
        <v>#N/A</v>
      </c>
      <c r="C278" t="e">
        <f>IF(INDEX(Haviz!$D:$D, 128)="", NA(), INDEX(Haviz!$D:$D, 128))</f>
        <v>#N/A</v>
      </c>
      <c r="D278" t="e">
        <f>IF(INDEX(Haviz!$D:$D, 128)="", NA(), INDEX(Haviz!$E:$E, 128))</f>
        <v>#N/A</v>
      </c>
      <c r="E278" s="13" t="e">
        <f>IF(INDEX(Haviz!$D:$D, 128)="", NA(), INDEX(Haviz!$K:$K, 128))</f>
        <v>#N/A</v>
      </c>
      <c r="F278" t="e">
        <f t="shared" si="8"/>
        <v>#N/A</v>
      </c>
      <c r="G278" s="13" t="e">
        <f>IF(INDEX(Haviz!$D:$D, 128)="", NA(), INDEX(Haviz!$L:$L, 128))</f>
        <v>#N/A</v>
      </c>
      <c r="H278" t="e">
        <f t="shared" si="9"/>
        <v>#N/A</v>
      </c>
    </row>
    <row r="279" spans="1:8" x14ac:dyDescent="0.2">
      <c r="A279" t="e">
        <f>IF(INDEX(Haviz!$D:$D, 129)="", NA(), "Haviz (Developer)")</f>
        <v>#N/A</v>
      </c>
      <c r="B279" t="e">
        <f>IF(INDEX(Haviz!$D:$D, 129)="", NA(), INDEX(Haviz!$B:$B, 129))</f>
        <v>#N/A</v>
      </c>
      <c r="C279" t="e">
        <f>IF(INDEX(Haviz!$D:$D, 129)="", NA(), INDEX(Haviz!$D:$D, 129))</f>
        <v>#N/A</v>
      </c>
      <c r="D279" t="e">
        <f>IF(INDEX(Haviz!$D:$D, 129)="", NA(), INDEX(Haviz!$E:$E, 129))</f>
        <v>#N/A</v>
      </c>
      <c r="E279" s="13" t="e">
        <f>IF(INDEX(Haviz!$D:$D, 129)="", NA(), INDEX(Haviz!$K:$K, 129))</f>
        <v>#N/A</v>
      </c>
      <c r="F279" t="e">
        <f t="shared" si="8"/>
        <v>#N/A</v>
      </c>
      <c r="G279" s="13" t="e">
        <f>IF(INDEX(Haviz!$D:$D, 129)="", NA(), INDEX(Haviz!$L:$L, 129))</f>
        <v>#N/A</v>
      </c>
      <c r="H279" t="e">
        <f t="shared" si="9"/>
        <v>#N/A</v>
      </c>
    </row>
    <row r="280" spans="1:8" ht="261" customHeight="1" x14ac:dyDescent="0.2">
      <c r="A280" t="e">
        <f>IF(INDEX(Haviz!$D:$D, 130)="", NA(), "Haviz (Developer)")</f>
        <v>#N/A</v>
      </c>
      <c r="B280" t="e">
        <f>IF(INDEX(Haviz!$D:$D, 130)="", NA(), INDEX(Haviz!$B:$B, 130))</f>
        <v>#N/A</v>
      </c>
      <c r="C280" t="e">
        <f>IF(INDEX(Haviz!$D:$D, 130)="", NA(), INDEX(Haviz!$D:$D, 130))</f>
        <v>#N/A</v>
      </c>
      <c r="D280" t="e">
        <f>IF(INDEX(Haviz!$D:$D, 130)="", NA(), INDEX(Haviz!$E:$E, 130))</f>
        <v>#N/A</v>
      </c>
      <c r="E280" s="13" t="e">
        <f>IF(INDEX(Haviz!$D:$D, 130)="", NA(), INDEX(Haviz!$K:$K, 130))</f>
        <v>#N/A</v>
      </c>
      <c r="F280" t="e">
        <f t="shared" si="8"/>
        <v>#N/A</v>
      </c>
      <c r="G280" s="13" t="e">
        <f>IF(INDEX(Haviz!$D:$D, 130)="", NA(), INDEX(Haviz!$L:$L, 130))</f>
        <v>#N/A</v>
      </c>
      <c r="H280" t="e">
        <f t="shared" si="9"/>
        <v>#N/A</v>
      </c>
    </row>
    <row r="281" spans="1:8" ht="116" customHeight="1" x14ac:dyDescent="0.2">
      <c r="A281" t="e">
        <f>IF(INDEX(Haviz!$D:$D, 131)="", NA(), "Haviz (Developer)")</f>
        <v>#N/A</v>
      </c>
      <c r="B281" t="e">
        <f>IF(INDEX(Haviz!$D:$D, 131)="", NA(), INDEX(Haviz!$B:$B, 131))</f>
        <v>#N/A</v>
      </c>
      <c r="C281" t="e">
        <f>IF(INDEX(Haviz!$D:$D, 131)="", NA(), INDEX(Haviz!$D:$D, 131))</f>
        <v>#N/A</v>
      </c>
      <c r="D281" t="e">
        <f>IF(INDEX(Haviz!$D:$D, 131)="", NA(), INDEX(Haviz!$E:$E, 131))</f>
        <v>#N/A</v>
      </c>
      <c r="E281" s="13" t="e">
        <f>IF(INDEX(Haviz!$D:$D, 131)="", NA(), INDEX(Haviz!$K:$K, 131))</f>
        <v>#N/A</v>
      </c>
      <c r="F281" t="e">
        <f t="shared" si="8"/>
        <v>#N/A</v>
      </c>
      <c r="G281" s="13" t="e">
        <f>IF(INDEX(Haviz!$D:$D, 131)="", NA(), INDEX(Haviz!$L:$L, 131))</f>
        <v>#N/A</v>
      </c>
      <c r="H281" t="e">
        <f t="shared" si="9"/>
        <v>#N/A</v>
      </c>
    </row>
    <row r="282" spans="1:8" ht="87" customHeight="1" x14ac:dyDescent="0.2">
      <c r="A282" t="e">
        <f>IF(INDEX(Haviz!$D:$D, 132)="", NA(), "Haviz (Developer)")</f>
        <v>#N/A</v>
      </c>
      <c r="B282" t="e">
        <f>IF(INDEX(Haviz!$D:$D, 132)="", NA(), INDEX(Haviz!$B:$B, 132))</f>
        <v>#N/A</v>
      </c>
      <c r="C282" t="e">
        <f>IF(INDEX(Haviz!$D:$D, 132)="", NA(), INDEX(Haviz!$D:$D, 132))</f>
        <v>#N/A</v>
      </c>
      <c r="D282" t="e">
        <f>IF(INDEX(Haviz!$D:$D, 132)="", NA(), INDEX(Haviz!$E:$E, 132))</f>
        <v>#N/A</v>
      </c>
      <c r="E282" s="13" t="e">
        <f>IF(INDEX(Haviz!$D:$D, 132)="", NA(), INDEX(Haviz!$K:$K, 132))</f>
        <v>#N/A</v>
      </c>
      <c r="F282" t="e">
        <f t="shared" si="8"/>
        <v>#N/A</v>
      </c>
      <c r="G282" s="13" t="e">
        <f>IF(INDEX(Haviz!$D:$D, 132)="", NA(), INDEX(Haviz!$L:$L, 132))</f>
        <v>#N/A</v>
      </c>
      <c r="H282" t="e">
        <f t="shared" si="9"/>
        <v>#N/A</v>
      </c>
    </row>
    <row r="283" spans="1:8" x14ac:dyDescent="0.2">
      <c r="A283" t="e">
        <f>IF(INDEX(Haviz!$D:$D, 133)="", NA(), "Haviz (Developer)")</f>
        <v>#N/A</v>
      </c>
      <c r="B283" t="e">
        <f>IF(INDEX(Haviz!$D:$D, 133)="", NA(), INDEX(Haviz!$B:$B, 133))</f>
        <v>#N/A</v>
      </c>
      <c r="C283" t="e">
        <f>IF(INDEX(Haviz!$D:$D, 133)="", NA(), INDEX(Haviz!$D:$D, 133))</f>
        <v>#N/A</v>
      </c>
      <c r="D283" t="e">
        <f>IF(INDEX(Haviz!$D:$D, 133)="", NA(), INDEX(Haviz!$E:$E, 133))</f>
        <v>#N/A</v>
      </c>
      <c r="E283" s="13" t="e">
        <f>IF(INDEX(Haviz!$D:$D, 133)="", NA(), INDEX(Haviz!$K:$K, 133))</f>
        <v>#N/A</v>
      </c>
      <c r="F283" t="e">
        <f t="shared" si="8"/>
        <v>#N/A</v>
      </c>
      <c r="G283" s="13" t="e">
        <f>IF(INDEX(Haviz!$D:$D, 133)="", NA(), INDEX(Haviz!$L:$L, 133))</f>
        <v>#N/A</v>
      </c>
      <c r="H283" t="e">
        <f t="shared" si="9"/>
        <v>#N/A</v>
      </c>
    </row>
    <row r="284" spans="1:8" x14ac:dyDescent="0.2">
      <c r="A284" t="e">
        <f>IF(INDEX(Haviz!$D:$D, 134)="", NA(), "Haviz (Developer)")</f>
        <v>#N/A</v>
      </c>
      <c r="B284" t="e">
        <f>IF(INDEX(Haviz!$D:$D, 134)="", NA(), INDEX(Haviz!$B:$B, 134))</f>
        <v>#N/A</v>
      </c>
      <c r="C284" t="e">
        <f>IF(INDEX(Haviz!$D:$D, 134)="", NA(), INDEX(Haviz!$D:$D, 134))</f>
        <v>#N/A</v>
      </c>
      <c r="D284" t="e">
        <f>IF(INDEX(Haviz!$D:$D, 134)="", NA(), INDEX(Haviz!$E:$E, 134))</f>
        <v>#N/A</v>
      </c>
      <c r="E284" s="13" t="e">
        <f>IF(INDEX(Haviz!$D:$D, 134)="", NA(), INDEX(Haviz!$K:$K, 134))</f>
        <v>#N/A</v>
      </c>
      <c r="F284" t="e">
        <f t="shared" si="8"/>
        <v>#N/A</v>
      </c>
      <c r="G284" s="13" t="e">
        <f>IF(INDEX(Haviz!$D:$D, 134)="", NA(), INDEX(Haviz!$L:$L, 134))</f>
        <v>#N/A</v>
      </c>
      <c r="H284" t="e">
        <f t="shared" si="9"/>
        <v>#N/A</v>
      </c>
    </row>
    <row r="285" spans="1:8" x14ac:dyDescent="0.2">
      <c r="A285" t="e">
        <f>IF(INDEX(Haviz!$D:$D, 135)="", NA(), "Haviz (Developer)")</f>
        <v>#N/A</v>
      </c>
      <c r="B285" t="e">
        <f>IF(INDEX(Haviz!$D:$D, 135)="", NA(), INDEX(Haviz!$B:$B, 135))</f>
        <v>#N/A</v>
      </c>
      <c r="C285" t="e">
        <f>IF(INDEX(Haviz!$D:$D, 135)="", NA(), INDEX(Haviz!$D:$D, 135))</f>
        <v>#N/A</v>
      </c>
      <c r="D285" t="e">
        <f>IF(INDEX(Haviz!$D:$D, 135)="", NA(), INDEX(Haviz!$E:$E, 135))</f>
        <v>#N/A</v>
      </c>
      <c r="E285" s="13" t="e">
        <f>IF(INDEX(Haviz!$D:$D, 135)="", NA(), INDEX(Haviz!$K:$K, 135))</f>
        <v>#N/A</v>
      </c>
      <c r="F285" t="e">
        <f t="shared" si="8"/>
        <v>#N/A</v>
      </c>
      <c r="G285" s="13" t="e">
        <f>IF(INDEX(Haviz!$D:$D, 135)="", NA(), INDEX(Haviz!$L:$L, 135))</f>
        <v>#N/A</v>
      </c>
      <c r="H285" t="e">
        <f t="shared" si="9"/>
        <v>#N/A</v>
      </c>
    </row>
    <row r="286" spans="1:8" x14ac:dyDescent="0.2">
      <c r="A286" t="e">
        <f>IF(INDEX(Haviz!$D:$D, 136)="", NA(), "Haviz (Developer)")</f>
        <v>#N/A</v>
      </c>
      <c r="B286" t="e">
        <f>IF(INDEX(Haviz!$D:$D, 136)="", NA(), INDEX(Haviz!$B:$B, 136))</f>
        <v>#N/A</v>
      </c>
      <c r="C286" t="e">
        <f>IF(INDEX(Haviz!$D:$D, 136)="", NA(), INDEX(Haviz!$D:$D, 136))</f>
        <v>#N/A</v>
      </c>
      <c r="D286" t="e">
        <f>IF(INDEX(Haviz!$D:$D, 136)="", NA(), INDEX(Haviz!$E:$E, 136))</f>
        <v>#N/A</v>
      </c>
      <c r="E286" s="13" t="e">
        <f>IF(INDEX(Haviz!$D:$D, 136)="", NA(), INDEX(Haviz!$K:$K, 136))</f>
        <v>#N/A</v>
      </c>
      <c r="F286" t="e">
        <f t="shared" si="8"/>
        <v>#N/A</v>
      </c>
      <c r="G286" s="13" t="e">
        <f>IF(INDEX(Haviz!$D:$D, 136)="", NA(), INDEX(Haviz!$L:$L, 136))</f>
        <v>#N/A</v>
      </c>
      <c r="H286" t="e">
        <f t="shared" si="9"/>
        <v>#N/A</v>
      </c>
    </row>
    <row r="287" spans="1:8" x14ac:dyDescent="0.2">
      <c r="A287" t="e">
        <f>IF(INDEX(Haviz!$D:$D, 137)="", NA(), "Haviz (Developer)")</f>
        <v>#N/A</v>
      </c>
      <c r="B287" t="e">
        <f>IF(INDEX(Haviz!$D:$D, 137)="", NA(), INDEX(Haviz!$B:$B, 137))</f>
        <v>#N/A</v>
      </c>
      <c r="C287" t="e">
        <f>IF(INDEX(Haviz!$D:$D, 137)="", NA(), INDEX(Haviz!$D:$D, 137))</f>
        <v>#N/A</v>
      </c>
      <c r="D287" t="e">
        <f>IF(INDEX(Haviz!$D:$D, 137)="", NA(), INDEX(Haviz!$E:$E, 137))</f>
        <v>#N/A</v>
      </c>
      <c r="E287" s="13" t="e">
        <f>IF(INDEX(Haviz!$D:$D, 137)="", NA(), INDEX(Haviz!$K:$K, 137))</f>
        <v>#N/A</v>
      </c>
      <c r="F287" t="e">
        <f t="shared" si="8"/>
        <v>#N/A</v>
      </c>
      <c r="G287" s="13" t="e">
        <f>IF(INDEX(Haviz!$D:$D, 137)="", NA(), INDEX(Haviz!$L:$L, 137))</f>
        <v>#N/A</v>
      </c>
      <c r="H287" t="e">
        <f t="shared" si="9"/>
        <v>#N/A</v>
      </c>
    </row>
    <row r="288" spans="1:8" x14ac:dyDescent="0.2">
      <c r="A288" t="e">
        <f>IF(INDEX(Haviz!$D:$D, 138)="", NA(), "Haviz (Developer)")</f>
        <v>#N/A</v>
      </c>
      <c r="B288" t="e">
        <f>IF(INDEX(Haviz!$D:$D, 138)="", NA(), INDEX(Haviz!$B:$B, 138))</f>
        <v>#N/A</v>
      </c>
      <c r="C288" t="e">
        <f>IF(INDEX(Haviz!$D:$D, 138)="", NA(), INDEX(Haviz!$D:$D, 138))</f>
        <v>#N/A</v>
      </c>
      <c r="D288" t="e">
        <f>IF(INDEX(Haviz!$D:$D, 138)="", NA(), INDEX(Haviz!$E:$E, 138))</f>
        <v>#N/A</v>
      </c>
      <c r="E288" s="13" t="e">
        <f>IF(INDEX(Haviz!$D:$D, 138)="", NA(), INDEX(Haviz!$K:$K, 138))</f>
        <v>#N/A</v>
      </c>
      <c r="F288" t="e">
        <f t="shared" si="8"/>
        <v>#N/A</v>
      </c>
      <c r="G288" s="13" t="e">
        <f>IF(INDEX(Haviz!$D:$D, 138)="", NA(), INDEX(Haviz!$L:$L, 138))</f>
        <v>#N/A</v>
      </c>
      <c r="H288" t="e">
        <f t="shared" si="9"/>
        <v>#N/A</v>
      </c>
    </row>
    <row r="289" spans="1:8" x14ac:dyDescent="0.2">
      <c r="A289" t="e">
        <f>IF(INDEX(Haviz!$D:$D, 139)="", NA(), "Haviz (Developer)")</f>
        <v>#N/A</v>
      </c>
      <c r="B289" t="e">
        <f>IF(INDEX(Haviz!$D:$D, 139)="", NA(), INDEX(Haviz!$B:$B, 139))</f>
        <v>#N/A</v>
      </c>
      <c r="C289" t="e">
        <f>IF(INDEX(Haviz!$D:$D, 139)="", NA(), INDEX(Haviz!$D:$D, 139))</f>
        <v>#N/A</v>
      </c>
      <c r="D289" t="e">
        <f>IF(INDEX(Haviz!$D:$D, 139)="", NA(), INDEX(Haviz!$E:$E, 139))</f>
        <v>#N/A</v>
      </c>
      <c r="E289" s="13" t="e">
        <f>IF(INDEX(Haviz!$D:$D, 139)="", NA(), INDEX(Haviz!$K:$K, 139))</f>
        <v>#N/A</v>
      </c>
      <c r="F289" t="e">
        <f t="shared" si="8"/>
        <v>#N/A</v>
      </c>
      <c r="G289" s="13" t="e">
        <f>IF(INDEX(Haviz!$D:$D, 139)="", NA(), INDEX(Haviz!$L:$L, 139))</f>
        <v>#N/A</v>
      </c>
      <c r="H289" t="e">
        <f t="shared" si="9"/>
        <v>#N/A</v>
      </c>
    </row>
    <row r="290" spans="1:8" x14ac:dyDescent="0.2">
      <c r="A290" t="e">
        <f>IF(INDEX(Haviz!$D:$D, 140)="", NA(), "Haviz (Developer)")</f>
        <v>#N/A</v>
      </c>
      <c r="B290" t="e">
        <f>IF(INDEX(Haviz!$D:$D, 140)="", NA(), INDEX(Haviz!$B:$B, 140))</f>
        <v>#N/A</v>
      </c>
      <c r="C290" t="e">
        <f>IF(INDEX(Haviz!$D:$D, 140)="", NA(), INDEX(Haviz!$D:$D, 140))</f>
        <v>#N/A</v>
      </c>
      <c r="D290" t="e">
        <f>IF(INDEX(Haviz!$D:$D, 140)="", NA(), INDEX(Haviz!$E:$E, 140))</f>
        <v>#N/A</v>
      </c>
      <c r="E290" s="13" t="e">
        <f>IF(INDEX(Haviz!$D:$D, 140)="", NA(), INDEX(Haviz!$K:$K, 140))</f>
        <v>#N/A</v>
      </c>
      <c r="F290" t="e">
        <f t="shared" si="8"/>
        <v>#N/A</v>
      </c>
      <c r="G290" s="13" t="e">
        <f>IF(INDEX(Haviz!$D:$D, 140)="", NA(), INDEX(Haviz!$L:$L, 140))</f>
        <v>#N/A</v>
      </c>
      <c r="H290" t="e">
        <f t="shared" si="9"/>
        <v>#N/A</v>
      </c>
    </row>
    <row r="291" spans="1:8" x14ac:dyDescent="0.2">
      <c r="A291" t="e">
        <f>IF(INDEX(Haviz!$D:$D, 141)="", NA(), "Haviz (Developer)")</f>
        <v>#N/A</v>
      </c>
      <c r="B291" t="e">
        <f>IF(INDEX(Haviz!$D:$D, 141)="", NA(), INDEX(Haviz!$B:$B, 141))</f>
        <v>#N/A</v>
      </c>
      <c r="C291" t="e">
        <f>IF(INDEX(Haviz!$D:$D, 141)="", NA(), INDEX(Haviz!$D:$D, 141))</f>
        <v>#N/A</v>
      </c>
      <c r="D291" t="e">
        <f>IF(INDEX(Haviz!$D:$D, 141)="", NA(), INDEX(Haviz!$E:$E, 141))</f>
        <v>#N/A</v>
      </c>
      <c r="E291" s="13" t="e">
        <f>IF(INDEX(Haviz!$D:$D, 141)="", NA(), INDEX(Haviz!$K:$K, 141))</f>
        <v>#N/A</v>
      </c>
      <c r="F291" t="e">
        <f t="shared" si="8"/>
        <v>#N/A</v>
      </c>
      <c r="G291" s="13" t="e">
        <f>IF(INDEX(Haviz!$D:$D, 141)="", NA(), INDEX(Haviz!$L:$L, 141))</f>
        <v>#N/A</v>
      </c>
      <c r="H291" t="e">
        <f t="shared" si="9"/>
        <v>#N/A</v>
      </c>
    </row>
    <row r="292" spans="1:8" x14ac:dyDescent="0.2">
      <c r="A292" t="e">
        <f>IF(INDEX(Haviz!$D:$D, 142)="", NA(), "Haviz (Developer)")</f>
        <v>#N/A</v>
      </c>
      <c r="B292" t="e">
        <f>IF(INDEX(Haviz!$D:$D, 142)="", NA(), INDEX(Haviz!$B:$B, 142))</f>
        <v>#N/A</v>
      </c>
      <c r="C292" t="e">
        <f>IF(INDEX(Haviz!$D:$D, 142)="", NA(), INDEX(Haviz!$D:$D, 142))</f>
        <v>#N/A</v>
      </c>
      <c r="D292" t="e">
        <f>IF(INDEX(Haviz!$D:$D, 142)="", NA(), INDEX(Haviz!$E:$E, 142))</f>
        <v>#N/A</v>
      </c>
      <c r="E292" s="13" t="e">
        <f>IF(INDEX(Haviz!$D:$D, 142)="", NA(), INDEX(Haviz!$K:$K, 142))</f>
        <v>#N/A</v>
      </c>
      <c r="F292" t="e">
        <f t="shared" si="8"/>
        <v>#N/A</v>
      </c>
      <c r="G292" s="13" t="e">
        <f>IF(INDEX(Haviz!$D:$D, 142)="", NA(), INDEX(Haviz!$L:$L, 142))</f>
        <v>#N/A</v>
      </c>
      <c r="H292" t="e">
        <f t="shared" si="9"/>
        <v>#N/A</v>
      </c>
    </row>
    <row r="293" spans="1:8" x14ac:dyDescent="0.2">
      <c r="A293" t="e">
        <f>IF(INDEX(Haviz!$D:$D, 143)="", NA(), "Haviz (Developer)")</f>
        <v>#N/A</v>
      </c>
      <c r="B293" t="e">
        <f>IF(INDEX(Haviz!$D:$D, 143)="", NA(), INDEX(Haviz!$B:$B, 143))</f>
        <v>#N/A</v>
      </c>
      <c r="C293" t="e">
        <f>IF(INDEX(Haviz!$D:$D, 143)="", NA(), INDEX(Haviz!$D:$D, 143))</f>
        <v>#N/A</v>
      </c>
      <c r="D293" t="e">
        <f>IF(INDEX(Haviz!$D:$D, 143)="", NA(), INDEX(Haviz!$E:$E, 143))</f>
        <v>#N/A</v>
      </c>
      <c r="E293" s="13" t="e">
        <f>IF(INDEX(Haviz!$D:$D, 143)="", NA(), INDEX(Haviz!$K:$K, 143))</f>
        <v>#N/A</v>
      </c>
      <c r="F293" t="e">
        <f t="shared" si="8"/>
        <v>#N/A</v>
      </c>
      <c r="G293" s="13" t="e">
        <f>IF(INDEX(Haviz!$D:$D, 143)="", NA(), INDEX(Haviz!$L:$L, 143))</f>
        <v>#N/A</v>
      </c>
      <c r="H293" t="e">
        <f t="shared" si="9"/>
        <v>#N/A</v>
      </c>
    </row>
    <row r="294" spans="1:8" x14ac:dyDescent="0.2">
      <c r="A294" t="e">
        <f>IF(INDEX(Haviz!$D:$D, 144)="", NA(), "Haviz (Developer)")</f>
        <v>#N/A</v>
      </c>
      <c r="B294" t="e">
        <f>IF(INDEX(Haviz!$D:$D, 144)="", NA(), INDEX(Haviz!$B:$B, 144))</f>
        <v>#N/A</v>
      </c>
      <c r="C294" t="e">
        <f>IF(INDEX(Haviz!$D:$D, 144)="", NA(), INDEX(Haviz!$D:$D, 144))</f>
        <v>#N/A</v>
      </c>
      <c r="D294" t="e">
        <f>IF(INDEX(Haviz!$D:$D, 144)="", NA(), INDEX(Haviz!$E:$E, 144))</f>
        <v>#N/A</v>
      </c>
      <c r="E294" s="13" t="e">
        <f>IF(INDEX(Haviz!$D:$D, 144)="", NA(), INDEX(Haviz!$K:$K, 144))</f>
        <v>#N/A</v>
      </c>
      <c r="F294" t="e">
        <f t="shared" si="8"/>
        <v>#N/A</v>
      </c>
      <c r="G294" s="13" t="e">
        <f>IF(INDEX(Haviz!$D:$D, 144)="", NA(), INDEX(Haviz!$L:$L, 144))</f>
        <v>#N/A</v>
      </c>
      <c r="H294" t="e">
        <f t="shared" si="9"/>
        <v>#N/A</v>
      </c>
    </row>
    <row r="295" spans="1:8" x14ac:dyDescent="0.2">
      <c r="A295" t="e">
        <f>IF(INDEX(Haviz!$D:$D, 145)="", NA(), "Haviz (Developer)")</f>
        <v>#N/A</v>
      </c>
      <c r="B295" t="e">
        <f>IF(INDEX(Haviz!$D:$D, 145)="", NA(), INDEX(Haviz!$B:$B, 145))</f>
        <v>#N/A</v>
      </c>
      <c r="C295" t="e">
        <f>IF(INDEX(Haviz!$D:$D, 145)="", NA(), INDEX(Haviz!$D:$D, 145))</f>
        <v>#N/A</v>
      </c>
      <c r="D295" t="e">
        <f>IF(INDEX(Haviz!$D:$D, 145)="", NA(), INDEX(Haviz!$E:$E, 145))</f>
        <v>#N/A</v>
      </c>
      <c r="E295" s="13" t="e">
        <f>IF(INDEX(Haviz!$D:$D, 145)="", NA(), INDEX(Haviz!$K:$K, 145))</f>
        <v>#N/A</v>
      </c>
      <c r="F295" t="e">
        <f t="shared" si="8"/>
        <v>#N/A</v>
      </c>
      <c r="G295" s="13" t="e">
        <f>IF(INDEX(Haviz!$D:$D, 145)="", NA(), INDEX(Haviz!$L:$L, 145))</f>
        <v>#N/A</v>
      </c>
      <c r="H295" t="e">
        <f t="shared" si="9"/>
        <v>#N/A</v>
      </c>
    </row>
    <row r="296" spans="1:8" x14ac:dyDescent="0.2">
      <c r="A296" t="e">
        <f>IF(INDEX(Haviz!$D:$D, 146)="", NA(), "Haviz (Developer)")</f>
        <v>#N/A</v>
      </c>
      <c r="B296" t="e">
        <f>IF(INDEX(Haviz!$D:$D, 146)="", NA(), INDEX(Haviz!$B:$B, 146))</f>
        <v>#N/A</v>
      </c>
      <c r="C296" t="e">
        <f>IF(INDEX(Haviz!$D:$D, 146)="", NA(), INDEX(Haviz!$D:$D, 146))</f>
        <v>#N/A</v>
      </c>
      <c r="D296" t="e">
        <f>IF(INDEX(Haviz!$D:$D, 146)="", NA(), INDEX(Haviz!$E:$E, 146))</f>
        <v>#N/A</v>
      </c>
      <c r="E296" s="13" t="e">
        <f>IF(INDEX(Haviz!$D:$D, 146)="", NA(), INDEX(Haviz!$K:$K, 146))</f>
        <v>#N/A</v>
      </c>
      <c r="F296" t="e">
        <f t="shared" si="8"/>
        <v>#N/A</v>
      </c>
      <c r="G296" s="13" t="e">
        <f>IF(INDEX(Haviz!$D:$D, 146)="", NA(), INDEX(Haviz!$L:$L, 146))</f>
        <v>#N/A</v>
      </c>
      <c r="H296" t="e">
        <f t="shared" si="9"/>
        <v>#N/A</v>
      </c>
    </row>
    <row r="297" spans="1:8" x14ac:dyDescent="0.2">
      <c r="A297" t="e">
        <f>IF(INDEX(Haviz!$D:$D, 147)="", NA(), "Haviz (Developer)")</f>
        <v>#N/A</v>
      </c>
      <c r="B297" t="e">
        <f>IF(INDEX(Haviz!$D:$D, 147)="", NA(), INDEX(Haviz!$B:$B, 147))</f>
        <v>#N/A</v>
      </c>
      <c r="C297" t="e">
        <f>IF(INDEX(Haviz!$D:$D, 147)="", NA(), INDEX(Haviz!$D:$D, 147))</f>
        <v>#N/A</v>
      </c>
      <c r="D297" t="e">
        <f>IF(INDEX(Haviz!$D:$D, 147)="", NA(), INDEX(Haviz!$E:$E, 147))</f>
        <v>#N/A</v>
      </c>
      <c r="E297" s="13" t="e">
        <f>IF(INDEX(Haviz!$D:$D, 147)="", NA(), INDEX(Haviz!$K:$K, 147))</f>
        <v>#N/A</v>
      </c>
      <c r="F297" t="e">
        <f t="shared" si="8"/>
        <v>#N/A</v>
      </c>
      <c r="G297" s="13" t="e">
        <f>IF(INDEX(Haviz!$D:$D, 147)="", NA(), INDEX(Haviz!$L:$L, 147))</f>
        <v>#N/A</v>
      </c>
      <c r="H297" t="e">
        <f t="shared" si="9"/>
        <v>#N/A</v>
      </c>
    </row>
    <row r="298" spans="1:8" x14ac:dyDescent="0.2">
      <c r="A298" t="e">
        <f>IF(INDEX(Haviz!$D:$D, 148)="", NA(), "Haviz (Developer)")</f>
        <v>#N/A</v>
      </c>
      <c r="B298" t="e">
        <f>IF(INDEX(Haviz!$D:$D, 148)="", NA(), INDEX(Haviz!$B:$B, 148))</f>
        <v>#N/A</v>
      </c>
      <c r="C298" t="e">
        <f>IF(INDEX(Haviz!$D:$D, 148)="", NA(), INDEX(Haviz!$D:$D, 148))</f>
        <v>#N/A</v>
      </c>
      <c r="D298" t="e">
        <f>IF(INDEX(Haviz!$D:$D, 148)="", NA(), INDEX(Haviz!$E:$E, 148))</f>
        <v>#N/A</v>
      </c>
      <c r="E298" s="13" t="e">
        <f>IF(INDEX(Haviz!$D:$D, 148)="", NA(), INDEX(Haviz!$K:$K, 148))</f>
        <v>#N/A</v>
      </c>
      <c r="F298" t="e">
        <f t="shared" si="8"/>
        <v>#N/A</v>
      </c>
      <c r="G298" s="13" t="e">
        <f>IF(INDEX(Haviz!$D:$D, 148)="", NA(), INDEX(Haviz!$L:$L, 148))</f>
        <v>#N/A</v>
      </c>
      <c r="H298" t="e">
        <f t="shared" si="9"/>
        <v>#N/A</v>
      </c>
    </row>
    <row r="299" spans="1:8" x14ac:dyDescent="0.2">
      <c r="A299" t="e">
        <f>IF(INDEX(Haviz!$D:$D, 149)="", NA(), "Haviz (Developer)")</f>
        <v>#N/A</v>
      </c>
      <c r="B299" t="e">
        <f>IF(INDEX(Haviz!$D:$D, 149)="", NA(), INDEX(Haviz!$B:$B, 149))</f>
        <v>#N/A</v>
      </c>
      <c r="C299" t="e">
        <f>IF(INDEX(Haviz!$D:$D, 149)="", NA(), INDEX(Haviz!$D:$D, 149))</f>
        <v>#N/A</v>
      </c>
      <c r="D299" t="e">
        <f>IF(INDEX(Haviz!$D:$D, 149)="", NA(), INDEX(Haviz!$E:$E, 149))</f>
        <v>#N/A</v>
      </c>
      <c r="E299" s="13" t="e">
        <f>IF(INDEX(Haviz!$D:$D, 149)="", NA(), INDEX(Haviz!$K:$K, 149))</f>
        <v>#N/A</v>
      </c>
      <c r="F299" t="e">
        <f t="shared" si="8"/>
        <v>#N/A</v>
      </c>
      <c r="G299" s="13" t="e">
        <f>IF(INDEX(Haviz!$D:$D, 149)="", NA(), INDEX(Haviz!$L:$L, 149))</f>
        <v>#N/A</v>
      </c>
      <c r="H299" t="e">
        <f t="shared" si="9"/>
        <v>#N/A</v>
      </c>
    </row>
    <row r="300" spans="1:8" x14ac:dyDescent="0.2">
      <c r="A300" t="e">
        <f>IF(INDEX(Haviz!$D:$D, 150)="", NA(), "Haviz (Developer)")</f>
        <v>#N/A</v>
      </c>
      <c r="B300" t="e">
        <f>IF(INDEX(Haviz!$D:$D, 150)="", NA(), INDEX(Haviz!$B:$B, 150))</f>
        <v>#N/A</v>
      </c>
      <c r="C300" t="e">
        <f>IF(INDEX(Haviz!$D:$D, 150)="", NA(), INDEX(Haviz!$D:$D, 150))</f>
        <v>#N/A</v>
      </c>
      <c r="D300" t="e">
        <f>IF(INDEX(Haviz!$D:$D, 150)="", NA(), INDEX(Haviz!$E:$E, 150))</f>
        <v>#N/A</v>
      </c>
      <c r="E300" s="13" t="e">
        <f>IF(INDEX(Haviz!$D:$D, 150)="", NA(), INDEX(Haviz!$K:$K, 150))</f>
        <v>#N/A</v>
      </c>
      <c r="F300" t="e">
        <f t="shared" si="8"/>
        <v>#N/A</v>
      </c>
      <c r="G300" s="13" t="e">
        <f>IF(INDEX(Haviz!$D:$D, 150)="", NA(), INDEX(Haviz!$L:$L, 150))</f>
        <v>#N/A</v>
      </c>
      <c r="H300" t="e">
        <f t="shared" si="9"/>
        <v>#N/A</v>
      </c>
    </row>
    <row r="301" spans="1:8" x14ac:dyDescent="0.2">
      <c r="A301" t="e">
        <f>IF(INDEX(Haviz!$D:$D, 151)="", NA(), "Haviz (Developer)")</f>
        <v>#N/A</v>
      </c>
      <c r="B301" t="e">
        <f>IF(INDEX(Haviz!$D:$D, 151)="", NA(), INDEX(Haviz!$B:$B, 151))</f>
        <v>#N/A</v>
      </c>
      <c r="C301" t="e">
        <f>IF(INDEX(Haviz!$D:$D, 151)="", NA(), INDEX(Haviz!$D:$D, 151))</f>
        <v>#N/A</v>
      </c>
      <c r="D301" t="e">
        <f>IF(INDEX(Haviz!$D:$D, 151)="", NA(), INDEX(Haviz!$E:$E, 151))</f>
        <v>#N/A</v>
      </c>
      <c r="E301" s="13" t="e">
        <f>IF(INDEX(Haviz!$D:$D, 151)="", NA(), INDEX(Haviz!$K:$K, 151))</f>
        <v>#N/A</v>
      </c>
      <c r="F301" t="e">
        <f t="shared" si="8"/>
        <v>#N/A</v>
      </c>
      <c r="G301" s="13" t="e">
        <f>IF(INDEX(Haviz!$D:$D, 151)="", NA(), INDEX(Haviz!$L:$L, 151))</f>
        <v>#N/A</v>
      </c>
      <c r="H301" t="e">
        <f t="shared" si="9"/>
        <v>#N/A</v>
      </c>
    </row>
    <row r="302" spans="1:8" x14ac:dyDescent="0.2">
      <c r="A302" t="str">
        <f>IF(INDEX(Danang!$D:$D, 2)="", NA(), "Danang (Quality Assurance)")</f>
        <v>Danang (Quality Assurance)</v>
      </c>
      <c r="B302" t="str">
        <f>IF(INDEX(Danang!$D:$D, 2)="", NA(), INDEX(Danang!$B:$B, 2))</f>
        <v>Integrasi TCES TICS</v>
      </c>
      <c r="C302" t="str">
        <f>IF(INDEX(Danang!$D:$D, 2)="", NA(), INDEX(Danang!$D:$D, 2))</f>
        <v>Sharing knowledge mengenai sistem business flow TCIS dan TCES</v>
      </c>
      <c r="D302" t="str">
        <f>IF(INDEX(Danang!$D:$D, 2)="", NA(), INDEX(Danang!$E:$E, 2))</f>
        <v>DONE</v>
      </c>
      <c r="E302" s="13">
        <f>IF(INDEX(Danang!$D:$D, 2)="", NA(), INDEX(Danang!$K:$K, 2))</f>
        <v>46239</v>
      </c>
      <c r="F302">
        <f t="shared" si="8"/>
        <v>1</v>
      </c>
      <c r="G302" s="13">
        <f>IF(INDEX(Danang!$D:$D, 2)="", NA(), INDEX(Danang!$L:$L, 2))</f>
        <v>46239</v>
      </c>
      <c r="H302" t="str">
        <f t="shared" si="9"/>
        <v>Danang (Quality Assurance) - Integrasi TCES TICS - Sharing knowledge mengenai sistem business flow TCIS dan TCES</v>
      </c>
    </row>
    <row r="303" spans="1:8" x14ac:dyDescent="0.2">
      <c r="A303" t="str">
        <f>IF(INDEX(Danang!$D:$D, 3)="", NA(), "Danang (Quality Assurance)")</f>
        <v>Danang (Quality Assurance)</v>
      </c>
      <c r="B303" t="str">
        <f>IF(INDEX(Danang!$D:$D, 3)="", NA(), INDEX(Danang!$B:$B, 3))</f>
        <v>Integrasi TCES TICS</v>
      </c>
      <c r="C303" t="str">
        <f>IF(INDEX(Danang!$D:$D, 3)="", NA(), INDEX(Danang!$D:$D, 3))</f>
        <v>Melakukan Pengecekan TICS - Sanitize URL Evidance (QA) untuk selanjutnya dinaikkan ke tahap Production</v>
      </c>
      <c r="D303" t="str">
        <f>IF(INDEX(Danang!$D:$D, 3)="", NA(), INDEX(Danang!$E:$E, 3))</f>
        <v>DONE</v>
      </c>
      <c r="E303" s="13">
        <f>IF(INDEX(Danang!$D:$D, 3)="", NA(), INDEX(Danang!$K:$K, 3))</f>
        <v>46240</v>
      </c>
      <c r="F303">
        <f t="shared" si="8"/>
        <v>1</v>
      </c>
      <c r="G303" s="13">
        <f>IF(INDEX(Danang!$D:$D, 3)="", NA(), INDEX(Danang!$L:$L, 3))</f>
        <v>46240</v>
      </c>
      <c r="H303" t="str">
        <f t="shared" si="9"/>
        <v>Danang (Quality Assurance) - Integrasi TCES TICS - Melakukan Pengecekan TICS - Sanitize URL Evidance (QA) untuk selanjutnya dinaikkan ke tahap Production</v>
      </c>
    </row>
    <row r="304" spans="1:8" x14ac:dyDescent="0.2">
      <c r="A304" t="str">
        <f>IF(INDEX(Danang!$D:$D, 4)="", NA(), "Danang (Quality Assurance)")</f>
        <v>Danang (Quality Assurance)</v>
      </c>
      <c r="B304" t="str">
        <f>IF(INDEX(Danang!$D:$D, 4)="", NA(), INDEX(Danang!$B:$B, 4))</f>
        <v>Integrasi TCES TICS</v>
      </c>
      <c r="C304" t="str">
        <f>IF(INDEX(Danang!$D:$D, 4)="", NA(), INDEX(Danang!$D:$D, 4))</f>
        <v>Membuat Test Case untuk kebutuhan pengujian testing API integration terdiri dari no test case, kategori, mode fitur, skenario, expected result, actual result, status testing</v>
      </c>
      <c r="D304" t="str">
        <f>IF(INDEX(Danang!$D:$D, 4)="", NA(), INDEX(Danang!$E:$E, 4))</f>
        <v>DONE</v>
      </c>
      <c r="E304" s="13">
        <f>IF(INDEX(Danang!$D:$D, 4)="", NA(), INDEX(Danang!$K:$K, 4))</f>
        <v>46241</v>
      </c>
      <c r="F304">
        <f t="shared" si="8"/>
        <v>5</v>
      </c>
      <c r="G304" s="13">
        <f>IF(INDEX(Danang!$D:$D, 4)="", NA(), INDEX(Danang!$L:$L, 4))</f>
        <v>46246</v>
      </c>
      <c r="H304" t="str">
        <f t="shared" si="9"/>
        <v>Danang (Quality Assurance) - Integrasi TCES TICS - Membuat Test Case untuk kebutuhan pengujian testing API integration terdiri dari no test case, kategori, mode fitur, skenario, expected result, actual result, status testing</v>
      </c>
    </row>
    <row r="305" spans="1:8" x14ac:dyDescent="0.2">
      <c r="A305" t="str">
        <f>IF(INDEX(Danang!$D:$D, 5)="", NA(), "Danang (Quality Assurance)")</f>
        <v>Danang (Quality Assurance)</v>
      </c>
      <c r="B305" t="str">
        <f>IF(INDEX(Danang!$D:$D, 5)="", NA(), INDEX(Danang!$B:$B, 5))</f>
        <v>Integrasi TCES TICS</v>
      </c>
      <c r="C305" t="str">
        <f>IF(INDEX(Danang!$D:$D, 5)="", NA(), INDEX(Danang!$D:$D, 5))</f>
        <v>Meeting membahas timeline flow testing dan cara kerja untuk membuat test case dan hit scenario integrasi TICS dan TECS</v>
      </c>
      <c r="D305" t="str">
        <f>IF(INDEX(Danang!$D:$D, 5)="", NA(), INDEX(Danang!$E:$E, 5))</f>
        <v>DONE</v>
      </c>
      <c r="E305" s="13">
        <f>IF(INDEX(Danang!$D:$D, 5)="", NA(), INDEX(Danang!$K:$K, 5))</f>
        <v>46244</v>
      </c>
      <c r="F305">
        <f t="shared" si="8"/>
        <v>1</v>
      </c>
      <c r="G305" s="13">
        <f>IF(INDEX(Danang!$D:$D, 5)="", NA(), INDEX(Danang!$L:$L, 5))</f>
        <v>46244</v>
      </c>
      <c r="H305" t="str">
        <f t="shared" si="9"/>
        <v>Danang (Quality Assurance) - Integrasi TCES TICS - Meeting membahas timeline flow testing dan cara kerja untuk membuat test case dan hit scenario integrasi TICS dan TECS</v>
      </c>
    </row>
    <row r="306" spans="1:8" x14ac:dyDescent="0.2">
      <c r="A306" t="str">
        <f>IF(INDEX(Danang!$D:$D, 6)="", NA(), "Danang (Quality Assurance)")</f>
        <v>Danang (Quality Assurance)</v>
      </c>
      <c r="B306" t="str">
        <f>IF(INDEX(Danang!$D:$D, 6)="", NA(), INDEX(Danang!$B:$B, 6))</f>
        <v>Integrasi TCES TICS</v>
      </c>
      <c r="C306" t="str">
        <f>IF(INDEX(Danang!$D:$D, 6)="", NA(), INDEX(Danang!$D:$D, 6))</f>
        <v>Meeting mengenai testing flow produk TCES beserta penjelasan produk TCES</v>
      </c>
      <c r="D306" t="str">
        <f>IF(INDEX(Danang!$D:$D, 6)="", NA(), INDEX(Danang!$E:$E, 6))</f>
        <v>DONE</v>
      </c>
      <c r="E306" s="13">
        <f>IF(INDEX(Danang!$D:$D, 6)="", NA(), INDEX(Danang!$K:$K, 6))</f>
        <v>46245</v>
      </c>
      <c r="F306">
        <f t="shared" si="8"/>
        <v>1</v>
      </c>
      <c r="G306" s="13">
        <f>IF(INDEX(Danang!$D:$D, 6)="", NA(), INDEX(Danang!$L:$L, 6))</f>
        <v>46245</v>
      </c>
      <c r="H306" t="str">
        <f t="shared" si="9"/>
        <v>Danang (Quality Assurance) - Integrasi TCES TICS - Meeting mengenai testing flow produk TCES beserta penjelasan produk TCES</v>
      </c>
    </row>
    <row r="307" spans="1:8" x14ac:dyDescent="0.2">
      <c r="A307" t="str">
        <f>IF(INDEX(Danang!$D:$D, 7)="", NA(), "Danang (Quality Assurance)")</f>
        <v>Danang (Quality Assurance)</v>
      </c>
      <c r="B307" t="str">
        <f>IF(INDEX(Danang!$D:$D, 7)="", NA(), INDEX(Danang!$B:$B, 7))</f>
        <v>Integrasi TCES TICS</v>
      </c>
      <c r="C307" t="str">
        <f>IF(INDEX(Danang!$D:$D, 7)="", NA(), INDEX(Danang!$D:$D, 7))</f>
        <v>Membuat Tes Case Pengujian API - Update Test case untuk API Integration dengan menambahkan sheet Information capture, dan menambahkan detail seperti remarks, tgl testing</v>
      </c>
      <c r="D307" t="str">
        <f>IF(INDEX(Danang!$D:$D, 7)="", NA(), INDEX(Danang!$E:$E, 7))</f>
        <v>DONE</v>
      </c>
      <c r="E307" s="13">
        <f>IF(INDEX(Danang!$D:$D, 7)="", NA(), INDEX(Danang!$K:$K, 7))</f>
        <v>46246</v>
      </c>
      <c r="F307">
        <f t="shared" si="8"/>
        <v>1</v>
      </c>
      <c r="G307" s="13">
        <f>IF(INDEX(Danang!$D:$D, 7)="", NA(), INDEX(Danang!$L:$L, 7))</f>
        <v>46246</v>
      </c>
      <c r="H307" t="str">
        <f t="shared" si="9"/>
        <v>Danang (Quality Assurance) - Integrasi TCES TICS - Membuat Tes Case Pengujian API - Update Test case untuk API Integration dengan menambahkan sheet Information capture, dan menambahkan detail seperti remarks, tgl testing</v>
      </c>
    </row>
    <row r="308" spans="1:8" x14ac:dyDescent="0.2">
      <c r="A308" t="str">
        <f>IF(INDEX(Danang!$D:$D, 8)="", NA(), "Danang (Quality Assurance)")</f>
        <v>Danang (Quality Assurance)</v>
      </c>
      <c r="B308" t="str">
        <f>IF(INDEX(Danang!$D:$D, 8)="", NA(), INDEX(Danang!$B:$B, 8))</f>
        <v>Integrasi TCES TICS</v>
      </c>
      <c r="C308" t="str">
        <f>IF(INDEX(Danang!$D:$D, 8)="", NA(), INDEX(Danang!$D:$D, 8))</f>
        <v>Membuat Test Case Pengujian API - Update Test case untuk API Integration untuk menambahkan 3 skenario negative yaitu scenario Timestamp, signature, dan User-Id dengan masing-masing case invalid</v>
      </c>
      <c r="D308" t="str">
        <f>IF(INDEX(Danang!$D:$D, 8)="", NA(), INDEX(Danang!$E:$E, 8))</f>
        <v>DONE</v>
      </c>
      <c r="E308" s="13">
        <f>IF(INDEX(Danang!$D:$D, 8)="", NA(), INDEX(Danang!$K:$K, 8))</f>
        <v>46247</v>
      </c>
      <c r="F308">
        <f t="shared" si="8"/>
        <v>1</v>
      </c>
      <c r="G308" s="13">
        <f>IF(INDEX(Danang!$D:$D, 8)="", NA(), INDEX(Danang!$L:$L, 8))</f>
        <v>46247</v>
      </c>
      <c r="H308" t="str">
        <f t="shared" si="9"/>
        <v>Danang (Quality Assurance) - Integrasi TCES TICS - Membuat Test Case Pengujian API - Update Test case untuk API Integration untuk menambahkan 3 skenario negative yaitu scenario Timestamp, signature, dan User-Id dengan masing-masing case invalid</v>
      </c>
    </row>
    <row r="309" spans="1:8" x14ac:dyDescent="0.2">
      <c r="A309" t="str">
        <f>IF(INDEX(Danang!$D:$D, 9)="", NA(), "Danang (Quality Assurance)")</f>
        <v>Danang (Quality Assurance)</v>
      </c>
      <c r="B309" t="str">
        <f>IF(INDEX(Danang!$D:$D, 9)="", NA(), INDEX(Danang!$B:$B, 9))</f>
        <v>Integrasi TCES TICS</v>
      </c>
      <c r="C309" t="str">
        <f>IF(INDEX(Danang!$D:$D, 9)="", NA(), INDEX(Danang!$D:$D, 9))</f>
        <v>Melakukan simulasi hit scenario Test Case API Integration TCES TICS - testing penerapan signature, timestamp, dan user-id menggunakan postman</v>
      </c>
      <c r="D309" t="str">
        <f>IF(INDEX(Danang!$D:$D, 9)="", NA(), INDEX(Danang!$E:$E, 9))</f>
        <v>DONE</v>
      </c>
      <c r="E309" s="13">
        <f>IF(INDEX(Danang!$D:$D, 9)="", NA(), INDEX(Danang!$K:$K, 9))</f>
        <v>46248</v>
      </c>
      <c r="F309">
        <f t="shared" si="8"/>
        <v>1</v>
      </c>
      <c r="G309" s="13">
        <f>IF(INDEX(Danang!$D:$D, 9)="", NA(), INDEX(Danang!$L:$L, 9))</f>
        <v>46248</v>
      </c>
      <c r="H309" t="str">
        <f t="shared" si="9"/>
        <v>Danang (Quality Assurance) - Integrasi TCES TICS - Melakukan simulasi hit scenario Test Case API Integration TCES TICS - testing penerapan signature, timestamp, dan user-id menggunakan postman</v>
      </c>
    </row>
    <row r="310" spans="1:8" x14ac:dyDescent="0.2">
      <c r="A310" t="str">
        <f>IF(INDEX(Danang!$D:$D, 10)="", NA(), "Danang (Quality Assurance)")</f>
        <v>Danang (Quality Assurance)</v>
      </c>
      <c r="B310" t="str">
        <f>IF(INDEX(Danang!$D:$D, 10)="", NA(), INDEX(Danang!$B:$B, 10))</f>
        <v>Integrasi TCES TICS</v>
      </c>
      <c r="C310" t="str">
        <f>IF(INDEX(Danang!$D:$D, 10)="", NA(), INDEX(Danang!$D:$D, 10))</f>
        <v>Membuat Test Case Pengujian API - Adjustment QA API Tracker TCES-TICS: Standarisasi Kolom Skenario (Payload/Expected Result) &amp; Panduan Referensi HTTP</v>
      </c>
      <c r="D310" t="str">
        <f>IF(INDEX(Danang!$D:$D, 10)="", NA(), INDEX(Danang!$E:$E, 10))</f>
        <v>DONE</v>
      </c>
      <c r="E310" s="13">
        <f>IF(INDEX(Danang!$D:$D, 10)="", NA(), INDEX(Danang!$K:$K, 10))</f>
        <v>46252</v>
      </c>
      <c r="F310">
        <f t="shared" si="8"/>
        <v>1</v>
      </c>
      <c r="G310" s="13">
        <f>IF(INDEX(Danang!$D:$D, 10)="", NA(), INDEX(Danang!$L:$L, 10))</f>
        <v>46252</v>
      </c>
      <c r="H310" t="str">
        <f t="shared" si="9"/>
        <v>Danang (Quality Assurance) - Integrasi TCES TICS - Membuat Test Case Pengujian API - Adjustment QA API Tracker TCES-TICS: Standarisasi Kolom Skenario (Payload/Expected Result) &amp; Panduan Referensi HTTP</v>
      </c>
    </row>
    <row r="311" spans="1:8" x14ac:dyDescent="0.2">
      <c r="A311" t="str">
        <f>IF(INDEX(Danang!$D:$D, 11)="", NA(), "Danang (Quality Assurance)")</f>
        <v>Danang (Quality Assurance)</v>
      </c>
      <c r="B311" t="str">
        <f>IF(INDEX(Danang!$D:$D, 11)="", NA(), INDEX(Danang!$B:$B, 11))</f>
        <v>Integrasi TCES TICS</v>
      </c>
      <c r="C311" t="str">
        <f>IF(INDEX(Danang!$D:$D, 11)="", NA(), INDEX(Danang!$D:$D, 11))</f>
        <v xml:space="preserve">Melakukan approval Test Case Pengujian API TCES-TICS ke user untuk memvalidasi Test Case yang telah dibuat untuk selanjutnya bisa dilakukan execution testing </v>
      </c>
      <c r="D311" t="str">
        <f>IF(INDEX(Danang!$D:$D, 11)="", NA(), INDEX(Danang!$E:$E, 11))</f>
        <v>DONE</v>
      </c>
      <c r="E311" s="13">
        <f>IF(INDEX(Danang!$D:$D, 11)="", NA(), INDEX(Danang!$K:$K, 11))</f>
        <v>46253</v>
      </c>
      <c r="F311">
        <f t="shared" si="8"/>
        <v>1</v>
      </c>
      <c r="G311" s="13">
        <f>IF(INDEX(Danang!$D:$D, 11)="", NA(), INDEX(Danang!$L:$L, 11))</f>
        <v>46253</v>
      </c>
      <c r="H311" t="str">
        <f t="shared" si="9"/>
        <v xml:space="preserve">Danang (Quality Assurance) - Integrasi TCES TICS - Melakukan approval Test Case Pengujian API TCES-TICS ke user untuk memvalidasi Test Case yang telah dibuat untuk selanjutnya bisa dilakukan execution testing </v>
      </c>
    </row>
    <row r="312" spans="1:8" x14ac:dyDescent="0.2">
      <c r="A312" t="str">
        <f>IF(INDEX(Danang!$D:$D, 12)="", NA(), "Danang (Quality Assurance)")</f>
        <v>Danang (Quality Assurance)</v>
      </c>
      <c r="B312" t="str">
        <f>IF(INDEX(Danang!$D:$D, 12)="", NA(), INDEX(Danang!$B:$B, 12))</f>
        <v>Integrasi TCES TICS</v>
      </c>
      <c r="C312" t="str">
        <f>IF(INDEX(Danang!$D:$D, 12)="", NA(), INDEX(Danang!$D:$D, 12))</f>
        <v>Menjalankan execute Test Case API Integration TCES - TICS menggunakan Postman untuk mengetahui hasil testing sesuai dengan expected yang diminta sesuai dengan skenario</v>
      </c>
      <c r="D312" t="str">
        <f>IF(INDEX(Danang!$D:$D, 12)="", NA(), INDEX(Danang!$E:$E, 12))</f>
        <v>DONE</v>
      </c>
      <c r="E312" s="13">
        <f>IF(INDEX(Danang!$D:$D, 12)="", NA(), INDEX(Danang!$K:$K, 12))</f>
        <v>46254</v>
      </c>
      <c r="F312">
        <f t="shared" si="8"/>
        <v>1</v>
      </c>
      <c r="G312" s="13">
        <f>IF(INDEX(Danang!$D:$D, 12)="", NA(), INDEX(Danang!$L:$L, 12))</f>
        <v>46254</v>
      </c>
      <c r="H312" t="str">
        <f t="shared" si="9"/>
        <v>Danang (Quality Assurance) - Integrasi TCES TICS - Menjalankan execute Test Case API Integration TCES - TICS menggunakan Postman untuk mengetahui hasil testing sesuai dengan expected yang diminta sesuai dengan skenario</v>
      </c>
    </row>
    <row r="313" spans="1:8" x14ac:dyDescent="0.2">
      <c r="A313" t="str">
        <f>IF(INDEX(Danang!$D:$D, 13)="", NA(), "Danang (Quality Assurance)")</f>
        <v>Danang (Quality Assurance)</v>
      </c>
      <c r="B313" t="str">
        <f>IF(INDEX(Danang!$D:$D, 13)="", NA(), INDEX(Danang!$B:$B, 13))</f>
        <v>Integrasi TCES TICS</v>
      </c>
      <c r="C313" t="str">
        <f>IF(INDEX(Danang!$D:$D, 13)="", NA(), INDEX(Danang!$D:$D, 13))</f>
        <v xml:space="preserve">Mereview test case yang sudah diexecute untuk memastikan hasil yang diterima sesuai dengan ekspektasi yang diminta dalam scenario </v>
      </c>
      <c r="D313" t="str">
        <f>IF(INDEX(Danang!$D:$D, 13)="", NA(), INDEX(Danang!$E:$E, 13))</f>
        <v>DONE</v>
      </c>
      <c r="E313" s="13">
        <f>IF(INDEX(Danang!$D:$D, 13)="", NA(), INDEX(Danang!$K:$K, 13))</f>
        <v>46255</v>
      </c>
      <c r="F313">
        <f t="shared" si="8"/>
        <v>1</v>
      </c>
      <c r="G313" s="13">
        <f>IF(INDEX(Danang!$D:$D, 13)="", NA(), INDEX(Danang!$L:$L, 13))</f>
        <v>46255</v>
      </c>
      <c r="H313" t="str">
        <f t="shared" si="9"/>
        <v xml:space="preserve">Danang (Quality Assurance) - Integrasi TCES TICS - Mereview test case yang sudah diexecute untuk memastikan hasil yang diterima sesuai dengan ekspektasi yang diminta dalam scenario </v>
      </c>
    </row>
    <row r="314" spans="1:8" x14ac:dyDescent="0.2">
      <c r="A314" t="str">
        <f>IF(INDEX(Danang!$D:$D, 14)="", NA(), "Danang (Quality Assurance)")</f>
        <v>Danang (Quality Assurance)</v>
      </c>
      <c r="B314" t="str">
        <f>IF(INDEX(Danang!$D:$D, 14)="", NA(), INDEX(Danang!$B:$B, 14))</f>
        <v>Integrasi TCES TICS</v>
      </c>
      <c r="C314" t="str">
        <f>IF(INDEX(Danang!$D:$D, 14)="", NA(), INDEX(Danang!$D:$D, 14))</f>
        <v>Melakukan meeting terkait progress review task yang sudah dikerjakan bersama tim dan stakeholder</v>
      </c>
      <c r="D314" t="str">
        <f>IF(INDEX(Danang!$D:$D, 14)="", NA(), INDEX(Danang!$E:$E, 14))</f>
        <v>DONE</v>
      </c>
      <c r="E314" s="13">
        <f>IF(INDEX(Danang!$D:$D, 14)="", NA(), INDEX(Danang!$K:$K, 14))</f>
        <v>46258</v>
      </c>
      <c r="F314">
        <f t="shared" si="8"/>
        <v>1</v>
      </c>
      <c r="G314" s="13">
        <f>IF(INDEX(Danang!$D:$D, 14)="", NA(), INDEX(Danang!$L:$L, 14))</f>
        <v>46258</v>
      </c>
      <c r="H314" t="str">
        <f t="shared" si="9"/>
        <v>Danang (Quality Assurance) - Integrasi TCES TICS - Melakukan meeting terkait progress review task yang sudah dikerjakan bersama tim dan stakeholder</v>
      </c>
    </row>
    <row r="315" spans="1:8" x14ac:dyDescent="0.2">
      <c r="A315" t="str">
        <f>IF(INDEX(Danang!$D:$D, 15)="", NA(), "Danang (Quality Assurance)")</f>
        <v>Danang (Quality Assurance)</v>
      </c>
      <c r="B315" t="str">
        <f>IF(INDEX(Danang!$D:$D, 15)="", NA(), INDEX(Danang!$B:$B, 15))</f>
        <v>Integrasi TCES TICS</v>
      </c>
      <c r="C315" t="str">
        <f>IF(INDEX(Danang!$D:$D, 15)="", NA(), INDEX(Danang!$D:$D, 15))</f>
        <v>Testing end-to-end fitur TCES dengan memastikan data nomor polis yang sudah terbentuk masuk kedalam TICS</v>
      </c>
      <c r="D315" t="str">
        <f>IF(INDEX(Danang!$D:$D, 15)="", NA(), INDEX(Danang!$E:$E, 15))</f>
        <v>DONE</v>
      </c>
      <c r="E315" s="13">
        <f>IF(INDEX(Danang!$D:$D, 15)="", NA(), INDEX(Danang!$K:$K, 15))</f>
        <v>46260</v>
      </c>
      <c r="F315">
        <f t="shared" si="8"/>
        <v>1</v>
      </c>
      <c r="G315" s="13">
        <f>IF(INDEX(Danang!$D:$D, 15)="", NA(), INDEX(Danang!$L:$L, 15))</f>
        <v>46260</v>
      </c>
      <c r="H315" t="str">
        <f t="shared" si="9"/>
        <v>Danang (Quality Assurance) - Integrasi TCES TICS - Testing end-to-end fitur TCES dengan memastikan data nomor polis yang sudah terbentuk masuk kedalam TICS</v>
      </c>
    </row>
    <row r="316" spans="1:8" x14ac:dyDescent="0.2">
      <c r="A316" t="str">
        <f>IF(INDEX(Danang!$D:$D, 16)="", NA(), "Danang (Quality Assurance)")</f>
        <v>Danang (Quality Assurance)</v>
      </c>
      <c r="B316" t="str">
        <f>IF(INDEX(Danang!$D:$D, 16)="", NA(), INDEX(Danang!$B:$B, 16))</f>
        <v>Integrasi TCES TICS</v>
      </c>
      <c r="C316" t="str">
        <f>IF(INDEX(Danang!$D:$D, 16)="", NA(), INDEX(Danang!$D:$D, 16))</f>
        <v>Membuat test case untuk end-to-end TCES untuk produk Tride dan execute testing sampai terbentuk polis number</v>
      </c>
      <c r="D316" t="str">
        <f>IF(INDEX(Danang!$D:$D, 16)="", NA(), INDEX(Danang!$E:$E, 16))</f>
        <v>DONE</v>
      </c>
      <c r="E316" s="13">
        <f>IF(INDEX(Danang!$D:$D, 16)="", NA(), INDEX(Danang!$K:$K, 16))</f>
        <v>46261</v>
      </c>
      <c r="F316">
        <f t="shared" si="8"/>
        <v>1</v>
      </c>
      <c r="G316" s="13">
        <f>IF(INDEX(Danang!$D:$D, 16)="", NA(), INDEX(Danang!$L:$L, 16))</f>
        <v>46261</v>
      </c>
      <c r="H316" t="str">
        <f t="shared" si="9"/>
        <v>Danang (Quality Assurance) - Integrasi TCES TICS - Membuat test case untuk end-to-end TCES untuk produk Tride dan execute testing sampai terbentuk polis number</v>
      </c>
    </row>
    <row r="317" spans="1:8" x14ac:dyDescent="0.2">
      <c r="A317" t="str">
        <f>IF(INDEX(Danang!$D:$D, 17)="", NA(), "Danang (Quality Assurance)")</f>
        <v>Danang (Quality Assurance)</v>
      </c>
      <c r="B317" t="str">
        <f>IF(INDEX(Danang!$D:$D, 17)="", NA(), INDEX(Danang!$B:$B, 17))</f>
        <v>Integrasi TCES TICS</v>
      </c>
      <c r="C317" t="str">
        <f>IF(INDEX(Danang!$D:$D, 17)="", NA(), INDEX(Danang!$D:$D, 17))</f>
        <v>Membuat dan menjalankan test-case end-to-end TCES untuk produk Tride sampai terbentuk polis dan terintegrasi dengan TICS</v>
      </c>
      <c r="D317" t="str">
        <f>IF(INDEX(Danang!$D:$D, 17)="", NA(), INDEX(Danang!$E:$E, 17))</f>
        <v>DONE</v>
      </c>
      <c r="E317" s="13">
        <f>IF(INDEX(Danang!$D:$D, 17)="", NA(), INDEX(Danang!$K:$K, 17))</f>
        <v>46262</v>
      </c>
      <c r="F317">
        <f t="shared" si="8"/>
        <v>1</v>
      </c>
      <c r="G317" s="13">
        <f>IF(INDEX(Danang!$D:$D, 17)="", NA(), INDEX(Danang!$L:$L, 17))</f>
        <v>46262</v>
      </c>
      <c r="H317" t="str">
        <f t="shared" si="9"/>
        <v>Danang (Quality Assurance) - Integrasi TCES TICS - Membuat dan menjalankan test-case end-to-end TCES untuk produk Tride sampai terbentuk polis dan terintegrasi dengan TICS</v>
      </c>
    </row>
    <row r="318" spans="1:8" x14ac:dyDescent="0.2">
      <c r="A318" t="str">
        <f>IF(INDEX(Danang!$D:$D, 18)="", NA(), "Danang (Quality Assurance)")</f>
        <v>Danang (Quality Assurance)</v>
      </c>
      <c r="B318" t="str">
        <f>IF(INDEX(Danang!$D:$D, 18)="", NA(), INDEX(Danang!$B:$B, 18))</f>
        <v>Integrasi TCES TICS</v>
      </c>
      <c r="C318" t="str">
        <f>IF(INDEX(Danang!$D:$D, 18)="", NA(), INDEX(Danang!$D:$D, 18))</f>
        <v>Mengexecute testing produk T-Travella dan T-Property sampai terbentuk polis dan terdaftar di Payload</v>
      </c>
      <c r="D318" t="str">
        <f>IF(INDEX(Danang!$D:$D, 18)="", NA(), INDEX(Danang!$E:$E, 18))</f>
        <v>DONE</v>
      </c>
      <c r="E318" s="13">
        <f>IF(INDEX(Danang!$D:$D, 18)="", NA(), INDEX(Danang!$K:$K, 18))</f>
        <v>46265</v>
      </c>
      <c r="F318">
        <f t="shared" si="8"/>
        <v>1</v>
      </c>
      <c r="G318" s="13">
        <f>IF(INDEX(Danang!$D:$D, 18)="", NA(), INDEX(Danang!$L:$L, 18))</f>
        <v>46265</v>
      </c>
      <c r="H318" t="str">
        <f t="shared" si="9"/>
        <v>Danang (Quality Assurance) - Integrasi TCES TICS - Mengexecute testing produk T-Travella dan T-Property sampai terbentuk polis dan terdaftar di Payload</v>
      </c>
    </row>
    <row r="319" spans="1:8" x14ac:dyDescent="0.2">
      <c r="A319" t="str">
        <f>IF(INDEX(Danang!$D:$D, 19)="", NA(), "Danang (Quality Assurance)")</f>
        <v>Danang (Quality Assurance)</v>
      </c>
      <c r="B319" t="str">
        <f>IF(INDEX(Danang!$D:$D, 19)="", NA(), INDEX(Danang!$B:$B, 19))</f>
        <v>Integrasi TCES TICS</v>
      </c>
      <c r="C319" t="str">
        <f>IF(INDEX(Danang!$D:$D, 19)="", NA(), INDEX(Danang!$D:$D, 19))</f>
        <v>Menjalankan execute Test Case Produk TCES TDrive secara end-to-end sampai data polis masuk kedalam TICS</v>
      </c>
      <c r="D319" t="str">
        <f>IF(INDEX(Danang!$D:$D, 19)="", NA(), INDEX(Danang!$E:$E, 19))</f>
        <v>DONE</v>
      </c>
      <c r="E319" s="13">
        <f>IF(INDEX(Danang!$D:$D, 19)="", NA(), INDEX(Danang!$K:$K, 19))</f>
        <v>46266</v>
      </c>
      <c r="F319">
        <f t="shared" si="8"/>
        <v>1</v>
      </c>
      <c r="G319" s="13">
        <f>IF(INDEX(Danang!$D:$D, 19)="", NA(), INDEX(Danang!$L:$L, 19))</f>
        <v>46266</v>
      </c>
      <c r="H319" t="str">
        <f t="shared" si="9"/>
        <v>Danang (Quality Assurance) - Integrasi TCES TICS - Menjalankan execute Test Case Produk TCES TDrive secara end-to-end sampai data polis masuk kedalam TICS</v>
      </c>
    </row>
    <row r="320" spans="1:8" x14ac:dyDescent="0.2">
      <c r="A320" t="str">
        <f>IF(INDEX(Danang!$D:$D, 20)="", NA(), "Danang (Quality Assurance)")</f>
        <v>Danang (Quality Assurance)</v>
      </c>
      <c r="B320" t="str">
        <f>IF(INDEX(Danang!$D:$D, 20)="", NA(), INDEX(Danang!$B:$B, 20))</f>
        <v>Integrasi TCES TICS</v>
      </c>
      <c r="C320" t="str">
        <f>IF(INDEX(Danang!$D:$D, 20)="", NA(), INDEX(Danang!$D:$D, 20))</f>
        <v>Menjalankan execute Test Case Produk TCES TTravella secara end-to-end sampai data polis masuk kedalam TICS</v>
      </c>
      <c r="D320" t="str">
        <f>IF(INDEX(Danang!$D:$D, 20)="", NA(), INDEX(Danang!$E:$E, 20))</f>
        <v>DONE</v>
      </c>
      <c r="E320" s="13">
        <f>IF(INDEX(Danang!$D:$D, 20)="", NA(), INDEX(Danang!$K:$K, 20))</f>
        <v>46267</v>
      </c>
      <c r="F320">
        <f t="shared" si="8"/>
        <v>1</v>
      </c>
      <c r="G320" s="13">
        <f>IF(INDEX(Danang!$D:$D, 20)="", NA(), INDEX(Danang!$L:$L, 20))</f>
        <v>46267</v>
      </c>
      <c r="H320" t="str">
        <f t="shared" si="9"/>
        <v>Danang (Quality Assurance) - Integrasi TCES TICS - Menjalankan execute Test Case Produk TCES TTravella secara end-to-end sampai data polis masuk kedalam TICS</v>
      </c>
    </row>
    <row r="321" spans="1:8" x14ac:dyDescent="0.2">
      <c r="A321" t="str">
        <f>IF(INDEX(Danang!$D:$D, 21)="", NA(), "Danang (Quality Assurance)")</f>
        <v>Danang (Quality Assurance)</v>
      </c>
      <c r="B321" t="str">
        <f>IF(INDEX(Danang!$D:$D, 21)="", NA(), INDEX(Danang!$B:$B, 21))</f>
        <v>Integrasi TCES TICS</v>
      </c>
      <c r="C321" t="str">
        <f>IF(INDEX(Danang!$D:$D, 21)="", NA(), INDEX(Danang!$D:$D, 21))</f>
        <v>Menjalankan execute Test Case Produk TCES TFire secara end-to-end sampai data polis masuk kedalam TICS</v>
      </c>
      <c r="D321" t="str">
        <f>IF(INDEX(Danang!$D:$D, 21)="", NA(), INDEX(Danang!$E:$E, 21))</f>
        <v>DONE</v>
      </c>
      <c r="E321" s="13">
        <f>IF(INDEX(Danang!$D:$D, 21)="", NA(), INDEX(Danang!$K:$K, 21))</f>
        <v>46268</v>
      </c>
      <c r="F321">
        <f t="shared" si="8"/>
        <v>1</v>
      </c>
      <c r="G321" s="13">
        <f>IF(INDEX(Danang!$D:$D, 21)="", NA(), INDEX(Danang!$L:$L, 21))</f>
        <v>46268</v>
      </c>
      <c r="H321" t="str">
        <f t="shared" si="9"/>
        <v>Danang (Quality Assurance) - Integrasi TCES TICS - Menjalankan execute Test Case Produk TCES TFire secara end-to-end sampai data polis masuk kedalam TICS</v>
      </c>
    </row>
    <row r="322" spans="1:8" x14ac:dyDescent="0.2">
      <c r="A322" t="str">
        <f>IF(INDEX(Danang!$D:$D, 22)="", NA(), "Danang (Quality Assurance)")</f>
        <v>Danang (Quality Assurance)</v>
      </c>
      <c r="B322" t="str">
        <f>IF(INDEX(Danang!$D:$D, 22)="", NA(), INDEX(Danang!$B:$B, 22))</f>
        <v>Integrasi TCES TICS</v>
      </c>
      <c r="C322" t="str">
        <f>IF(INDEX(Danang!$D:$D, 22)="", NA(), INDEX(Danang!$D:$D, 22))</f>
        <v xml:space="preserve">Meeting sharing knowledge pengenalan aplikasi BAST TCES </v>
      </c>
      <c r="D322" t="str">
        <f>IF(INDEX(Danang!$D:$D, 22)="", NA(), INDEX(Danang!$E:$E, 22))</f>
        <v>DONE</v>
      </c>
      <c r="E322" s="13">
        <f>IF(INDEX(Danang!$D:$D, 22)="", NA(), INDEX(Danang!$K:$K, 22))</f>
        <v>46269</v>
      </c>
      <c r="F322">
        <f t="shared" ref="F322:F385" si="10">IF(OR(E322="", ISNA(E322), ISNA(G322)), 0, MAX(1, G322-E322))</f>
        <v>1</v>
      </c>
      <c r="G322" s="13">
        <f>IF(INDEX(Danang!$D:$D, 22)="", NA(), INDEX(Danang!$L:$L, 22))</f>
        <v>46269</v>
      </c>
      <c r="H322" t="str">
        <f t="shared" ref="H322:H385" si="11">IF(ISNA(C322), NA(), A322 &amp; " - " &amp; B322 &amp; " - " &amp; C322)</f>
        <v xml:space="preserve">Danang (Quality Assurance) - Integrasi TCES TICS - Meeting sharing knowledge pengenalan aplikasi BAST TCES </v>
      </c>
    </row>
    <row r="323" spans="1:8" x14ac:dyDescent="0.2">
      <c r="A323" t="str">
        <f>IF(INDEX(Danang!$D:$D, 23)="", NA(), "Danang (Quality Assurance)")</f>
        <v>Danang (Quality Assurance)</v>
      </c>
      <c r="B323" t="str">
        <f>IF(INDEX(Danang!$D:$D, 23)="", NA(), INDEX(Danang!$B:$B, 23))</f>
        <v>Integrasi TCES TICS</v>
      </c>
      <c r="C323" t="str">
        <f>IF(INDEX(Danang!$D:$D, 23)="", NA(), INDEX(Danang!$D:$D, 23))</f>
        <v>Meeting Review Progress Bersama Seluruh Tim ERP Tugu</v>
      </c>
      <c r="D323" t="str">
        <f>IF(INDEX(Danang!$D:$D, 23)="", NA(), INDEX(Danang!$E:$E, 23))</f>
        <v>DONE</v>
      </c>
      <c r="E323" s="13">
        <f>IF(INDEX(Danang!$D:$D, 23)="", NA(), INDEX(Danang!$K:$K, 23))</f>
        <v>46272</v>
      </c>
      <c r="F323">
        <f t="shared" si="10"/>
        <v>1</v>
      </c>
      <c r="G323" s="13">
        <f>IF(INDEX(Danang!$D:$D, 23)="", NA(), INDEX(Danang!$L:$L, 23))</f>
        <v>46272</v>
      </c>
      <c r="H323" t="str">
        <f t="shared" si="11"/>
        <v>Danang (Quality Assurance) - Integrasi TCES TICS - Meeting Review Progress Bersama Seluruh Tim ERP Tugu</v>
      </c>
    </row>
    <row r="324" spans="1:8" x14ac:dyDescent="0.2">
      <c r="A324" t="str">
        <f>IF(INDEX(Danang!$D:$D, 24)="", NA(), "Danang (Quality Assurance)")</f>
        <v>Danang (Quality Assurance)</v>
      </c>
      <c r="B324" t="str">
        <f>IF(INDEX(Danang!$D:$D, 24)="", NA(), INDEX(Danang!$B:$B, 24))</f>
        <v>Integrasi TCES TICS</v>
      </c>
      <c r="C324" t="str">
        <f>IF(INDEX(Danang!$D:$D, 24)="", NA(), INDEX(Danang!$D:$D, 24))</f>
        <v>Testing end-to-end produk MV (Tride dan Tdrive) di TCES sampai masuk kedalam TICS menggunakan BP yang sudah terdaftar</v>
      </c>
      <c r="D324" t="str">
        <f>IF(INDEX(Danang!$D:$D, 24)="", NA(), INDEX(Danang!$E:$E, 24))</f>
        <v>DONE</v>
      </c>
      <c r="E324" s="13">
        <f>IF(INDEX(Danang!$D:$D, 24)="", NA(), INDEX(Danang!$K:$K, 24))</f>
        <v>46272</v>
      </c>
      <c r="F324">
        <f t="shared" si="10"/>
        <v>1</v>
      </c>
      <c r="G324" s="13">
        <f>IF(INDEX(Danang!$D:$D, 24)="", NA(), INDEX(Danang!$L:$L, 24))</f>
        <v>46273</v>
      </c>
      <c r="H324" t="str">
        <f t="shared" si="11"/>
        <v>Danang (Quality Assurance) - Integrasi TCES TICS - Testing end-to-end produk MV (Tride dan Tdrive) di TCES sampai masuk kedalam TICS menggunakan BP yang sudah terdaftar</v>
      </c>
    </row>
    <row r="325" spans="1:8" x14ac:dyDescent="0.2">
      <c r="A325" t="str">
        <f>IF(INDEX(Danang!$D:$D, 25)="", NA(), "Danang (Quality Assurance)")</f>
        <v>Danang (Quality Assurance)</v>
      </c>
      <c r="B325" t="str">
        <f>IF(INDEX(Danang!$D:$D, 25)="", NA(), INDEX(Danang!$B:$B, 25))</f>
        <v>Integrasi TCES TICS</v>
      </c>
      <c r="C325" t="str">
        <f>IF(INDEX(Danang!$D:$D, 25)="", NA(), INDEX(Danang!$D:$D, 25))</f>
        <v>Testing end-to-end produk MV (Tride dan Tdrive) di TCES sampai masuk kedalam TICS menggunakan BP yang belum terdaftar</v>
      </c>
      <c r="D325" t="str">
        <f>IF(INDEX(Danang!$D:$D, 25)="", NA(), INDEX(Danang!$E:$E, 25))</f>
        <v>DONE</v>
      </c>
      <c r="E325" s="13">
        <f>IF(INDEX(Danang!$D:$D, 25)="", NA(), INDEX(Danang!$K:$K, 25))</f>
        <v>46274</v>
      </c>
      <c r="F325">
        <f t="shared" si="10"/>
        <v>1</v>
      </c>
      <c r="G325" s="13">
        <f>IF(INDEX(Danang!$D:$D, 25)="", NA(), INDEX(Danang!$L:$L, 25))</f>
        <v>46274</v>
      </c>
      <c r="H325" t="str">
        <f t="shared" si="11"/>
        <v>Danang (Quality Assurance) - Integrasi TCES TICS - Testing end-to-end produk MV (Tride dan Tdrive) di TCES sampai masuk kedalam TICS menggunakan BP yang belum terdaftar</v>
      </c>
    </row>
    <row r="326" spans="1:8" x14ac:dyDescent="0.2">
      <c r="A326" t="str">
        <f>IF(INDEX(Danang!$D:$D, 26)="", NA(), "Danang (Quality Assurance)")</f>
        <v>Danang (Quality Assurance)</v>
      </c>
      <c r="B326" t="str">
        <f>IF(INDEX(Danang!$D:$D, 26)="", NA(), INDEX(Danang!$B:$B, 26))</f>
        <v>Integrasi TCES TICS</v>
      </c>
      <c r="C326" t="str">
        <f>IF(INDEX(Danang!$D:$D, 26)="", NA(), INDEX(Danang!$D:$D, 26))</f>
        <v>Retest produk MV (Tride dan Tdrive) secara end-to-end untuk memastikan promo diskon sudah masuk di TCES dan TICS</v>
      </c>
      <c r="D326" t="str">
        <f>IF(INDEX(Danang!$D:$D, 26)="", NA(), INDEX(Danang!$E:$E, 26))</f>
        <v>DONE</v>
      </c>
      <c r="E326" s="13">
        <f>IF(INDEX(Danang!$D:$D, 26)="", NA(), INDEX(Danang!$K:$K, 26))</f>
        <v>46275</v>
      </c>
      <c r="F326">
        <f t="shared" si="10"/>
        <v>1</v>
      </c>
      <c r="G326" s="13">
        <f>IF(INDEX(Danang!$D:$D, 26)="", NA(), INDEX(Danang!$L:$L, 26))</f>
        <v>46275</v>
      </c>
      <c r="H326" t="str">
        <f t="shared" si="11"/>
        <v>Danang (Quality Assurance) - Integrasi TCES TICS - Retest produk MV (Tride dan Tdrive) secara end-to-end untuk memastikan promo diskon sudah masuk di TCES dan TICS</v>
      </c>
    </row>
    <row r="327" spans="1:8" x14ac:dyDescent="0.2">
      <c r="A327" t="str">
        <f>IF(INDEX(Danang!$D:$D, 27)="", NA(), "Danang (Quality Assurance)")</f>
        <v>Danang (Quality Assurance)</v>
      </c>
      <c r="B327" t="str">
        <f>IF(INDEX(Danang!$D:$D, 27)="", NA(), INDEX(Danang!$B:$B, 27))</f>
        <v>Integrasi TCES TICS</v>
      </c>
      <c r="C327" t="str">
        <f>IF(INDEX(Danang!$D:$D, 27)="", NA(), INDEX(Danang!$D:$D, 27))</f>
        <v>Lanjutan : Retest produk MV (Tride dan Tdrive) secara end-to-end untuk memastikan promo diskon sudah masuk di TCES dan TICS</v>
      </c>
      <c r="D327" t="str">
        <f>IF(INDEX(Danang!$D:$D, 27)="", NA(), INDEX(Danang!$E:$E, 27))</f>
        <v>DONE</v>
      </c>
      <c r="E327" s="13">
        <f>IF(INDEX(Danang!$D:$D, 27)="", NA(), INDEX(Danang!$K:$K, 27))</f>
        <v>46276</v>
      </c>
      <c r="F327">
        <f t="shared" si="10"/>
        <v>1</v>
      </c>
      <c r="G327" s="13">
        <f>IF(INDEX(Danang!$D:$D, 27)="", NA(), INDEX(Danang!$L:$L, 27))</f>
        <v>46276</v>
      </c>
      <c r="H327" t="str">
        <f t="shared" si="11"/>
        <v>Danang (Quality Assurance) - Integrasi TCES TICS - Lanjutan : Retest produk MV (Tride dan Tdrive) secara end-to-end untuk memastikan promo diskon sudah masuk di TCES dan TICS</v>
      </c>
    </row>
    <row r="328" spans="1:8" x14ac:dyDescent="0.2">
      <c r="A328" t="str">
        <f>IF(INDEX(Danang!$D:$D, 28)="", NA(), "Danang (Quality Assurance)")</f>
        <v>Danang (Quality Assurance)</v>
      </c>
      <c r="B328" t="str">
        <f>IF(INDEX(Danang!$D:$D, 28)="", NA(), INDEX(Danang!$B:$B, 28))</f>
        <v>Integrasi TCES TICS</v>
      </c>
      <c r="C328" t="str">
        <f>IF(INDEX(Danang!$D:$D, 28)="", NA(), INDEX(Danang!$D:$D, 28))</f>
        <v>Lanjutan : Testing end-to-end produk MV (Tdrive) di TCES sampai masuk kedalam TICS menggunakan BP yang belum terdaftar</v>
      </c>
      <c r="D328" t="str">
        <f>IF(INDEX(Danang!$D:$D, 28)="", NA(), INDEX(Danang!$E:$E, 28))</f>
        <v>DONE</v>
      </c>
      <c r="E328" s="13">
        <f>IF(INDEX(Danang!$D:$D, 28)="", NA(), INDEX(Danang!$K:$K, 28))</f>
        <v>46279</v>
      </c>
      <c r="F328">
        <f t="shared" si="10"/>
        <v>1</v>
      </c>
      <c r="G328" s="13">
        <f>IF(INDEX(Danang!$D:$D, 28)="", NA(), INDEX(Danang!$L:$L, 28))</f>
        <v>46279</v>
      </c>
      <c r="H328" t="str">
        <f t="shared" si="11"/>
        <v>Danang (Quality Assurance) - Integrasi TCES TICS - Lanjutan : Testing end-to-end produk MV (Tdrive) di TCES sampai masuk kedalam TICS menggunakan BP yang belum terdaftar</v>
      </c>
    </row>
    <row r="329" spans="1:8" x14ac:dyDescent="0.2">
      <c r="A329" t="str">
        <f>IF(INDEX(Danang!$D:$D, 29)="", NA(), "Danang (Quality Assurance)")</f>
        <v>Danang (Quality Assurance)</v>
      </c>
      <c r="B329" t="str">
        <f>IF(INDEX(Danang!$D:$D, 29)="", NA(), INDEX(Danang!$B:$B, 29))</f>
        <v>Integrasi TCES TICS</v>
      </c>
      <c r="C329" t="str">
        <f>IF(INDEX(Danang!$D:$D, 29)="", NA(), INDEX(Danang!$D:$D, 29))</f>
        <v>Lanjutan : Testing end-to-end produk MV (TRide) di TCES sampai masuk kedalam TICS menggunakan BP yang belum terdaftar</v>
      </c>
      <c r="D329" t="str">
        <f>IF(INDEX(Danang!$D:$D, 29)="", NA(), INDEX(Danang!$E:$E, 29))</f>
        <v>DONE</v>
      </c>
      <c r="E329" s="13">
        <f>IF(INDEX(Danang!$D:$D, 29)="", NA(), INDEX(Danang!$K:$K, 29))</f>
        <v>46280</v>
      </c>
      <c r="F329">
        <f t="shared" si="10"/>
        <v>1</v>
      </c>
      <c r="G329" s="13">
        <f>IF(INDEX(Danang!$D:$D, 29)="", NA(), INDEX(Danang!$L:$L, 29))</f>
        <v>46280</v>
      </c>
      <c r="H329" t="str">
        <f t="shared" si="11"/>
        <v>Danang (Quality Assurance) - Integrasi TCES TICS - Lanjutan : Testing end-to-end produk MV (TRide) di TCES sampai masuk kedalam TICS menggunakan BP yang belum terdaftar</v>
      </c>
    </row>
    <row r="330" spans="1:8" x14ac:dyDescent="0.2">
      <c r="A330" t="str">
        <f>IF(INDEX(Danang!$D:$D, 30)="", NA(), "Danang (Quality Assurance)")</f>
        <v>Danang (Quality Assurance)</v>
      </c>
      <c r="B330" t="str">
        <f>IF(INDEX(Danang!$D:$D, 30)="", NA(), INDEX(Danang!$B:$B, 30))</f>
        <v>Integrasi TCES TICS</v>
      </c>
      <c r="C330" t="str">
        <f>IF(INDEX(Danang!$D:$D, 30)="", NA(), INDEX(Danang!$D:$D, 30))</f>
        <v xml:space="preserve">Lanjutan : Retesting end-to-end produk MV (TRide) di TCES sampai masuk kedalam TICS menggunakan BP yang belum terdaftar </v>
      </c>
      <c r="D330" t="str">
        <f>IF(INDEX(Danang!$D:$D, 30)="", NA(), INDEX(Danang!$E:$E, 30))</f>
        <v>DONE</v>
      </c>
      <c r="E330" s="13">
        <f>IF(INDEX(Danang!$D:$D, 30)="", NA(), INDEX(Danang!$K:$K, 30))</f>
        <v>46281</v>
      </c>
      <c r="F330">
        <f t="shared" si="10"/>
        <v>1</v>
      </c>
      <c r="G330" s="13">
        <f>IF(INDEX(Danang!$D:$D, 30)="", NA(), INDEX(Danang!$L:$L, 30))</f>
        <v>46281</v>
      </c>
      <c r="H330" t="str">
        <f t="shared" si="11"/>
        <v xml:space="preserve">Danang (Quality Assurance) - Integrasi TCES TICS - Lanjutan : Retesting end-to-end produk MV (TRide) di TCES sampai masuk kedalam TICS menggunakan BP yang belum terdaftar </v>
      </c>
    </row>
    <row r="331" spans="1:8" x14ac:dyDescent="0.2">
      <c r="A331" t="str">
        <f>IF(INDEX(Danang!$D:$D, 31)="", NA(), "Danang (Quality Assurance)")</f>
        <v>Danang (Quality Assurance)</v>
      </c>
      <c r="B331" t="str">
        <f>IF(INDEX(Danang!$D:$D, 31)="", NA(), INDEX(Danang!$B:$B, 31))</f>
        <v>Integrasi TCES TICS</v>
      </c>
      <c r="C331" t="str">
        <f>IF(INDEX(Danang!$D:$D, 31)="", NA(), INDEX(Danang!$D:$D, 31))</f>
        <v>ReTesting status blocked end-to-end produk TRide dari TCES sampai polis tergenerate ke TICS karena polis belum difixing di Stagging dan SAP</v>
      </c>
      <c r="D331" t="str">
        <f>IF(INDEX(Danang!$D:$D, 31)="", NA(), INDEX(Danang!$E:$E, 31))</f>
        <v>DONE</v>
      </c>
      <c r="E331" s="13">
        <f>IF(INDEX(Danang!$D:$D, 31)="", NA(), INDEX(Danang!$K:$K, 31))</f>
        <v>46282</v>
      </c>
      <c r="F331">
        <f t="shared" si="10"/>
        <v>1</v>
      </c>
      <c r="G331" s="13">
        <f>IF(INDEX(Danang!$D:$D, 31)="", NA(), INDEX(Danang!$L:$L, 31))</f>
        <v>46282</v>
      </c>
      <c r="H331" t="str">
        <f t="shared" si="11"/>
        <v>Danang (Quality Assurance) - Integrasi TCES TICS - ReTesting status blocked end-to-end produk TRide dari TCES sampai polis tergenerate ke TICS karena polis belum difixing di Stagging dan SAP</v>
      </c>
    </row>
    <row r="332" spans="1:8" x14ac:dyDescent="0.2">
      <c r="A332" t="str">
        <f>IF(INDEX(Danang!$D:$D, 32)="", NA(), "Danang (Quality Assurance)")</f>
        <v>Danang (Quality Assurance)</v>
      </c>
      <c r="B332" t="str">
        <f>IF(INDEX(Danang!$D:$D, 32)="", NA(), INDEX(Danang!$B:$B, 32))</f>
        <v>Integrasi TCES TICS</v>
      </c>
      <c r="C332" t="str">
        <f>IF(INDEX(Danang!$D:$D, 32)="", NA(), INDEX(Danang!$D:$D, 32))</f>
        <v>Transfer Knowledge Accessment Integrasi di TCES</v>
      </c>
      <c r="D332" t="str">
        <f>IF(INDEX(Danang!$D:$D, 32)="", NA(), INDEX(Danang!$E:$E, 32))</f>
        <v>DONE</v>
      </c>
      <c r="E332" s="13">
        <f>IF(INDEX(Danang!$D:$D, 32)="", NA(), INDEX(Danang!$K:$K, 32))</f>
        <v>46283</v>
      </c>
      <c r="F332">
        <f t="shared" si="10"/>
        <v>1</v>
      </c>
      <c r="G332" s="13">
        <f>IF(INDEX(Danang!$D:$D, 32)="", NA(), INDEX(Danang!$L:$L, 32))</f>
        <v>46283</v>
      </c>
      <c r="H332" t="str">
        <f t="shared" si="11"/>
        <v>Danang (Quality Assurance) - Integrasi TCES TICS - Transfer Knowledge Accessment Integrasi di TCES</v>
      </c>
    </row>
    <row r="333" spans="1:8" x14ac:dyDescent="0.2">
      <c r="A333" t="str">
        <f>IF(INDEX(Danang!$D:$D, 33)="", NA(), "Danang (Quality Assurance)")</f>
        <v>Danang (Quality Assurance)</v>
      </c>
      <c r="B333" t="str">
        <f>IF(INDEX(Danang!$D:$D, 33)="", NA(), INDEX(Danang!$B:$B, 33))</f>
        <v>Integrasi TCES TICS</v>
      </c>
      <c r="C333" t="str">
        <f>IF(INDEX(Danang!$D:$D, 33)="", NA(), INDEX(Danang!$D:$D, 33))</f>
        <v xml:space="preserve">Membuat Test case scenario untuk pembuatan quotation number di Form Quotation TICS </v>
      </c>
      <c r="D333" t="str">
        <f>IF(INDEX(Danang!$D:$D, 33)="", NA(), INDEX(Danang!$E:$E, 33))</f>
        <v>DONE</v>
      </c>
      <c r="E333" s="13">
        <f>IF(INDEX(Danang!$D:$D, 33)="", NA(), INDEX(Danang!$K:$K, 33))</f>
        <v>46286</v>
      </c>
      <c r="F333">
        <f t="shared" si="10"/>
        <v>1</v>
      </c>
      <c r="G333" s="13">
        <f>IF(INDEX(Danang!$D:$D, 33)="", NA(), INDEX(Danang!$L:$L, 33))</f>
        <v>46286</v>
      </c>
      <c r="H333" t="str">
        <f t="shared" si="11"/>
        <v xml:space="preserve">Danang (Quality Assurance) - Integrasi TCES TICS - Membuat Test case scenario untuk pembuatan quotation number di Form Quotation TICS </v>
      </c>
    </row>
    <row r="334" spans="1:8" x14ac:dyDescent="0.2">
      <c r="A334" t="str">
        <f>IF(INDEX(Danang!$D:$D, 34)="", NA(), "Danang (Quality Assurance)")</f>
        <v>Danang (Quality Assurance)</v>
      </c>
      <c r="B334" t="str">
        <f>IF(INDEX(Danang!$D:$D, 34)="", NA(), INDEX(Danang!$B:$B, 34))</f>
        <v>Integrasi TCES TICS</v>
      </c>
      <c r="C334" t="str">
        <f>IF(INDEX(Danang!$D:$D, 34)="", NA(), INDEX(Danang!$D:$D, 34))</f>
        <v xml:space="preserve">testing terkait periode closing, dengan transaction date dan bill date sudah sesuai. </v>
      </c>
      <c r="D334" t="str">
        <f>IF(INDEX(Danang!$D:$D, 34)="", NA(), INDEX(Danang!$E:$E, 34))</f>
        <v>DONE</v>
      </c>
      <c r="E334" s="13">
        <f>IF(INDEX(Danang!$D:$D, 34)="", NA(), INDEX(Danang!$K:$K, 34))</f>
        <v>46287</v>
      </c>
      <c r="F334">
        <f t="shared" si="10"/>
        <v>1</v>
      </c>
      <c r="G334" s="13">
        <f>IF(INDEX(Danang!$D:$D, 34)="", NA(), INDEX(Danang!$L:$L, 34))</f>
        <v>46287</v>
      </c>
      <c r="H334" t="str">
        <f t="shared" si="11"/>
        <v xml:space="preserve">Danang (Quality Assurance) - Integrasi TCES TICS - testing terkait periode closing, dengan transaction date dan bill date sudah sesuai. </v>
      </c>
    </row>
    <row r="335" spans="1:8" x14ac:dyDescent="0.2">
      <c r="A335" t="str">
        <f>IF(INDEX(Danang!$D:$D, 35)="", NA(), "Danang (Quality Assurance)")</f>
        <v>Danang (Quality Assurance)</v>
      </c>
      <c r="B335" t="str">
        <f>IF(INDEX(Danang!$D:$D, 35)="", NA(), INDEX(Danang!$B:$B, 35))</f>
        <v>Integrasi TCES TICS</v>
      </c>
      <c r="C335" t="str">
        <f>IF(INDEX(Danang!$D:$D, 35)="", NA(), INDEX(Danang!$D:$D, 35))</f>
        <v>[Lanjutan] testing terkait periode closing, dengan transaction date dan bill date sudah sesuai (diatur ketanggal 20261001).</v>
      </c>
      <c r="D335" t="str">
        <f>IF(INDEX(Danang!$D:$D, 35)="", NA(), INDEX(Danang!$E:$E, 35))</f>
        <v>DONE</v>
      </c>
      <c r="E335" s="13">
        <f>IF(INDEX(Danang!$D:$D, 35)="", NA(), INDEX(Danang!$K:$K, 35))</f>
        <v>46288</v>
      </c>
      <c r="F335">
        <f t="shared" si="10"/>
        <v>1</v>
      </c>
      <c r="G335" s="13">
        <f>IF(INDEX(Danang!$D:$D, 35)="", NA(), INDEX(Danang!$L:$L, 35))</f>
        <v>46288</v>
      </c>
      <c r="H335" t="str">
        <f t="shared" si="11"/>
        <v>Danang (Quality Assurance) - Integrasi TCES TICS - [Lanjutan] testing terkait periode closing, dengan transaction date dan bill date sudah sesuai (diatur ketanggal 20261001).</v>
      </c>
    </row>
    <row r="336" spans="1:8" x14ac:dyDescent="0.2">
      <c r="A336" t="str">
        <f>IF(INDEX(Danang!$D:$D, 36)="", NA(), "Danang (Quality Assurance)")</f>
        <v>Danang (Quality Assurance)</v>
      </c>
      <c r="B336" t="str">
        <f>IF(INDEX(Danang!$D:$D, 36)="", NA(), INDEX(Danang!$B:$B, 36))</f>
        <v>Integrasi TCES TICS</v>
      </c>
      <c r="C336" t="str">
        <f>IF(INDEX(Danang!$D:$D, 36)="", NA(), INDEX(Danang!$D:$D, 36))</f>
        <v>Menambahkan matriks policy type untuk test case scenario TICS</v>
      </c>
      <c r="D336" t="str">
        <f>IF(INDEX(Danang!$D:$D, 36)="", NA(), INDEX(Danang!$E:$E, 36))</f>
        <v>DONE</v>
      </c>
      <c r="E336" s="13">
        <f>IF(INDEX(Danang!$D:$D, 36)="", NA(), INDEX(Danang!$K:$K, 36))</f>
        <v>46289</v>
      </c>
      <c r="F336">
        <f t="shared" si="10"/>
        <v>1</v>
      </c>
      <c r="G336" s="13">
        <f>IF(INDEX(Danang!$D:$D, 36)="", NA(), INDEX(Danang!$L:$L, 36))</f>
        <v>46289</v>
      </c>
      <c r="H336" t="str">
        <f t="shared" si="11"/>
        <v>Danang (Quality Assurance) - Integrasi TCES TICS - Menambahkan matriks policy type untuk test case scenario TICS</v>
      </c>
    </row>
    <row r="337" spans="1:8" x14ac:dyDescent="0.2">
      <c r="A337" t="str">
        <f>IF(INDEX(Danang!$D:$D, 37)="", NA(), "Danang (Quality Assurance)")</f>
        <v>Danang (Quality Assurance)</v>
      </c>
      <c r="B337" t="str">
        <f>IF(INDEX(Danang!$D:$D, 37)="", NA(), INDEX(Danang!$B:$B, 37))</f>
        <v>Integrasi TCES TICS</v>
      </c>
      <c r="C337" t="str">
        <f>IF(INDEX(Danang!$D:$D, 37)="", NA(), INDEX(Danang!$D:$D, 37))</f>
        <v xml:space="preserve">Menjalankan Scenario testing QA Tracker Settlement API TCES </v>
      </c>
      <c r="D337" t="str">
        <f>IF(INDEX(Danang!$D:$D, 37)="", NA(), INDEX(Danang!$E:$E, 37))</f>
        <v>DONE</v>
      </c>
      <c r="E337" s="13">
        <f>IF(INDEX(Danang!$D:$D, 37)="", NA(), INDEX(Danang!$K:$K, 37))</f>
        <v>46290</v>
      </c>
      <c r="F337">
        <f t="shared" si="10"/>
        <v>1</v>
      </c>
      <c r="G337" s="13">
        <f>IF(INDEX(Danang!$D:$D, 37)="", NA(), INDEX(Danang!$L:$L, 37))</f>
        <v>46290</v>
      </c>
      <c r="H337" t="str">
        <f t="shared" si="11"/>
        <v xml:space="preserve">Danang (Quality Assurance) - Integrasi TCES TICS - Menjalankan Scenario testing QA Tracker Settlement API TCES </v>
      </c>
    </row>
    <row r="338" spans="1:8" x14ac:dyDescent="0.2">
      <c r="A338" t="str">
        <f>IF(INDEX(Danang!$D:$D, 38)="", NA(), "Danang (Quality Assurance)")</f>
        <v>Danang (Quality Assurance)</v>
      </c>
      <c r="B338" t="str">
        <f>IF(INDEX(Danang!$D:$D, 38)="", NA(), INDEX(Danang!$B:$B, 38))</f>
        <v>Integrasi TCES TICS</v>
      </c>
      <c r="C338" t="str">
        <f>IF(INDEX(Danang!$D:$D, 38)="", NA(), INDEX(Danang!$D:$D, 38))</f>
        <v xml:space="preserve">Menjalankan Scenario Negative testing  QA Tracker Settlement API TCES </v>
      </c>
      <c r="D338" t="str">
        <f>IF(INDEX(Danang!$D:$D, 38)="", NA(), INDEX(Danang!$E:$E, 38))</f>
        <v>DONE</v>
      </c>
      <c r="E338" s="13">
        <f>IF(INDEX(Danang!$D:$D, 38)="", NA(), INDEX(Danang!$K:$K, 38))</f>
        <v>46293</v>
      </c>
      <c r="F338">
        <f t="shared" si="10"/>
        <v>1</v>
      </c>
      <c r="G338" s="13">
        <f>IF(INDEX(Danang!$D:$D, 38)="", NA(), INDEX(Danang!$L:$L, 38))</f>
        <v>46294</v>
      </c>
      <c r="H338" t="str">
        <f t="shared" si="11"/>
        <v xml:space="preserve">Danang (Quality Assurance) - Integrasi TCES TICS - Menjalankan Scenario Negative testing  QA Tracker Settlement API TCES </v>
      </c>
    </row>
    <row r="339" spans="1:8" x14ac:dyDescent="0.2">
      <c r="A339" t="str">
        <f>IF(INDEX(Danang!$D:$D, 39)="", NA(), "Danang (Quality Assurance)")</f>
        <v>Danang (Quality Assurance)</v>
      </c>
      <c r="B339" t="str">
        <f>IF(INDEX(Danang!$D:$D, 39)="", NA(), INDEX(Danang!$B:$B, 39))</f>
        <v>Integrasi TCES TICS</v>
      </c>
      <c r="C339" t="str">
        <f>IF(INDEX(Danang!$D:$D, 39)="", NA(), INDEX(Danang!$D:$D, 39))</f>
        <v>Meeting API Settlement Payment - Kelanjutan Data Stagging</v>
      </c>
      <c r="D339" t="str">
        <f>IF(INDEX(Danang!$D:$D, 39)="", NA(), INDEX(Danang!$E:$E, 39))</f>
        <v>DONE</v>
      </c>
      <c r="E339" s="13">
        <f>IF(INDEX(Danang!$D:$D, 39)="", NA(), INDEX(Danang!$K:$K, 39))</f>
        <v>46293</v>
      </c>
      <c r="F339">
        <f t="shared" si="10"/>
        <v>1</v>
      </c>
      <c r="G339" s="13">
        <f>IF(INDEX(Danang!$D:$D, 39)="", NA(), INDEX(Danang!$L:$L, 39))</f>
        <v>46293</v>
      </c>
      <c r="H339" t="str">
        <f t="shared" si="11"/>
        <v>Danang (Quality Assurance) - Integrasi TCES TICS - Meeting API Settlement Payment - Kelanjutan Data Stagging</v>
      </c>
    </row>
    <row r="340" spans="1:8" x14ac:dyDescent="0.2">
      <c r="A340" t="str">
        <f>IF(INDEX(Danang!$D:$D, 40)="", NA(), "Danang (Quality Assurance)")</f>
        <v>Danang (Quality Assurance)</v>
      </c>
      <c r="B340" t="str">
        <f>IF(INDEX(Danang!$D:$D, 40)="", NA(), INDEX(Danang!$B:$B, 40))</f>
        <v>Integrasi TCES TICS</v>
      </c>
      <c r="C340" t="str">
        <f>IF(INDEX(Danang!$D:$D, 40)="", NA(), INDEX(Danang!$D:$D, 40))</f>
        <v xml:space="preserve">Menjalankan Scenario Positive testing  QA Tracker Settlement API TCES </v>
      </c>
      <c r="D340" t="str">
        <f>IF(INDEX(Danang!$D:$D, 40)="", NA(), INDEX(Danang!$E:$E, 40))</f>
        <v>DONE</v>
      </c>
      <c r="E340" s="13">
        <f>IF(INDEX(Danang!$D:$D, 40)="", NA(), INDEX(Danang!$K:$K, 40))</f>
        <v>46295</v>
      </c>
      <c r="F340">
        <f t="shared" si="10"/>
        <v>1</v>
      </c>
      <c r="G340" s="13">
        <f>IF(INDEX(Danang!$D:$D, 40)="", NA(), INDEX(Danang!$L:$L, 40))</f>
        <v>46295</v>
      </c>
      <c r="H340" t="str">
        <f t="shared" si="11"/>
        <v xml:space="preserve">Danang (Quality Assurance) - Integrasi TCES TICS - Menjalankan Scenario Positive testing  QA Tracker Settlement API TCES </v>
      </c>
    </row>
    <row r="341" spans="1:8" x14ac:dyDescent="0.2">
      <c r="A341" t="str">
        <f>IF(INDEX(Danang!$D:$D, 41)="", NA(), "Danang (Quality Assurance)")</f>
        <v>Danang (Quality Assurance)</v>
      </c>
      <c r="B341" t="str">
        <f>IF(INDEX(Danang!$D:$D, 41)="", NA(), INDEX(Danang!$B:$B, 41))</f>
        <v>Integrasi TCES TICS</v>
      </c>
      <c r="C341" t="str">
        <f>IF(INDEX(Danang!$D:$D, 41)="", NA(), INDEX(Danang!$D:$D, 41))</f>
        <v>Menjalankan testing Settlement API TCES secara end-to-end</v>
      </c>
      <c r="D341" t="str">
        <f>IF(INDEX(Danang!$D:$D, 41)="", NA(), INDEX(Danang!$E:$E, 41))</f>
        <v>DONE</v>
      </c>
      <c r="E341" s="13">
        <f>IF(INDEX(Danang!$D:$D, 41)="", NA(), INDEX(Danang!$K:$K, 41))</f>
        <v>46296</v>
      </c>
      <c r="F341">
        <f t="shared" si="10"/>
        <v>1</v>
      </c>
      <c r="G341" s="13">
        <f>IF(INDEX(Danang!$D:$D, 41)="", NA(), INDEX(Danang!$L:$L, 41))</f>
        <v>46296</v>
      </c>
      <c r="H341" t="str">
        <f t="shared" si="11"/>
        <v>Danang (Quality Assurance) - Integrasi TCES TICS - Menjalankan testing Settlement API TCES secara end-to-end</v>
      </c>
    </row>
    <row r="342" spans="1:8" x14ac:dyDescent="0.2">
      <c r="A342" t="str">
        <f>IF(INDEX(Danang!$D:$D, 42)="", NA(), "Danang (Quality Assurance)")</f>
        <v>Danang (Quality Assurance)</v>
      </c>
      <c r="B342" t="str">
        <f>IF(INDEX(Danang!$D:$D, 42)="", NA(), INDEX(Danang!$B:$B, 42))</f>
        <v>Integrasi TCES TICS</v>
      </c>
      <c r="C342" t="str">
        <f>IF(INDEX(Danang!$D:$D, 42)="", NA(), INDEX(Danang!$D:$D, 42))</f>
        <v>(Lanjutan) Menjalankan testing Settlement API TCES secara end-to-end</v>
      </c>
      <c r="D342" t="str">
        <f>IF(INDEX(Danang!$D:$D, 42)="", NA(), INDEX(Danang!$E:$E, 42))</f>
        <v>DONE</v>
      </c>
      <c r="E342" s="13">
        <f>IF(INDEX(Danang!$D:$D, 42)="", NA(), INDEX(Danang!$K:$K, 42))</f>
        <v>46297</v>
      </c>
      <c r="F342">
        <f t="shared" si="10"/>
        <v>1</v>
      </c>
      <c r="G342" s="13">
        <f>IF(INDEX(Danang!$D:$D, 42)="", NA(), INDEX(Danang!$L:$L, 42))</f>
        <v>46297</v>
      </c>
      <c r="H342" t="str">
        <f t="shared" si="11"/>
        <v>Danang (Quality Assurance) - Integrasi TCES TICS - (Lanjutan) Menjalankan testing Settlement API TCES secara end-to-end</v>
      </c>
    </row>
    <row r="343" spans="1:8" x14ac:dyDescent="0.2">
      <c r="A343" t="str">
        <f>IF(INDEX(Danang!$D:$D, 43)="", NA(), "Danang (Quality Assurance)")</f>
        <v>Danang (Quality Assurance)</v>
      </c>
      <c r="B343" t="str">
        <f>IF(INDEX(Danang!$D:$D, 43)="", NA(), INDEX(Danang!$B:$B, 43))</f>
        <v>Integrasi TCES TICS</v>
      </c>
      <c r="C343" t="str">
        <f>IF(INDEX(Danang!$D:$D, 43)="", NA(), INDEX(Danang!$D:$D, 43))</f>
        <v>Execute testing API Settlement melakukan enforce dan settlement polis MV dari TCES</v>
      </c>
      <c r="D343" t="str">
        <f>IF(INDEX(Danang!$D:$D, 43)="", NA(), INDEX(Danang!$E:$E, 43))</f>
        <v>DONE</v>
      </c>
      <c r="E343" s="13">
        <f>IF(INDEX(Danang!$D:$D, 43)="", NA(), INDEX(Danang!$K:$K, 43))</f>
        <v>46300</v>
      </c>
      <c r="F343">
        <f t="shared" si="10"/>
        <v>1</v>
      </c>
      <c r="G343" s="13">
        <f>IF(INDEX(Danang!$D:$D, 43)="", NA(), INDEX(Danang!$L:$L, 43))</f>
        <v>46300</v>
      </c>
      <c r="H343" t="str">
        <f t="shared" si="11"/>
        <v>Danang (Quality Assurance) - Integrasi TCES TICS - Execute testing API Settlement melakukan enforce dan settlement polis MV dari TCES</v>
      </c>
    </row>
    <row r="344" spans="1:8" x14ac:dyDescent="0.2">
      <c r="A344" t="str">
        <f>IF(INDEX(Danang!$D:$D, 44)="", NA(), "Danang (Quality Assurance)")</f>
        <v>Danang (Quality Assurance)</v>
      </c>
      <c r="B344" t="str">
        <f>IF(INDEX(Danang!$D:$D, 44)="", NA(), INDEX(Danang!$B:$B, 44))</f>
        <v>Integrasi TCES TICS</v>
      </c>
      <c r="C344" t="str">
        <f>IF(INDEX(Danang!$D:$D, 44)="", NA(), INDEX(Danang!$D:$D, 44))</f>
        <v>Melakukan Meeting terkait Settlement TCES - TICS - Bengkel Net</v>
      </c>
      <c r="D344" t="str">
        <f>IF(INDEX(Danang!$D:$D, 44)="", NA(), INDEX(Danang!$E:$E, 44))</f>
        <v>DONE</v>
      </c>
      <c r="E344" s="13">
        <f>IF(INDEX(Danang!$D:$D, 44)="", NA(), INDEX(Danang!$K:$K, 44))</f>
        <v>46301</v>
      </c>
      <c r="F344">
        <f t="shared" si="10"/>
        <v>1</v>
      </c>
      <c r="G344" s="13">
        <f>IF(INDEX(Danang!$D:$D, 44)="", NA(), INDEX(Danang!$L:$L, 44))</f>
        <v>46301</v>
      </c>
      <c r="H344" t="str">
        <f t="shared" si="11"/>
        <v>Danang (Quality Assurance) - Integrasi TCES TICS - Melakukan Meeting terkait Settlement TCES - TICS - Bengkel Net</v>
      </c>
    </row>
    <row r="345" spans="1:8" x14ac:dyDescent="0.2">
      <c r="A345" t="str">
        <f>IF(INDEX(Danang!$D:$D, 45)="", NA(), "Danang (Quality Assurance)")</f>
        <v>Danang (Quality Assurance)</v>
      </c>
      <c r="B345" t="str">
        <f>IF(INDEX(Danang!$D:$D, 45)="", NA(), INDEX(Danang!$B:$B, 45))</f>
        <v>Integrasi TCES TICS</v>
      </c>
      <c r="C345" t="str">
        <f>IF(INDEX(Danang!$D:$D, 45)="", NA(), INDEX(Danang!$D:$D, 45))</f>
        <v>Lanjutan testing Settlement API TCES untuk enforce polis MV</v>
      </c>
      <c r="D345" t="str">
        <f>IF(INDEX(Danang!$D:$D, 45)="", NA(), INDEX(Danang!$E:$E, 45))</f>
        <v>DONE</v>
      </c>
      <c r="E345" s="13">
        <f>IF(INDEX(Danang!$D:$D, 45)="", NA(), INDEX(Danang!$K:$K, 45))</f>
        <v>46301</v>
      </c>
      <c r="F345">
        <f t="shared" si="10"/>
        <v>1</v>
      </c>
      <c r="G345" s="13">
        <f>IF(INDEX(Danang!$D:$D, 45)="", NA(), INDEX(Danang!$L:$L, 45))</f>
        <v>46301</v>
      </c>
      <c r="H345" t="str">
        <f t="shared" si="11"/>
        <v>Danang (Quality Assurance) - Integrasi TCES TICS - Lanjutan testing Settlement API TCES untuk enforce polis MV</v>
      </c>
    </row>
    <row r="346" spans="1:8" x14ac:dyDescent="0.2">
      <c r="A346" t="str">
        <f>IF(INDEX(Danang!$D:$D, 46)="", NA(), "Danang (Quality Assurance)")</f>
        <v>Danang (Quality Assurance)</v>
      </c>
      <c r="B346" t="str">
        <f>IF(INDEX(Danang!$D:$D, 46)="", NA(), INDEX(Danang!$B:$B, 46))</f>
        <v>Integrasi TCES TICS</v>
      </c>
      <c r="C346" t="str">
        <f>IF(INDEX(Danang!$D:$D, 46)="", NA(), INDEX(Danang!$D:$D, 46))</f>
        <v>Membuat data polis TCES MV untuk proses enforce dan settlement API</v>
      </c>
      <c r="D346" t="str">
        <f>IF(INDEX(Danang!$D:$D, 46)="", NA(), INDEX(Danang!$E:$E, 46))</f>
        <v>DONE</v>
      </c>
      <c r="E346" s="13">
        <f>IF(INDEX(Danang!$D:$D, 46)="", NA(), INDEX(Danang!$K:$K, 46))</f>
        <v>46302</v>
      </c>
      <c r="F346">
        <f t="shared" si="10"/>
        <v>1</v>
      </c>
      <c r="G346" s="13">
        <f>IF(INDEX(Danang!$D:$D, 46)="", NA(), INDEX(Danang!$L:$L, 46))</f>
        <v>46302</v>
      </c>
      <c r="H346" t="str">
        <f t="shared" si="11"/>
        <v>Danang (Quality Assurance) - Integrasi TCES TICS - Membuat data polis TCES MV untuk proses enforce dan settlement API</v>
      </c>
    </row>
    <row r="347" spans="1:8" x14ac:dyDescent="0.2">
      <c r="A347" t="str">
        <f>IF(INDEX(Danang!$D:$D, 47)="", NA(), "Danang (Quality Assurance)")</f>
        <v>Danang (Quality Assurance)</v>
      </c>
      <c r="B347" t="str">
        <f>IF(INDEX(Danang!$D:$D, 47)="", NA(), INDEX(Danang!$B:$B, 47))</f>
        <v>Integrasi TCES TICS</v>
      </c>
      <c r="C347" t="str">
        <f>IF(INDEX(Danang!$D:$D, 47)="", NA(), INDEX(Danang!$D:$D, 47))</f>
        <v>Membuat data polis TCES non MV untuk proses enforce dan settlement API</v>
      </c>
      <c r="D347" t="str">
        <f>IF(INDEX(Danang!$D:$D, 47)="", NA(), INDEX(Danang!$E:$E, 47))</f>
        <v>DONE</v>
      </c>
      <c r="E347" s="13">
        <f>IF(INDEX(Danang!$D:$D, 47)="", NA(), INDEX(Danang!$K:$K, 47))</f>
        <v>46303</v>
      </c>
      <c r="F347">
        <f t="shared" si="10"/>
        <v>1</v>
      </c>
      <c r="G347" s="13">
        <f>IF(INDEX(Danang!$D:$D, 47)="", NA(), INDEX(Danang!$L:$L, 47))</f>
        <v>46303</v>
      </c>
      <c r="H347" t="str">
        <f t="shared" si="11"/>
        <v>Danang (Quality Assurance) - Integrasi TCES TICS - Membuat data polis TCES non MV untuk proses enforce dan settlement API</v>
      </c>
    </row>
    <row r="348" spans="1:8" x14ac:dyDescent="0.2">
      <c r="A348" t="str">
        <f>IF(INDEX(Danang!$D:$D, 48)="", NA(), "Danang (Quality Assurance)")</f>
        <v>Danang (Quality Assurance)</v>
      </c>
      <c r="B348" t="str">
        <f>IF(INDEX(Danang!$D:$D, 48)="", NA(), INDEX(Danang!$B:$B, 48))</f>
        <v>Integrasi TCES TICS</v>
      </c>
      <c r="C348" t="str">
        <f>IF(INDEX(Danang!$D:$D, 48)="", NA(), INDEX(Danang!$D:$D, 48))</f>
        <v>Transfer Knowledge untuk handover pekerjaan ke anak baru</v>
      </c>
      <c r="D348" t="str">
        <f>IF(INDEX(Danang!$D:$D, 48)="", NA(), INDEX(Danang!$E:$E, 48))</f>
        <v>DONE</v>
      </c>
      <c r="E348" s="13">
        <f>IF(INDEX(Danang!$D:$D, 48)="", NA(), INDEX(Danang!$K:$K, 48))</f>
        <v>46304</v>
      </c>
      <c r="F348">
        <f t="shared" si="10"/>
        <v>1</v>
      </c>
      <c r="G348" s="13">
        <f>IF(INDEX(Danang!$D:$D, 48)="", NA(), INDEX(Danang!$L:$L, 48))</f>
        <v>46304</v>
      </c>
      <c r="H348" t="str">
        <f t="shared" si="11"/>
        <v>Danang (Quality Assurance) - Integrasi TCES TICS - Transfer Knowledge untuk handover pekerjaan ke anak baru</v>
      </c>
    </row>
    <row r="349" spans="1:8" x14ac:dyDescent="0.2">
      <c r="A349" t="e">
        <f>IF(INDEX(Danang!$D:$D, 49)="", NA(), "Danang (Quality Assurance)")</f>
        <v>#N/A</v>
      </c>
      <c r="B349" t="e">
        <f>IF(INDEX(Danang!$D:$D, 49)="", NA(), INDEX(Danang!$B:$B, 49))</f>
        <v>#N/A</v>
      </c>
      <c r="C349" t="e">
        <f>IF(INDEX(Danang!$D:$D, 49)="", NA(), INDEX(Danang!$D:$D, 49))</f>
        <v>#N/A</v>
      </c>
      <c r="D349" t="e">
        <f>IF(INDEX(Danang!$D:$D, 49)="", NA(), INDEX(Danang!$E:$E, 49))</f>
        <v>#N/A</v>
      </c>
      <c r="E349" s="13" t="e">
        <f>IF(INDEX(Danang!$D:$D, 49)="", NA(), INDEX(Danang!$K:$K, 49))</f>
        <v>#N/A</v>
      </c>
      <c r="F349" t="e">
        <f t="shared" si="10"/>
        <v>#N/A</v>
      </c>
      <c r="G349" s="13" t="e">
        <f>IF(INDEX(Danang!$D:$D, 49)="", NA(), INDEX(Danang!$L:$L, 49))</f>
        <v>#N/A</v>
      </c>
      <c r="H349" t="e">
        <f t="shared" si="11"/>
        <v>#N/A</v>
      </c>
    </row>
    <row r="350" spans="1:8" x14ac:dyDescent="0.2">
      <c r="A350" t="e">
        <f>IF(INDEX(Danang!$D:$D, 50)="", NA(), "Danang (Quality Assurance)")</f>
        <v>#N/A</v>
      </c>
      <c r="B350" t="e">
        <f>IF(INDEX(Danang!$D:$D, 50)="", NA(), INDEX(Danang!$B:$B, 50))</f>
        <v>#N/A</v>
      </c>
      <c r="C350" t="e">
        <f>IF(INDEX(Danang!$D:$D, 50)="", NA(), INDEX(Danang!$D:$D, 50))</f>
        <v>#N/A</v>
      </c>
      <c r="D350" t="e">
        <f>IF(INDEX(Danang!$D:$D, 50)="", NA(), INDEX(Danang!$E:$E, 50))</f>
        <v>#N/A</v>
      </c>
      <c r="E350" s="13" t="e">
        <f>IF(INDEX(Danang!$D:$D, 50)="", NA(), INDEX(Danang!$K:$K, 50))</f>
        <v>#N/A</v>
      </c>
      <c r="F350" t="e">
        <f t="shared" si="10"/>
        <v>#N/A</v>
      </c>
      <c r="G350" s="13" t="e">
        <f>IF(INDEX(Danang!$D:$D, 50)="", NA(), INDEX(Danang!$L:$L, 50))</f>
        <v>#N/A</v>
      </c>
      <c r="H350" t="e">
        <f t="shared" si="11"/>
        <v>#N/A</v>
      </c>
    </row>
    <row r="351" spans="1:8" x14ac:dyDescent="0.2">
      <c r="A351" t="e">
        <f>IF(INDEX(Danang!$D:$D, 51)="", NA(), "Danang (Quality Assurance)")</f>
        <v>#N/A</v>
      </c>
      <c r="B351" t="e">
        <f>IF(INDEX(Danang!$D:$D, 51)="", NA(), INDEX(Danang!$B:$B, 51))</f>
        <v>#N/A</v>
      </c>
      <c r="C351" t="e">
        <f>IF(INDEX(Danang!$D:$D, 51)="", NA(), INDEX(Danang!$D:$D, 51))</f>
        <v>#N/A</v>
      </c>
      <c r="D351" t="e">
        <f>IF(INDEX(Danang!$D:$D, 51)="", NA(), INDEX(Danang!$E:$E, 51))</f>
        <v>#N/A</v>
      </c>
      <c r="E351" s="13" t="e">
        <f>IF(INDEX(Danang!$D:$D, 51)="", NA(), INDEX(Danang!$K:$K, 51))</f>
        <v>#N/A</v>
      </c>
      <c r="F351" t="e">
        <f t="shared" si="10"/>
        <v>#N/A</v>
      </c>
      <c r="G351" s="13" t="e">
        <f>IF(INDEX(Danang!$D:$D, 51)="", NA(), INDEX(Danang!$L:$L, 51))</f>
        <v>#N/A</v>
      </c>
      <c r="H351" t="e">
        <f t="shared" si="11"/>
        <v>#N/A</v>
      </c>
    </row>
    <row r="352" spans="1:8" x14ac:dyDescent="0.2">
      <c r="A352" t="e">
        <f>IF(INDEX(Danang!$D:$D, 52)="", NA(), "Danang (Quality Assurance)")</f>
        <v>#N/A</v>
      </c>
      <c r="B352" t="e">
        <f>IF(INDEX(Danang!$D:$D, 52)="", NA(), INDEX(Danang!$B:$B, 52))</f>
        <v>#N/A</v>
      </c>
      <c r="C352" t="e">
        <f>IF(INDEX(Danang!$D:$D, 52)="", NA(), INDEX(Danang!$D:$D, 52))</f>
        <v>#N/A</v>
      </c>
      <c r="D352" t="e">
        <f>IF(INDEX(Danang!$D:$D, 52)="", NA(), INDEX(Danang!$E:$E, 52))</f>
        <v>#N/A</v>
      </c>
      <c r="E352" s="13" t="e">
        <f>IF(INDEX(Danang!$D:$D, 52)="", NA(), INDEX(Danang!$K:$K, 52))</f>
        <v>#N/A</v>
      </c>
      <c r="F352" t="e">
        <f t="shared" si="10"/>
        <v>#N/A</v>
      </c>
      <c r="G352" s="13" t="e">
        <f>IF(INDEX(Danang!$D:$D, 52)="", NA(), INDEX(Danang!$L:$L, 52))</f>
        <v>#N/A</v>
      </c>
      <c r="H352" t="e">
        <f t="shared" si="11"/>
        <v>#N/A</v>
      </c>
    </row>
    <row r="353" spans="1:8" x14ac:dyDescent="0.2">
      <c r="A353" t="e">
        <f>IF(INDEX(Danang!$D:$D, 53)="", NA(), "Danang (Quality Assurance)")</f>
        <v>#N/A</v>
      </c>
      <c r="B353" t="e">
        <f>IF(INDEX(Danang!$D:$D, 53)="", NA(), INDEX(Danang!$B:$B, 53))</f>
        <v>#N/A</v>
      </c>
      <c r="C353" t="e">
        <f>IF(INDEX(Danang!$D:$D, 53)="", NA(), INDEX(Danang!$D:$D, 53))</f>
        <v>#N/A</v>
      </c>
      <c r="D353" t="e">
        <f>IF(INDEX(Danang!$D:$D, 53)="", NA(), INDEX(Danang!$E:$E, 53))</f>
        <v>#N/A</v>
      </c>
      <c r="E353" s="13" t="e">
        <f>IF(INDEX(Danang!$D:$D, 53)="", NA(), INDEX(Danang!$K:$K, 53))</f>
        <v>#N/A</v>
      </c>
      <c r="F353" t="e">
        <f t="shared" si="10"/>
        <v>#N/A</v>
      </c>
      <c r="G353" s="13" t="e">
        <f>IF(INDEX(Danang!$D:$D, 53)="", NA(), INDEX(Danang!$L:$L, 53))</f>
        <v>#N/A</v>
      </c>
      <c r="H353" t="e">
        <f t="shared" si="11"/>
        <v>#N/A</v>
      </c>
    </row>
    <row r="354" spans="1:8" x14ac:dyDescent="0.2">
      <c r="A354" t="e">
        <f>IF(INDEX(Danang!$D:$D, 54)="", NA(), "Danang (Quality Assurance)")</f>
        <v>#N/A</v>
      </c>
      <c r="B354" t="e">
        <f>IF(INDEX(Danang!$D:$D, 54)="", NA(), INDEX(Danang!$B:$B, 54))</f>
        <v>#N/A</v>
      </c>
      <c r="C354" t="e">
        <f>IF(INDEX(Danang!$D:$D, 54)="", NA(), INDEX(Danang!$D:$D, 54))</f>
        <v>#N/A</v>
      </c>
      <c r="D354" t="e">
        <f>IF(INDEX(Danang!$D:$D, 54)="", NA(), INDEX(Danang!$E:$E, 54))</f>
        <v>#N/A</v>
      </c>
      <c r="E354" s="13" t="e">
        <f>IF(INDEX(Danang!$D:$D, 54)="", NA(), INDEX(Danang!$K:$K, 54))</f>
        <v>#N/A</v>
      </c>
      <c r="F354" t="e">
        <f t="shared" si="10"/>
        <v>#N/A</v>
      </c>
      <c r="G354" s="13" t="e">
        <f>IF(INDEX(Danang!$D:$D, 54)="", NA(), INDEX(Danang!$L:$L, 54))</f>
        <v>#N/A</v>
      </c>
      <c r="H354" t="e">
        <f t="shared" si="11"/>
        <v>#N/A</v>
      </c>
    </row>
    <row r="355" spans="1:8" x14ac:dyDescent="0.2">
      <c r="A355" t="e">
        <f>IF(INDEX(Danang!$D:$D, 55)="", NA(), "Danang (Quality Assurance)")</f>
        <v>#N/A</v>
      </c>
      <c r="B355" t="e">
        <f>IF(INDEX(Danang!$D:$D, 55)="", NA(), INDEX(Danang!$B:$B, 55))</f>
        <v>#N/A</v>
      </c>
      <c r="C355" t="e">
        <f>IF(INDEX(Danang!$D:$D, 55)="", NA(), INDEX(Danang!$D:$D, 55))</f>
        <v>#N/A</v>
      </c>
      <c r="D355" t="e">
        <f>IF(INDEX(Danang!$D:$D, 55)="", NA(), INDEX(Danang!$E:$E, 55))</f>
        <v>#N/A</v>
      </c>
      <c r="E355" s="13" t="e">
        <f>IF(INDEX(Danang!$D:$D, 55)="", NA(), INDEX(Danang!$K:$K, 55))</f>
        <v>#N/A</v>
      </c>
      <c r="F355" t="e">
        <f t="shared" si="10"/>
        <v>#N/A</v>
      </c>
      <c r="G355" s="13" t="e">
        <f>IF(INDEX(Danang!$D:$D, 55)="", NA(), INDEX(Danang!$L:$L, 55))</f>
        <v>#N/A</v>
      </c>
      <c r="H355" t="e">
        <f t="shared" si="11"/>
        <v>#N/A</v>
      </c>
    </row>
    <row r="356" spans="1:8" x14ac:dyDescent="0.2">
      <c r="A356" t="e">
        <f>IF(INDEX(Danang!$D:$D, 56)="", NA(), "Danang (Quality Assurance)")</f>
        <v>#N/A</v>
      </c>
      <c r="B356" t="e">
        <f>IF(INDEX(Danang!$D:$D, 56)="", NA(), INDEX(Danang!$B:$B, 56))</f>
        <v>#N/A</v>
      </c>
      <c r="C356" t="e">
        <f>IF(INDEX(Danang!$D:$D, 56)="", NA(), INDEX(Danang!$D:$D, 56))</f>
        <v>#N/A</v>
      </c>
      <c r="D356" t="e">
        <f>IF(INDEX(Danang!$D:$D, 56)="", NA(), INDEX(Danang!$E:$E, 56))</f>
        <v>#N/A</v>
      </c>
      <c r="E356" s="13" t="e">
        <f>IF(INDEX(Danang!$D:$D, 56)="", NA(), INDEX(Danang!$K:$K, 56))</f>
        <v>#N/A</v>
      </c>
      <c r="F356" t="e">
        <f t="shared" si="10"/>
        <v>#N/A</v>
      </c>
      <c r="G356" s="13" t="e">
        <f>IF(INDEX(Danang!$D:$D, 56)="", NA(), INDEX(Danang!$L:$L, 56))</f>
        <v>#N/A</v>
      </c>
      <c r="H356" t="e">
        <f t="shared" si="11"/>
        <v>#N/A</v>
      </c>
    </row>
    <row r="357" spans="1:8" x14ac:dyDescent="0.2">
      <c r="A357" t="e">
        <f>IF(INDEX(Danang!$D:$D, 57)="", NA(), "Danang (Quality Assurance)")</f>
        <v>#N/A</v>
      </c>
      <c r="B357" t="e">
        <f>IF(INDEX(Danang!$D:$D, 57)="", NA(), INDEX(Danang!$B:$B, 57))</f>
        <v>#N/A</v>
      </c>
      <c r="C357" t="e">
        <f>IF(INDEX(Danang!$D:$D, 57)="", NA(), INDEX(Danang!$D:$D, 57))</f>
        <v>#N/A</v>
      </c>
      <c r="D357" t="e">
        <f>IF(INDEX(Danang!$D:$D, 57)="", NA(), INDEX(Danang!$E:$E, 57))</f>
        <v>#N/A</v>
      </c>
      <c r="E357" s="13" t="e">
        <f>IF(INDEX(Danang!$D:$D, 57)="", NA(), INDEX(Danang!$K:$K, 57))</f>
        <v>#N/A</v>
      </c>
      <c r="F357" t="e">
        <f t="shared" si="10"/>
        <v>#N/A</v>
      </c>
      <c r="G357" s="13" t="e">
        <f>IF(INDEX(Danang!$D:$D, 57)="", NA(), INDEX(Danang!$L:$L, 57))</f>
        <v>#N/A</v>
      </c>
      <c r="H357" t="e">
        <f t="shared" si="11"/>
        <v>#N/A</v>
      </c>
    </row>
    <row r="358" spans="1:8" x14ac:dyDescent="0.2">
      <c r="A358" t="e">
        <f>IF(INDEX(Danang!$D:$D, 58)="", NA(), "Danang (Quality Assurance)")</f>
        <v>#N/A</v>
      </c>
      <c r="B358" t="e">
        <f>IF(INDEX(Danang!$D:$D, 58)="", NA(), INDEX(Danang!$B:$B, 58))</f>
        <v>#N/A</v>
      </c>
      <c r="C358" t="e">
        <f>IF(INDEX(Danang!$D:$D, 58)="", NA(), INDEX(Danang!$D:$D, 58))</f>
        <v>#N/A</v>
      </c>
      <c r="D358" t="e">
        <f>IF(INDEX(Danang!$D:$D, 58)="", NA(), INDEX(Danang!$E:$E, 58))</f>
        <v>#N/A</v>
      </c>
      <c r="E358" s="13" t="e">
        <f>IF(INDEX(Danang!$D:$D, 58)="", NA(), INDEX(Danang!$K:$K, 58))</f>
        <v>#N/A</v>
      </c>
      <c r="F358" t="e">
        <f t="shared" si="10"/>
        <v>#N/A</v>
      </c>
      <c r="G358" s="13" t="e">
        <f>IF(INDEX(Danang!$D:$D, 58)="", NA(), INDEX(Danang!$L:$L, 58))</f>
        <v>#N/A</v>
      </c>
      <c r="H358" t="e">
        <f t="shared" si="11"/>
        <v>#N/A</v>
      </c>
    </row>
    <row r="359" spans="1:8" x14ac:dyDescent="0.2">
      <c r="A359" t="e">
        <f>IF(INDEX(Danang!$D:$D, 59)="", NA(), "Danang (Quality Assurance)")</f>
        <v>#N/A</v>
      </c>
      <c r="B359" t="e">
        <f>IF(INDEX(Danang!$D:$D, 59)="", NA(), INDEX(Danang!$B:$B, 59))</f>
        <v>#N/A</v>
      </c>
      <c r="C359" t="e">
        <f>IF(INDEX(Danang!$D:$D, 59)="", NA(), INDEX(Danang!$D:$D, 59))</f>
        <v>#N/A</v>
      </c>
      <c r="D359" t="e">
        <f>IF(INDEX(Danang!$D:$D, 59)="", NA(), INDEX(Danang!$E:$E, 59))</f>
        <v>#N/A</v>
      </c>
      <c r="E359" s="13" t="e">
        <f>IF(INDEX(Danang!$D:$D, 59)="", NA(), INDEX(Danang!$K:$K, 59))</f>
        <v>#N/A</v>
      </c>
      <c r="F359" t="e">
        <f t="shared" si="10"/>
        <v>#N/A</v>
      </c>
      <c r="G359" s="13" t="e">
        <f>IF(INDEX(Danang!$D:$D, 59)="", NA(), INDEX(Danang!$L:$L, 59))</f>
        <v>#N/A</v>
      </c>
      <c r="H359" t="e">
        <f t="shared" si="11"/>
        <v>#N/A</v>
      </c>
    </row>
    <row r="360" spans="1:8" x14ac:dyDescent="0.2">
      <c r="A360" t="e">
        <f>IF(INDEX(Danang!$D:$D, 60)="", NA(), "Danang (Quality Assurance)")</f>
        <v>#N/A</v>
      </c>
      <c r="B360" t="e">
        <f>IF(INDEX(Danang!$D:$D, 60)="", NA(), INDEX(Danang!$B:$B, 60))</f>
        <v>#N/A</v>
      </c>
      <c r="C360" t="e">
        <f>IF(INDEX(Danang!$D:$D, 60)="", NA(), INDEX(Danang!$D:$D, 60))</f>
        <v>#N/A</v>
      </c>
      <c r="D360" t="e">
        <f>IF(INDEX(Danang!$D:$D, 60)="", NA(), INDEX(Danang!$E:$E, 60))</f>
        <v>#N/A</v>
      </c>
      <c r="E360" s="13" t="e">
        <f>IF(INDEX(Danang!$D:$D, 60)="", NA(), INDEX(Danang!$K:$K, 60))</f>
        <v>#N/A</v>
      </c>
      <c r="F360" t="e">
        <f t="shared" si="10"/>
        <v>#N/A</v>
      </c>
      <c r="G360" s="13" t="e">
        <f>IF(INDEX(Danang!$D:$D, 60)="", NA(), INDEX(Danang!$L:$L, 60))</f>
        <v>#N/A</v>
      </c>
      <c r="H360" t="e">
        <f t="shared" si="11"/>
        <v>#N/A</v>
      </c>
    </row>
    <row r="361" spans="1:8" x14ac:dyDescent="0.2">
      <c r="A361" t="e">
        <f>IF(INDEX(Danang!$D:$D, 61)="", NA(), "Danang (Quality Assurance)")</f>
        <v>#N/A</v>
      </c>
      <c r="B361" t="e">
        <f>IF(INDEX(Danang!$D:$D, 61)="", NA(), INDEX(Danang!$B:$B, 61))</f>
        <v>#N/A</v>
      </c>
      <c r="C361" t="e">
        <f>IF(INDEX(Danang!$D:$D, 61)="", NA(), INDEX(Danang!$D:$D, 61))</f>
        <v>#N/A</v>
      </c>
      <c r="D361" t="e">
        <f>IF(INDEX(Danang!$D:$D, 61)="", NA(), INDEX(Danang!$E:$E, 61))</f>
        <v>#N/A</v>
      </c>
      <c r="E361" s="13" t="e">
        <f>IF(INDEX(Danang!$D:$D, 61)="", NA(), INDEX(Danang!$K:$K, 61))</f>
        <v>#N/A</v>
      </c>
      <c r="F361" t="e">
        <f t="shared" si="10"/>
        <v>#N/A</v>
      </c>
      <c r="G361" s="13" t="e">
        <f>IF(INDEX(Danang!$D:$D, 61)="", NA(), INDEX(Danang!$L:$L, 61))</f>
        <v>#N/A</v>
      </c>
      <c r="H361" t="e">
        <f t="shared" si="11"/>
        <v>#N/A</v>
      </c>
    </row>
    <row r="362" spans="1:8" x14ac:dyDescent="0.2">
      <c r="A362" t="e">
        <f>IF(INDEX(Danang!$D:$D, 62)="", NA(), "Danang (Quality Assurance)")</f>
        <v>#N/A</v>
      </c>
      <c r="B362" t="e">
        <f>IF(INDEX(Danang!$D:$D, 62)="", NA(), INDEX(Danang!$B:$B, 62))</f>
        <v>#N/A</v>
      </c>
      <c r="C362" t="e">
        <f>IF(INDEX(Danang!$D:$D, 62)="", NA(), INDEX(Danang!$D:$D, 62))</f>
        <v>#N/A</v>
      </c>
      <c r="D362" t="e">
        <f>IF(INDEX(Danang!$D:$D, 62)="", NA(), INDEX(Danang!$E:$E, 62))</f>
        <v>#N/A</v>
      </c>
      <c r="E362" s="13" t="e">
        <f>IF(INDEX(Danang!$D:$D, 62)="", NA(), INDEX(Danang!$K:$K, 62))</f>
        <v>#N/A</v>
      </c>
      <c r="F362" t="e">
        <f t="shared" si="10"/>
        <v>#N/A</v>
      </c>
      <c r="G362" s="13" t="e">
        <f>IF(INDEX(Danang!$D:$D, 62)="", NA(), INDEX(Danang!$L:$L, 62))</f>
        <v>#N/A</v>
      </c>
      <c r="H362" t="e">
        <f t="shared" si="11"/>
        <v>#N/A</v>
      </c>
    </row>
    <row r="363" spans="1:8" x14ac:dyDescent="0.2">
      <c r="A363" t="e">
        <f>IF(INDEX(Danang!$D:$D, 63)="", NA(), "Danang (Quality Assurance)")</f>
        <v>#N/A</v>
      </c>
      <c r="B363" t="e">
        <f>IF(INDEX(Danang!$D:$D, 63)="", NA(), INDEX(Danang!$B:$B, 63))</f>
        <v>#N/A</v>
      </c>
      <c r="C363" t="e">
        <f>IF(INDEX(Danang!$D:$D, 63)="", NA(), INDEX(Danang!$D:$D, 63))</f>
        <v>#N/A</v>
      </c>
      <c r="D363" t="e">
        <f>IF(INDEX(Danang!$D:$D, 63)="", NA(), INDEX(Danang!$E:$E, 63))</f>
        <v>#N/A</v>
      </c>
      <c r="E363" s="13" t="e">
        <f>IF(INDEX(Danang!$D:$D, 63)="", NA(), INDEX(Danang!$K:$K, 63))</f>
        <v>#N/A</v>
      </c>
      <c r="F363" t="e">
        <f t="shared" si="10"/>
        <v>#N/A</v>
      </c>
      <c r="G363" s="13" t="e">
        <f>IF(INDEX(Danang!$D:$D, 63)="", NA(), INDEX(Danang!$L:$L, 63))</f>
        <v>#N/A</v>
      </c>
      <c r="H363" t="e">
        <f t="shared" si="11"/>
        <v>#N/A</v>
      </c>
    </row>
    <row r="364" spans="1:8" x14ac:dyDescent="0.2">
      <c r="A364" t="e">
        <f>IF(INDEX(Danang!$D:$D, 64)="", NA(), "Danang (Quality Assurance)")</f>
        <v>#N/A</v>
      </c>
      <c r="B364" t="e">
        <f>IF(INDEX(Danang!$D:$D, 64)="", NA(), INDEX(Danang!$B:$B, 64))</f>
        <v>#N/A</v>
      </c>
      <c r="C364" t="e">
        <f>IF(INDEX(Danang!$D:$D, 64)="", NA(), INDEX(Danang!$D:$D, 64))</f>
        <v>#N/A</v>
      </c>
      <c r="D364" t="e">
        <f>IF(INDEX(Danang!$D:$D, 64)="", NA(), INDEX(Danang!$E:$E, 64))</f>
        <v>#N/A</v>
      </c>
      <c r="E364" s="13" t="e">
        <f>IF(INDEX(Danang!$D:$D, 64)="", NA(), INDEX(Danang!$K:$K, 64))</f>
        <v>#N/A</v>
      </c>
      <c r="F364" t="e">
        <f t="shared" si="10"/>
        <v>#N/A</v>
      </c>
      <c r="G364" s="13" t="e">
        <f>IF(INDEX(Danang!$D:$D, 64)="", NA(), INDEX(Danang!$L:$L, 64))</f>
        <v>#N/A</v>
      </c>
      <c r="H364" t="e">
        <f t="shared" si="11"/>
        <v>#N/A</v>
      </c>
    </row>
    <row r="365" spans="1:8" x14ac:dyDescent="0.2">
      <c r="A365" t="e">
        <f>IF(INDEX(Danang!$D:$D, 65)="", NA(), "Danang (Quality Assurance)")</f>
        <v>#N/A</v>
      </c>
      <c r="B365" t="e">
        <f>IF(INDEX(Danang!$D:$D, 65)="", NA(), INDEX(Danang!$B:$B, 65))</f>
        <v>#N/A</v>
      </c>
      <c r="C365" t="e">
        <f>IF(INDEX(Danang!$D:$D, 65)="", NA(), INDEX(Danang!$D:$D, 65))</f>
        <v>#N/A</v>
      </c>
      <c r="D365" t="e">
        <f>IF(INDEX(Danang!$D:$D, 65)="", NA(), INDEX(Danang!$E:$E, 65))</f>
        <v>#N/A</v>
      </c>
      <c r="E365" s="13" t="e">
        <f>IF(INDEX(Danang!$D:$D, 65)="", NA(), INDEX(Danang!$K:$K, 65))</f>
        <v>#N/A</v>
      </c>
      <c r="F365" t="e">
        <f t="shared" si="10"/>
        <v>#N/A</v>
      </c>
      <c r="G365" s="13" t="e">
        <f>IF(INDEX(Danang!$D:$D, 65)="", NA(), INDEX(Danang!$L:$L, 65))</f>
        <v>#N/A</v>
      </c>
      <c r="H365" t="e">
        <f t="shared" si="11"/>
        <v>#N/A</v>
      </c>
    </row>
    <row r="366" spans="1:8" x14ac:dyDescent="0.2">
      <c r="A366" t="e">
        <f>IF(INDEX(Danang!$D:$D, 66)="", NA(), "Danang (Quality Assurance)")</f>
        <v>#N/A</v>
      </c>
      <c r="B366" t="e">
        <f>IF(INDEX(Danang!$D:$D, 66)="", NA(), INDEX(Danang!$B:$B, 66))</f>
        <v>#N/A</v>
      </c>
      <c r="C366" t="e">
        <f>IF(INDEX(Danang!$D:$D, 66)="", NA(), INDEX(Danang!$D:$D, 66))</f>
        <v>#N/A</v>
      </c>
      <c r="D366" t="e">
        <f>IF(INDEX(Danang!$D:$D, 66)="", NA(), INDEX(Danang!$E:$E, 66))</f>
        <v>#N/A</v>
      </c>
      <c r="E366" s="13" t="e">
        <f>IF(INDEX(Danang!$D:$D, 66)="", NA(), INDEX(Danang!$K:$K, 66))</f>
        <v>#N/A</v>
      </c>
      <c r="F366" t="e">
        <f t="shared" si="10"/>
        <v>#N/A</v>
      </c>
      <c r="G366" s="13" t="e">
        <f>IF(INDEX(Danang!$D:$D, 66)="", NA(), INDEX(Danang!$L:$L, 66))</f>
        <v>#N/A</v>
      </c>
      <c r="H366" t="e">
        <f t="shared" si="11"/>
        <v>#N/A</v>
      </c>
    </row>
    <row r="367" spans="1:8" x14ac:dyDescent="0.2">
      <c r="A367" t="e">
        <f>IF(INDEX(Danang!$D:$D, 67)="", NA(), "Danang (Quality Assurance)")</f>
        <v>#N/A</v>
      </c>
      <c r="B367" t="e">
        <f>IF(INDEX(Danang!$D:$D, 67)="", NA(), INDEX(Danang!$B:$B, 67))</f>
        <v>#N/A</v>
      </c>
      <c r="C367" t="e">
        <f>IF(INDEX(Danang!$D:$D, 67)="", NA(), INDEX(Danang!$D:$D, 67))</f>
        <v>#N/A</v>
      </c>
      <c r="D367" t="e">
        <f>IF(INDEX(Danang!$D:$D, 67)="", NA(), INDEX(Danang!$E:$E, 67))</f>
        <v>#N/A</v>
      </c>
      <c r="E367" s="13" t="e">
        <f>IF(INDEX(Danang!$D:$D, 67)="", NA(), INDEX(Danang!$K:$K, 67))</f>
        <v>#N/A</v>
      </c>
      <c r="F367" t="e">
        <f t="shared" si="10"/>
        <v>#N/A</v>
      </c>
      <c r="G367" s="13" t="e">
        <f>IF(INDEX(Danang!$D:$D, 67)="", NA(), INDEX(Danang!$L:$L, 67))</f>
        <v>#N/A</v>
      </c>
      <c r="H367" t="e">
        <f t="shared" si="11"/>
        <v>#N/A</v>
      </c>
    </row>
    <row r="368" spans="1:8" x14ac:dyDescent="0.2">
      <c r="A368" t="e">
        <f>IF(INDEX(Danang!$D:$D, 68)="", NA(), "Danang (Quality Assurance)")</f>
        <v>#N/A</v>
      </c>
      <c r="B368" t="e">
        <f>IF(INDEX(Danang!$D:$D, 68)="", NA(), INDEX(Danang!$B:$B, 68))</f>
        <v>#N/A</v>
      </c>
      <c r="C368" t="e">
        <f>IF(INDEX(Danang!$D:$D, 68)="", NA(), INDEX(Danang!$D:$D, 68))</f>
        <v>#N/A</v>
      </c>
      <c r="D368" t="e">
        <f>IF(INDEX(Danang!$D:$D, 68)="", NA(), INDEX(Danang!$E:$E, 68))</f>
        <v>#N/A</v>
      </c>
      <c r="E368" s="13" t="e">
        <f>IF(INDEX(Danang!$D:$D, 68)="", NA(), INDEX(Danang!$K:$K, 68))</f>
        <v>#N/A</v>
      </c>
      <c r="F368" t="e">
        <f t="shared" si="10"/>
        <v>#N/A</v>
      </c>
      <c r="G368" s="13" t="e">
        <f>IF(INDEX(Danang!$D:$D, 68)="", NA(), INDEX(Danang!$L:$L, 68))</f>
        <v>#N/A</v>
      </c>
      <c r="H368" t="e">
        <f t="shared" si="11"/>
        <v>#N/A</v>
      </c>
    </row>
    <row r="369" spans="1:8" x14ac:dyDescent="0.2">
      <c r="A369" t="e">
        <f>IF(INDEX(Danang!$D:$D, 69)="", NA(), "Danang (Quality Assurance)")</f>
        <v>#N/A</v>
      </c>
      <c r="B369" t="e">
        <f>IF(INDEX(Danang!$D:$D, 69)="", NA(), INDEX(Danang!$B:$B, 69))</f>
        <v>#N/A</v>
      </c>
      <c r="C369" t="e">
        <f>IF(INDEX(Danang!$D:$D, 69)="", NA(), INDEX(Danang!$D:$D, 69))</f>
        <v>#N/A</v>
      </c>
      <c r="D369" t="e">
        <f>IF(INDEX(Danang!$D:$D, 69)="", NA(), INDEX(Danang!$E:$E, 69))</f>
        <v>#N/A</v>
      </c>
      <c r="E369" s="13" t="e">
        <f>IF(INDEX(Danang!$D:$D, 69)="", NA(), INDEX(Danang!$K:$K, 69))</f>
        <v>#N/A</v>
      </c>
      <c r="F369" t="e">
        <f t="shared" si="10"/>
        <v>#N/A</v>
      </c>
      <c r="G369" s="13" t="e">
        <f>IF(INDEX(Danang!$D:$D, 69)="", NA(), INDEX(Danang!$L:$L, 69))</f>
        <v>#N/A</v>
      </c>
      <c r="H369" t="e">
        <f t="shared" si="11"/>
        <v>#N/A</v>
      </c>
    </row>
    <row r="370" spans="1:8" x14ac:dyDescent="0.2">
      <c r="A370" t="e">
        <f>IF(INDEX(Danang!$D:$D, 70)="", NA(), "Danang (Quality Assurance)")</f>
        <v>#N/A</v>
      </c>
      <c r="B370" t="e">
        <f>IF(INDEX(Danang!$D:$D, 70)="", NA(), INDEX(Danang!$B:$B, 70))</f>
        <v>#N/A</v>
      </c>
      <c r="C370" t="e">
        <f>IF(INDEX(Danang!$D:$D, 70)="", NA(), INDEX(Danang!$D:$D, 70))</f>
        <v>#N/A</v>
      </c>
      <c r="D370" t="e">
        <f>IF(INDEX(Danang!$D:$D, 70)="", NA(), INDEX(Danang!$E:$E, 70))</f>
        <v>#N/A</v>
      </c>
      <c r="E370" s="13" t="e">
        <f>IF(INDEX(Danang!$D:$D, 70)="", NA(), INDEX(Danang!$K:$K, 70))</f>
        <v>#N/A</v>
      </c>
      <c r="F370" t="e">
        <f t="shared" si="10"/>
        <v>#N/A</v>
      </c>
      <c r="G370" s="13" t="e">
        <f>IF(INDEX(Danang!$D:$D, 70)="", NA(), INDEX(Danang!$L:$L, 70))</f>
        <v>#N/A</v>
      </c>
      <c r="H370" t="e">
        <f t="shared" si="11"/>
        <v>#N/A</v>
      </c>
    </row>
    <row r="371" spans="1:8" x14ac:dyDescent="0.2">
      <c r="A371" t="e">
        <f>IF(INDEX(Danang!$D:$D, 71)="", NA(), "Danang (Quality Assurance)")</f>
        <v>#N/A</v>
      </c>
      <c r="B371" t="e">
        <f>IF(INDEX(Danang!$D:$D, 71)="", NA(), INDEX(Danang!$B:$B, 71))</f>
        <v>#N/A</v>
      </c>
      <c r="C371" t="e">
        <f>IF(INDEX(Danang!$D:$D, 71)="", NA(), INDEX(Danang!$D:$D, 71))</f>
        <v>#N/A</v>
      </c>
      <c r="D371" t="e">
        <f>IF(INDEX(Danang!$D:$D, 71)="", NA(), INDEX(Danang!$E:$E, 71))</f>
        <v>#N/A</v>
      </c>
      <c r="E371" s="13" t="e">
        <f>IF(INDEX(Danang!$D:$D, 71)="", NA(), INDEX(Danang!$K:$K, 71))</f>
        <v>#N/A</v>
      </c>
      <c r="F371" t="e">
        <f t="shared" si="10"/>
        <v>#N/A</v>
      </c>
      <c r="G371" s="13" t="e">
        <f>IF(INDEX(Danang!$D:$D, 71)="", NA(), INDEX(Danang!$L:$L, 71))</f>
        <v>#N/A</v>
      </c>
      <c r="H371" t="e">
        <f t="shared" si="11"/>
        <v>#N/A</v>
      </c>
    </row>
    <row r="372" spans="1:8" x14ac:dyDescent="0.2">
      <c r="A372" t="e">
        <f>IF(INDEX(Danang!$D:$D, 72)="", NA(), "Danang (Quality Assurance)")</f>
        <v>#N/A</v>
      </c>
      <c r="B372" t="e">
        <f>IF(INDEX(Danang!$D:$D, 72)="", NA(), INDEX(Danang!$B:$B, 72))</f>
        <v>#N/A</v>
      </c>
      <c r="C372" t="e">
        <f>IF(INDEX(Danang!$D:$D, 72)="", NA(), INDEX(Danang!$D:$D, 72))</f>
        <v>#N/A</v>
      </c>
      <c r="D372" t="e">
        <f>IF(INDEX(Danang!$D:$D, 72)="", NA(), INDEX(Danang!$E:$E, 72))</f>
        <v>#N/A</v>
      </c>
      <c r="E372" s="13" t="e">
        <f>IF(INDEX(Danang!$D:$D, 72)="", NA(), INDEX(Danang!$K:$K, 72))</f>
        <v>#N/A</v>
      </c>
      <c r="F372" t="e">
        <f t="shared" si="10"/>
        <v>#N/A</v>
      </c>
      <c r="G372" s="13" t="e">
        <f>IF(INDEX(Danang!$D:$D, 72)="", NA(), INDEX(Danang!$L:$L, 72))</f>
        <v>#N/A</v>
      </c>
      <c r="H372" t="e">
        <f t="shared" si="11"/>
        <v>#N/A</v>
      </c>
    </row>
    <row r="373" spans="1:8" x14ac:dyDescent="0.2">
      <c r="A373" t="e">
        <f>IF(INDEX(Danang!$D:$D, 73)="", NA(), "Danang (Quality Assurance)")</f>
        <v>#N/A</v>
      </c>
      <c r="B373" t="e">
        <f>IF(INDEX(Danang!$D:$D, 73)="", NA(), INDEX(Danang!$B:$B, 73))</f>
        <v>#N/A</v>
      </c>
      <c r="C373" t="e">
        <f>IF(INDEX(Danang!$D:$D, 73)="", NA(), INDEX(Danang!$D:$D, 73))</f>
        <v>#N/A</v>
      </c>
      <c r="D373" t="e">
        <f>IF(INDEX(Danang!$D:$D, 73)="", NA(), INDEX(Danang!$E:$E, 73))</f>
        <v>#N/A</v>
      </c>
      <c r="E373" s="13" t="e">
        <f>IF(INDEX(Danang!$D:$D, 73)="", NA(), INDEX(Danang!$K:$K, 73))</f>
        <v>#N/A</v>
      </c>
      <c r="F373" t="e">
        <f t="shared" si="10"/>
        <v>#N/A</v>
      </c>
      <c r="G373" s="13" t="e">
        <f>IF(INDEX(Danang!$D:$D, 73)="", NA(), INDEX(Danang!$L:$L, 73))</f>
        <v>#N/A</v>
      </c>
      <c r="H373" t="e">
        <f t="shared" si="11"/>
        <v>#N/A</v>
      </c>
    </row>
    <row r="374" spans="1:8" x14ac:dyDescent="0.2">
      <c r="A374" t="e">
        <f>IF(INDEX(Danang!$D:$D, 74)="", NA(), "Danang (Quality Assurance)")</f>
        <v>#N/A</v>
      </c>
      <c r="B374" t="e">
        <f>IF(INDEX(Danang!$D:$D, 74)="", NA(), INDEX(Danang!$B:$B, 74))</f>
        <v>#N/A</v>
      </c>
      <c r="C374" t="e">
        <f>IF(INDEX(Danang!$D:$D, 74)="", NA(), INDEX(Danang!$D:$D, 74))</f>
        <v>#N/A</v>
      </c>
      <c r="D374" t="e">
        <f>IF(INDEX(Danang!$D:$D, 74)="", NA(), INDEX(Danang!$E:$E, 74))</f>
        <v>#N/A</v>
      </c>
      <c r="E374" s="13" t="e">
        <f>IF(INDEX(Danang!$D:$D, 74)="", NA(), INDEX(Danang!$K:$K, 74))</f>
        <v>#N/A</v>
      </c>
      <c r="F374" t="e">
        <f t="shared" si="10"/>
        <v>#N/A</v>
      </c>
      <c r="G374" s="13" t="e">
        <f>IF(INDEX(Danang!$D:$D, 74)="", NA(), INDEX(Danang!$L:$L, 74))</f>
        <v>#N/A</v>
      </c>
      <c r="H374" t="e">
        <f t="shared" si="11"/>
        <v>#N/A</v>
      </c>
    </row>
    <row r="375" spans="1:8" x14ac:dyDescent="0.2">
      <c r="A375" t="e">
        <f>IF(INDEX(Danang!$D:$D, 75)="", NA(), "Danang (Quality Assurance)")</f>
        <v>#N/A</v>
      </c>
      <c r="B375" t="e">
        <f>IF(INDEX(Danang!$D:$D, 75)="", NA(), INDEX(Danang!$B:$B, 75))</f>
        <v>#N/A</v>
      </c>
      <c r="C375" t="e">
        <f>IF(INDEX(Danang!$D:$D, 75)="", NA(), INDEX(Danang!$D:$D, 75))</f>
        <v>#N/A</v>
      </c>
      <c r="D375" t="e">
        <f>IF(INDEX(Danang!$D:$D, 75)="", NA(), INDEX(Danang!$E:$E, 75))</f>
        <v>#N/A</v>
      </c>
      <c r="E375" s="13" t="e">
        <f>IF(INDEX(Danang!$D:$D, 75)="", NA(), INDEX(Danang!$K:$K, 75))</f>
        <v>#N/A</v>
      </c>
      <c r="F375" t="e">
        <f t="shared" si="10"/>
        <v>#N/A</v>
      </c>
      <c r="G375" s="13" t="e">
        <f>IF(INDEX(Danang!$D:$D, 75)="", NA(), INDEX(Danang!$L:$L, 75))</f>
        <v>#N/A</v>
      </c>
      <c r="H375" t="e">
        <f t="shared" si="11"/>
        <v>#N/A</v>
      </c>
    </row>
    <row r="376" spans="1:8" x14ac:dyDescent="0.2">
      <c r="A376" t="e">
        <f>IF(INDEX(Danang!$D:$D, 76)="", NA(), "Danang (Quality Assurance)")</f>
        <v>#N/A</v>
      </c>
      <c r="B376" t="e">
        <f>IF(INDEX(Danang!$D:$D, 76)="", NA(), INDEX(Danang!$B:$B, 76))</f>
        <v>#N/A</v>
      </c>
      <c r="C376" t="e">
        <f>IF(INDEX(Danang!$D:$D, 76)="", NA(), INDEX(Danang!$D:$D, 76))</f>
        <v>#N/A</v>
      </c>
      <c r="D376" t="e">
        <f>IF(INDEX(Danang!$D:$D, 76)="", NA(), INDEX(Danang!$E:$E, 76))</f>
        <v>#N/A</v>
      </c>
      <c r="E376" s="13" t="e">
        <f>IF(INDEX(Danang!$D:$D, 76)="", NA(), INDEX(Danang!$K:$K, 76))</f>
        <v>#N/A</v>
      </c>
      <c r="F376" t="e">
        <f t="shared" si="10"/>
        <v>#N/A</v>
      </c>
      <c r="G376" s="13" t="e">
        <f>IF(INDEX(Danang!$D:$D, 76)="", NA(), INDEX(Danang!$L:$L, 76))</f>
        <v>#N/A</v>
      </c>
      <c r="H376" t="e">
        <f t="shared" si="11"/>
        <v>#N/A</v>
      </c>
    </row>
    <row r="377" spans="1:8" x14ac:dyDescent="0.2">
      <c r="A377" t="e">
        <f>IF(INDEX(Danang!$D:$D, 77)="", NA(), "Danang (Quality Assurance)")</f>
        <v>#N/A</v>
      </c>
      <c r="B377" t="e">
        <f>IF(INDEX(Danang!$D:$D, 77)="", NA(), INDEX(Danang!$B:$B, 77))</f>
        <v>#N/A</v>
      </c>
      <c r="C377" t="e">
        <f>IF(INDEX(Danang!$D:$D, 77)="", NA(), INDEX(Danang!$D:$D, 77))</f>
        <v>#N/A</v>
      </c>
      <c r="D377" t="e">
        <f>IF(INDEX(Danang!$D:$D, 77)="", NA(), INDEX(Danang!$E:$E, 77))</f>
        <v>#N/A</v>
      </c>
      <c r="E377" s="13" t="e">
        <f>IF(INDEX(Danang!$D:$D, 77)="", NA(), INDEX(Danang!$K:$K, 77))</f>
        <v>#N/A</v>
      </c>
      <c r="F377" t="e">
        <f t="shared" si="10"/>
        <v>#N/A</v>
      </c>
      <c r="G377" s="13" t="e">
        <f>IF(INDEX(Danang!$D:$D, 77)="", NA(), INDEX(Danang!$L:$L, 77))</f>
        <v>#N/A</v>
      </c>
      <c r="H377" t="e">
        <f t="shared" si="11"/>
        <v>#N/A</v>
      </c>
    </row>
    <row r="378" spans="1:8" x14ac:dyDescent="0.2">
      <c r="A378" t="e">
        <f>IF(INDEX(Danang!$D:$D, 78)="", NA(), "Danang (Quality Assurance)")</f>
        <v>#N/A</v>
      </c>
      <c r="B378" t="e">
        <f>IF(INDEX(Danang!$D:$D, 78)="", NA(), INDEX(Danang!$B:$B, 78))</f>
        <v>#N/A</v>
      </c>
      <c r="C378" t="e">
        <f>IF(INDEX(Danang!$D:$D, 78)="", NA(), INDEX(Danang!$D:$D, 78))</f>
        <v>#N/A</v>
      </c>
      <c r="D378" t="e">
        <f>IF(INDEX(Danang!$D:$D, 78)="", NA(), INDEX(Danang!$E:$E, 78))</f>
        <v>#N/A</v>
      </c>
      <c r="E378" s="13" t="e">
        <f>IF(INDEX(Danang!$D:$D, 78)="", NA(), INDEX(Danang!$K:$K, 78))</f>
        <v>#N/A</v>
      </c>
      <c r="F378" t="e">
        <f t="shared" si="10"/>
        <v>#N/A</v>
      </c>
      <c r="G378" s="13" t="e">
        <f>IF(INDEX(Danang!$D:$D, 78)="", NA(), INDEX(Danang!$L:$L, 78))</f>
        <v>#N/A</v>
      </c>
      <c r="H378" t="e">
        <f t="shared" si="11"/>
        <v>#N/A</v>
      </c>
    </row>
    <row r="379" spans="1:8" x14ac:dyDescent="0.2">
      <c r="A379" t="e">
        <f>IF(INDEX(Danang!$D:$D, 79)="", NA(), "Danang (Quality Assurance)")</f>
        <v>#N/A</v>
      </c>
      <c r="B379" t="e">
        <f>IF(INDEX(Danang!$D:$D, 79)="", NA(), INDEX(Danang!$B:$B, 79))</f>
        <v>#N/A</v>
      </c>
      <c r="C379" t="e">
        <f>IF(INDEX(Danang!$D:$D, 79)="", NA(), INDEX(Danang!$D:$D, 79))</f>
        <v>#N/A</v>
      </c>
      <c r="D379" t="e">
        <f>IF(INDEX(Danang!$D:$D, 79)="", NA(), INDEX(Danang!$E:$E, 79))</f>
        <v>#N/A</v>
      </c>
      <c r="E379" s="13" t="e">
        <f>IF(INDEX(Danang!$D:$D, 79)="", NA(), INDEX(Danang!$K:$K, 79))</f>
        <v>#N/A</v>
      </c>
      <c r="F379" t="e">
        <f t="shared" si="10"/>
        <v>#N/A</v>
      </c>
      <c r="G379" s="13" t="e">
        <f>IF(INDEX(Danang!$D:$D, 79)="", NA(), INDEX(Danang!$L:$L, 79))</f>
        <v>#N/A</v>
      </c>
      <c r="H379" t="e">
        <f t="shared" si="11"/>
        <v>#N/A</v>
      </c>
    </row>
    <row r="380" spans="1:8" x14ac:dyDescent="0.2">
      <c r="A380" t="e">
        <f>IF(INDEX(Danang!$D:$D, 80)="", NA(), "Danang (Quality Assurance)")</f>
        <v>#N/A</v>
      </c>
      <c r="B380" t="e">
        <f>IF(INDEX(Danang!$D:$D, 80)="", NA(), INDEX(Danang!$B:$B, 80))</f>
        <v>#N/A</v>
      </c>
      <c r="C380" t="e">
        <f>IF(INDEX(Danang!$D:$D, 80)="", NA(), INDEX(Danang!$D:$D, 80))</f>
        <v>#N/A</v>
      </c>
      <c r="D380" t="e">
        <f>IF(INDEX(Danang!$D:$D, 80)="", NA(), INDEX(Danang!$E:$E, 80))</f>
        <v>#N/A</v>
      </c>
      <c r="E380" s="13" t="e">
        <f>IF(INDEX(Danang!$D:$D, 80)="", NA(), INDEX(Danang!$K:$K, 80))</f>
        <v>#N/A</v>
      </c>
      <c r="F380" t="e">
        <f t="shared" si="10"/>
        <v>#N/A</v>
      </c>
      <c r="G380" s="13" t="e">
        <f>IF(INDEX(Danang!$D:$D, 80)="", NA(), INDEX(Danang!$L:$L, 80))</f>
        <v>#N/A</v>
      </c>
      <c r="H380" t="e">
        <f t="shared" si="11"/>
        <v>#N/A</v>
      </c>
    </row>
    <row r="381" spans="1:8" x14ac:dyDescent="0.2">
      <c r="A381" t="e">
        <f>IF(INDEX(Danang!$D:$D, 81)="", NA(), "Danang (Quality Assurance)")</f>
        <v>#N/A</v>
      </c>
      <c r="B381" t="e">
        <f>IF(INDEX(Danang!$D:$D, 81)="", NA(), INDEX(Danang!$B:$B, 81))</f>
        <v>#N/A</v>
      </c>
      <c r="C381" t="e">
        <f>IF(INDEX(Danang!$D:$D, 81)="", NA(), INDEX(Danang!$D:$D, 81))</f>
        <v>#N/A</v>
      </c>
      <c r="D381" t="e">
        <f>IF(INDEX(Danang!$D:$D, 81)="", NA(), INDEX(Danang!$E:$E, 81))</f>
        <v>#N/A</v>
      </c>
      <c r="E381" s="13" t="e">
        <f>IF(INDEX(Danang!$D:$D, 81)="", NA(), INDEX(Danang!$K:$K, 81))</f>
        <v>#N/A</v>
      </c>
      <c r="F381" t="e">
        <f t="shared" si="10"/>
        <v>#N/A</v>
      </c>
      <c r="G381" s="13" t="e">
        <f>IF(INDEX(Danang!$D:$D, 81)="", NA(), INDEX(Danang!$L:$L, 81))</f>
        <v>#N/A</v>
      </c>
      <c r="H381" t="e">
        <f t="shared" si="11"/>
        <v>#N/A</v>
      </c>
    </row>
    <row r="382" spans="1:8" x14ac:dyDescent="0.2">
      <c r="A382" t="e">
        <f>IF(INDEX(Danang!$D:$D, 82)="", NA(), "Danang (Quality Assurance)")</f>
        <v>#N/A</v>
      </c>
      <c r="B382" t="e">
        <f>IF(INDEX(Danang!$D:$D, 82)="", NA(), INDEX(Danang!$B:$B, 82))</f>
        <v>#N/A</v>
      </c>
      <c r="C382" t="e">
        <f>IF(INDEX(Danang!$D:$D, 82)="", NA(), INDEX(Danang!$D:$D, 82))</f>
        <v>#N/A</v>
      </c>
      <c r="D382" t="e">
        <f>IF(INDEX(Danang!$D:$D, 82)="", NA(), INDEX(Danang!$E:$E, 82))</f>
        <v>#N/A</v>
      </c>
      <c r="E382" s="13" t="e">
        <f>IF(INDEX(Danang!$D:$D, 82)="", NA(), INDEX(Danang!$K:$K, 82))</f>
        <v>#N/A</v>
      </c>
      <c r="F382" t="e">
        <f t="shared" si="10"/>
        <v>#N/A</v>
      </c>
      <c r="G382" s="13" t="e">
        <f>IF(INDEX(Danang!$D:$D, 82)="", NA(), INDEX(Danang!$L:$L, 82))</f>
        <v>#N/A</v>
      </c>
      <c r="H382" t="e">
        <f t="shared" si="11"/>
        <v>#N/A</v>
      </c>
    </row>
    <row r="383" spans="1:8" x14ac:dyDescent="0.2">
      <c r="A383" t="e">
        <f>IF(INDEX(Danang!$D:$D, 83)="", NA(), "Danang (Quality Assurance)")</f>
        <v>#N/A</v>
      </c>
      <c r="B383" t="e">
        <f>IF(INDEX(Danang!$D:$D, 83)="", NA(), INDEX(Danang!$B:$B, 83))</f>
        <v>#N/A</v>
      </c>
      <c r="C383" t="e">
        <f>IF(INDEX(Danang!$D:$D, 83)="", NA(), INDEX(Danang!$D:$D, 83))</f>
        <v>#N/A</v>
      </c>
      <c r="D383" t="e">
        <f>IF(INDEX(Danang!$D:$D, 83)="", NA(), INDEX(Danang!$E:$E, 83))</f>
        <v>#N/A</v>
      </c>
      <c r="E383" s="13" t="e">
        <f>IF(INDEX(Danang!$D:$D, 83)="", NA(), INDEX(Danang!$K:$K, 83))</f>
        <v>#N/A</v>
      </c>
      <c r="F383" t="e">
        <f t="shared" si="10"/>
        <v>#N/A</v>
      </c>
      <c r="G383" s="13" t="e">
        <f>IF(INDEX(Danang!$D:$D, 83)="", NA(), INDEX(Danang!$L:$L, 83))</f>
        <v>#N/A</v>
      </c>
      <c r="H383" t="e">
        <f t="shared" si="11"/>
        <v>#N/A</v>
      </c>
    </row>
    <row r="384" spans="1:8" x14ac:dyDescent="0.2">
      <c r="A384" t="e">
        <f>IF(INDEX(Danang!$D:$D, 84)="", NA(), "Danang (Quality Assurance)")</f>
        <v>#N/A</v>
      </c>
      <c r="B384" t="e">
        <f>IF(INDEX(Danang!$D:$D, 84)="", NA(), INDEX(Danang!$B:$B, 84))</f>
        <v>#N/A</v>
      </c>
      <c r="C384" t="e">
        <f>IF(INDEX(Danang!$D:$D, 84)="", NA(), INDEX(Danang!$D:$D, 84))</f>
        <v>#N/A</v>
      </c>
      <c r="D384" t="e">
        <f>IF(INDEX(Danang!$D:$D, 84)="", NA(), INDEX(Danang!$E:$E, 84))</f>
        <v>#N/A</v>
      </c>
      <c r="E384" s="13" t="e">
        <f>IF(INDEX(Danang!$D:$D, 84)="", NA(), INDEX(Danang!$K:$K, 84))</f>
        <v>#N/A</v>
      </c>
      <c r="F384" t="e">
        <f t="shared" si="10"/>
        <v>#N/A</v>
      </c>
      <c r="G384" s="13" t="e">
        <f>IF(INDEX(Danang!$D:$D, 84)="", NA(), INDEX(Danang!$L:$L, 84))</f>
        <v>#N/A</v>
      </c>
      <c r="H384" t="e">
        <f t="shared" si="11"/>
        <v>#N/A</v>
      </c>
    </row>
    <row r="385" spans="1:8" x14ac:dyDescent="0.2">
      <c r="A385" t="e">
        <f>IF(INDEX(Danang!$D:$D, 85)="", NA(), "Danang (Quality Assurance)")</f>
        <v>#N/A</v>
      </c>
      <c r="B385" t="e">
        <f>IF(INDEX(Danang!$D:$D, 85)="", NA(), INDEX(Danang!$B:$B, 85))</f>
        <v>#N/A</v>
      </c>
      <c r="C385" t="e">
        <f>IF(INDEX(Danang!$D:$D, 85)="", NA(), INDEX(Danang!$D:$D, 85))</f>
        <v>#N/A</v>
      </c>
      <c r="D385" t="e">
        <f>IF(INDEX(Danang!$D:$D, 85)="", NA(), INDEX(Danang!$E:$E, 85))</f>
        <v>#N/A</v>
      </c>
      <c r="E385" s="13" t="e">
        <f>IF(INDEX(Danang!$D:$D, 85)="", NA(), INDEX(Danang!$K:$K, 85))</f>
        <v>#N/A</v>
      </c>
      <c r="F385" t="e">
        <f t="shared" si="10"/>
        <v>#N/A</v>
      </c>
      <c r="G385" s="13" t="e">
        <f>IF(INDEX(Danang!$D:$D, 85)="", NA(), INDEX(Danang!$L:$L, 85))</f>
        <v>#N/A</v>
      </c>
      <c r="H385" t="e">
        <f t="shared" si="11"/>
        <v>#N/A</v>
      </c>
    </row>
    <row r="386" spans="1:8" x14ac:dyDescent="0.2">
      <c r="A386" t="e">
        <f>IF(INDEX(Danang!$D:$D, 86)="", NA(), "Danang (Quality Assurance)")</f>
        <v>#N/A</v>
      </c>
      <c r="B386" t="e">
        <f>IF(INDEX(Danang!$D:$D, 86)="", NA(), INDEX(Danang!$B:$B, 86))</f>
        <v>#N/A</v>
      </c>
      <c r="C386" t="e">
        <f>IF(INDEX(Danang!$D:$D, 86)="", NA(), INDEX(Danang!$D:$D, 86))</f>
        <v>#N/A</v>
      </c>
      <c r="D386" t="e">
        <f>IF(INDEX(Danang!$D:$D, 86)="", NA(), INDEX(Danang!$E:$E, 86))</f>
        <v>#N/A</v>
      </c>
      <c r="E386" s="13" t="e">
        <f>IF(INDEX(Danang!$D:$D, 86)="", NA(), INDEX(Danang!$K:$K, 86))</f>
        <v>#N/A</v>
      </c>
      <c r="F386" t="e">
        <f t="shared" ref="F386:F449" si="12">IF(OR(E386="", ISNA(E386), ISNA(G386)), 0, MAX(1, G386-E386))</f>
        <v>#N/A</v>
      </c>
      <c r="G386" s="13" t="e">
        <f>IF(INDEX(Danang!$D:$D, 86)="", NA(), INDEX(Danang!$L:$L, 86))</f>
        <v>#N/A</v>
      </c>
      <c r="H386" t="e">
        <f t="shared" ref="H386:H449" si="13">IF(ISNA(C386), NA(), A386 &amp; " - " &amp; B386 &amp; " - " &amp; C386)</f>
        <v>#N/A</v>
      </c>
    </row>
    <row r="387" spans="1:8" x14ac:dyDescent="0.2">
      <c r="A387" t="e">
        <f>IF(INDEX(Danang!$D:$D, 87)="", NA(), "Danang (Quality Assurance)")</f>
        <v>#N/A</v>
      </c>
      <c r="B387" t="e">
        <f>IF(INDEX(Danang!$D:$D, 87)="", NA(), INDEX(Danang!$B:$B, 87))</f>
        <v>#N/A</v>
      </c>
      <c r="C387" t="e">
        <f>IF(INDEX(Danang!$D:$D, 87)="", NA(), INDEX(Danang!$D:$D, 87))</f>
        <v>#N/A</v>
      </c>
      <c r="D387" t="e">
        <f>IF(INDEX(Danang!$D:$D, 87)="", NA(), INDEX(Danang!$E:$E, 87))</f>
        <v>#N/A</v>
      </c>
      <c r="E387" s="13" t="e">
        <f>IF(INDEX(Danang!$D:$D, 87)="", NA(), INDEX(Danang!$K:$K, 87))</f>
        <v>#N/A</v>
      </c>
      <c r="F387" t="e">
        <f t="shared" si="12"/>
        <v>#N/A</v>
      </c>
      <c r="G387" s="13" t="e">
        <f>IF(INDEX(Danang!$D:$D, 87)="", NA(), INDEX(Danang!$L:$L, 87))</f>
        <v>#N/A</v>
      </c>
      <c r="H387" t="e">
        <f t="shared" si="13"/>
        <v>#N/A</v>
      </c>
    </row>
    <row r="388" spans="1:8" x14ac:dyDescent="0.2">
      <c r="A388" t="e">
        <f>IF(INDEX(Danang!$D:$D, 88)="", NA(), "Danang (Quality Assurance)")</f>
        <v>#N/A</v>
      </c>
      <c r="B388" t="e">
        <f>IF(INDEX(Danang!$D:$D, 88)="", NA(), INDEX(Danang!$B:$B, 88))</f>
        <v>#N/A</v>
      </c>
      <c r="C388" t="e">
        <f>IF(INDEX(Danang!$D:$D, 88)="", NA(), INDEX(Danang!$D:$D, 88))</f>
        <v>#N/A</v>
      </c>
      <c r="D388" t="e">
        <f>IF(INDEX(Danang!$D:$D, 88)="", NA(), INDEX(Danang!$E:$E, 88))</f>
        <v>#N/A</v>
      </c>
      <c r="E388" s="13" t="e">
        <f>IF(INDEX(Danang!$D:$D, 88)="", NA(), INDEX(Danang!$K:$K, 88))</f>
        <v>#N/A</v>
      </c>
      <c r="F388" t="e">
        <f t="shared" si="12"/>
        <v>#N/A</v>
      </c>
      <c r="G388" s="13" t="e">
        <f>IF(INDEX(Danang!$D:$D, 88)="", NA(), INDEX(Danang!$L:$L, 88))</f>
        <v>#N/A</v>
      </c>
      <c r="H388" t="e">
        <f t="shared" si="13"/>
        <v>#N/A</v>
      </c>
    </row>
    <row r="389" spans="1:8" x14ac:dyDescent="0.2">
      <c r="A389" t="e">
        <f>IF(INDEX(Danang!$D:$D, 89)="", NA(), "Danang (Quality Assurance)")</f>
        <v>#N/A</v>
      </c>
      <c r="B389" t="e">
        <f>IF(INDEX(Danang!$D:$D, 89)="", NA(), INDEX(Danang!$B:$B, 89))</f>
        <v>#N/A</v>
      </c>
      <c r="C389" t="e">
        <f>IF(INDEX(Danang!$D:$D, 89)="", NA(), INDEX(Danang!$D:$D, 89))</f>
        <v>#N/A</v>
      </c>
      <c r="D389" t="e">
        <f>IF(INDEX(Danang!$D:$D, 89)="", NA(), INDEX(Danang!$E:$E, 89))</f>
        <v>#N/A</v>
      </c>
      <c r="E389" s="13" t="e">
        <f>IF(INDEX(Danang!$D:$D, 89)="", NA(), INDEX(Danang!$K:$K, 89))</f>
        <v>#N/A</v>
      </c>
      <c r="F389" t="e">
        <f t="shared" si="12"/>
        <v>#N/A</v>
      </c>
      <c r="G389" s="13" t="e">
        <f>IF(INDEX(Danang!$D:$D, 89)="", NA(), INDEX(Danang!$L:$L, 89))</f>
        <v>#N/A</v>
      </c>
      <c r="H389" t="e">
        <f t="shared" si="13"/>
        <v>#N/A</v>
      </c>
    </row>
    <row r="390" spans="1:8" x14ac:dyDescent="0.2">
      <c r="A390" t="e">
        <f>IF(INDEX(Danang!$D:$D, 90)="", NA(), "Danang (Quality Assurance)")</f>
        <v>#N/A</v>
      </c>
      <c r="B390" t="e">
        <f>IF(INDEX(Danang!$D:$D, 90)="", NA(), INDEX(Danang!$B:$B, 90))</f>
        <v>#N/A</v>
      </c>
      <c r="C390" t="e">
        <f>IF(INDEX(Danang!$D:$D, 90)="", NA(), INDEX(Danang!$D:$D, 90))</f>
        <v>#N/A</v>
      </c>
      <c r="D390" t="e">
        <f>IF(INDEX(Danang!$D:$D, 90)="", NA(), INDEX(Danang!$E:$E, 90))</f>
        <v>#N/A</v>
      </c>
      <c r="E390" s="13" t="e">
        <f>IF(INDEX(Danang!$D:$D, 90)="", NA(), INDEX(Danang!$K:$K, 90))</f>
        <v>#N/A</v>
      </c>
      <c r="F390" t="e">
        <f t="shared" si="12"/>
        <v>#N/A</v>
      </c>
      <c r="G390" s="13" t="e">
        <f>IF(INDEX(Danang!$D:$D, 90)="", NA(), INDEX(Danang!$L:$L, 90))</f>
        <v>#N/A</v>
      </c>
      <c r="H390" t="e">
        <f t="shared" si="13"/>
        <v>#N/A</v>
      </c>
    </row>
    <row r="391" spans="1:8" x14ac:dyDescent="0.2">
      <c r="A391" t="e">
        <f>IF(INDEX(Danang!$D:$D, 91)="", NA(), "Danang (Quality Assurance)")</f>
        <v>#N/A</v>
      </c>
      <c r="B391" t="e">
        <f>IF(INDEX(Danang!$D:$D, 91)="", NA(), INDEX(Danang!$B:$B, 91))</f>
        <v>#N/A</v>
      </c>
      <c r="C391" t="e">
        <f>IF(INDEX(Danang!$D:$D, 91)="", NA(), INDEX(Danang!$D:$D, 91))</f>
        <v>#N/A</v>
      </c>
      <c r="D391" t="e">
        <f>IF(INDEX(Danang!$D:$D, 91)="", NA(), INDEX(Danang!$E:$E, 91))</f>
        <v>#N/A</v>
      </c>
      <c r="E391" s="13" t="e">
        <f>IF(INDEX(Danang!$D:$D, 91)="", NA(), INDEX(Danang!$K:$K, 91))</f>
        <v>#N/A</v>
      </c>
      <c r="F391" t="e">
        <f t="shared" si="12"/>
        <v>#N/A</v>
      </c>
      <c r="G391" s="13" t="e">
        <f>IF(INDEX(Danang!$D:$D, 91)="", NA(), INDEX(Danang!$L:$L, 91))</f>
        <v>#N/A</v>
      </c>
      <c r="H391" t="e">
        <f t="shared" si="13"/>
        <v>#N/A</v>
      </c>
    </row>
    <row r="392" spans="1:8" x14ac:dyDescent="0.2">
      <c r="A392" t="e">
        <f>IF(INDEX(Danang!$D:$D, 92)="", NA(), "Danang (Quality Assurance)")</f>
        <v>#N/A</v>
      </c>
      <c r="B392" t="e">
        <f>IF(INDEX(Danang!$D:$D, 92)="", NA(), INDEX(Danang!$B:$B, 92))</f>
        <v>#N/A</v>
      </c>
      <c r="C392" t="e">
        <f>IF(INDEX(Danang!$D:$D, 92)="", NA(), INDEX(Danang!$D:$D, 92))</f>
        <v>#N/A</v>
      </c>
      <c r="D392" t="e">
        <f>IF(INDEX(Danang!$D:$D, 92)="", NA(), INDEX(Danang!$E:$E, 92))</f>
        <v>#N/A</v>
      </c>
      <c r="E392" s="13" t="e">
        <f>IF(INDEX(Danang!$D:$D, 92)="", NA(), INDEX(Danang!$K:$K, 92))</f>
        <v>#N/A</v>
      </c>
      <c r="F392" t="e">
        <f t="shared" si="12"/>
        <v>#N/A</v>
      </c>
      <c r="G392" s="13" t="e">
        <f>IF(INDEX(Danang!$D:$D, 92)="", NA(), INDEX(Danang!$L:$L, 92))</f>
        <v>#N/A</v>
      </c>
      <c r="H392" t="e">
        <f t="shared" si="13"/>
        <v>#N/A</v>
      </c>
    </row>
    <row r="393" spans="1:8" x14ac:dyDescent="0.2">
      <c r="A393" t="e">
        <f>IF(INDEX(Danang!$D:$D, 93)="", NA(), "Danang (Quality Assurance)")</f>
        <v>#N/A</v>
      </c>
      <c r="B393" t="e">
        <f>IF(INDEX(Danang!$D:$D, 93)="", NA(), INDEX(Danang!$B:$B, 93))</f>
        <v>#N/A</v>
      </c>
      <c r="C393" t="e">
        <f>IF(INDEX(Danang!$D:$D, 93)="", NA(), INDEX(Danang!$D:$D, 93))</f>
        <v>#N/A</v>
      </c>
      <c r="D393" t="e">
        <f>IF(INDEX(Danang!$D:$D, 93)="", NA(), INDEX(Danang!$E:$E, 93))</f>
        <v>#N/A</v>
      </c>
      <c r="E393" s="13" t="e">
        <f>IF(INDEX(Danang!$D:$D, 93)="", NA(), INDEX(Danang!$K:$K, 93))</f>
        <v>#N/A</v>
      </c>
      <c r="F393" t="e">
        <f t="shared" si="12"/>
        <v>#N/A</v>
      </c>
      <c r="G393" s="13" t="e">
        <f>IF(INDEX(Danang!$D:$D, 93)="", NA(), INDEX(Danang!$L:$L, 93))</f>
        <v>#N/A</v>
      </c>
      <c r="H393" t="e">
        <f t="shared" si="13"/>
        <v>#N/A</v>
      </c>
    </row>
    <row r="394" spans="1:8" x14ac:dyDescent="0.2">
      <c r="A394" t="e">
        <f>IF(INDEX(Danang!$D:$D, 94)="", NA(), "Danang (Quality Assurance)")</f>
        <v>#N/A</v>
      </c>
      <c r="B394" t="e">
        <f>IF(INDEX(Danang!$D:$D, 94)="", NA(), INDEX(Danang!$B:$B, 94))</f>
        <v>#N/A</v>
      </c>
      <c r="C394" t="e">
        <f>IF(INDEX(Danang!$D:$D, 94)="", NA(), INDEX(Danang!$D:$D, 94))</f>
        <v>#N/A</v>
      </c>
      <c r="D394" t="e">
        <f>IF(INDEX(Danang!$D:$D, 94)="", NA(), INDEX(Danang!$E:$E, 94))</f>
        <v>#N/A</v>
      </c>
      <c r="E394" s="13" t="e">
        <f>IF(INDEX(Danang!$D:$D, 94)="", NA(), INDEX(Danang!$K:$K, 94))</f>
        <v>#N/A</v>
      </c>
      <c r="F394" t="e">
        <f t="shared" si="12"/>
        <v>#N/A</v>
      </c>
      <c r="G394" s="13" t="e">
        <f>IF(INDEX(Danang!$D:$D, 94)="", NA(), INDEX(Danang!$L:$L, 94))</f>
        <v>#N/A</v>
      </c>
      <c r="H394" t="e">
        <f t="shared" si="13"/>
        <v>#N/A</v>
      </c>
    </row>
    <row r="395" spans="1:8" x14ac:dyDescent="0.2">
      <c r="A395" t="e">
        <f>IF(INDEX(Danang!$D:$D, 95)="", NA(), "Danang (Quality Assurance)")</f>
        <v>#N/A</v>
      </c>
      <c r="B395" t="e">
        <f>IF(INDEX(Danang!$D:$D, 95)="", NA(), INDEX(Danang!$B:$B, 95))</f>
        <v>#N/A</v>
      </c>
      <c r="C395" t="e">
        <f>IF(INDEX(Danang!$D:$D, 95)="", NA(), INDEX(Danang!$D:$D, 95))</f>
        <v>#N/A</v>
      </c>
      <c r="D395" t="e">
        <f>IF(INDEX(Danang!$D:$D, 95)="", NA(), INDEX(Danang!$E:$E, 95))</f>
        <v>#N/A</v>
      </c>
      <c r="E395" s="13" t="e">
        <f>IF(INDEX(Danang!$D:$D, 95)="", NA(), INDEX(Danang!$K:$K, 95))</f>
        <v>#N/A</v>
      </c>
      <c r="F395" t="e">
        <f t="shared" si="12"/>
        <v>#N/A</v>
      </c>
      <c r="G395" s="13" t="e">
        <f>IF(INDEX(Danang!$D:$D, 95)="", NA(), INDEX(Danang!$L:$L, 95))</f>
        <v>#N/A</v>
      </c>
      <c r="H395" t="e">
        <f t="shared" si="13"/>
        <v>#N/A</v>
      </c>
    </row>
    <row r="396" spans="1:8" x14ac:dyDescent="0.2">
      <c r="A396" t="e">
        <f>IF(INDEX(Danang!$D:$D, 96)="", NA(), "Danang (Quality Assurance)")</f>
        <v>#N/A</v>
      </c>
      <c r="B396" t="e">
        <f>IF(INDEX(Danang!$D:$D, 96)="", NA(), INDEX(Danang!$B:$B, 96))</f>
        <v>#N/A</v>
      </c>
      <c r="C396" t="e">
        <f>IF(INDEX(Danang!$D:$D, 96)="", NA(), INDEX(Danang!$D:$D, 96))</f>
        <v>#N/A</v>
      </c>
      <c r="D396" t="e">
        <f>IF(INDEX(Danang!$D:$D, 96)="", NA(), INDEX(Danang!$E:$E, 96))</f>
        <v>#N/A</v>
      </c>
      <c r="E396" s="13" t="e">
        <f>IF(INDEX(Danang!$D:$D, 96)="", NA(), INDEX(Danang!$K:$K, 96))</f>
        <v>#N/A</v>
      </c>
      <c r="F396" t="e">
        <f t="shared" si="12"/>
        <v>#N/A</v>
      </c>
      <c r="G396" s="13" t="e">
        <f>IF(INDEX(Danang!$D:$D, 96)="", NA(), INDEX(Danang!$L:$L, 96))</f>
        <v>#N/A</v>
      </c>
      <c r="H396" t="e">
        <f t="shared" si="13"/>
        <v>#N/A</v>
      </c>
    </row>
    <row r="397" spans="1:8" x14ac:dyDescent="0.2">
      <c r="A397" t="e">
        <f>IF(INDEX(Danang!$D:$D, 97)="", NA(), "Danang (Quality Assurance)")</f>
        <v>#N/A</v>
      </c>
      <c r="B397" t="e">
        <f>IF(INDEX(Danang!$D:$D, 97)="", NA(), INDEX(Danang!$B:$B, 97))</f>
        <v>#N/A</v>
      </c>
      <c r="C397" t="e">
        <f>IF(INDEX(Danang!$D:$D, 97)="", NA(), INDEX(Danang!$D:$D, 97))</f>
        <v>#N/A</v>
      </c>
      <c r="D397" t="e">
        <f>IF(INDEX(Danang!$D:$D, 97)="", NA(), INDEX(Danang!$E:$E, 97))</f>
        <v>#N/A</v>
      </c>
      <c r="E397" s="13" t="e">
        <f>IF(INDEX(Danang!$D:$D, 97)="", NA(), INDEX(Danang!$K:$K, 97))</f>
        <v>#N/A</v>
      </c>
      <c r="F397" t="e">
        <f t="shared" si="12"/>
        <v>#N/A</v>
      </c>
      <c r="G397" s="13" t="e">
        <f>IF(INDEX(Danang!$D:$D, 97)="", NA(), INDEX(Danang!$L:$L, 97))</f>
        <v>#N/A</v>
      </c>
      <c r="H397" t="e">
        <f t="shared" si="13"/>
        <v>#N/A</v>
      </c>
    </row>
    <row r="398" spans="1:8" x14ac:dyDescent="0.2">
      <c r="A398" t="e">
        <f>IF(INDEX(Danang!$D:$D, 98)="", NA(), "Danang (Quality Assurance)")</f>
        <v>#N/A</v>
      </c>
      <c r="B398" t="e">
        <f>IF(INDEX(Danang!$D:$D, 98)="", NA(), INDEX(Danang!$B:$B, 98))</f>
        <v>#N/A</v>
      </c>
      <c r="C398" t="e">
        <f>IF(INDEX(Danang!$D:$D, 98)="", NA(), INDEX(Danang!$D:$D, 98))</f>
        <v>#N/A</v>
      </c>
      <c r="D398" t="e">
        <f>IF(INDEX(Danang!$D:$D, 98)="", NA(), INDEX(Danang!$E:$E, 98))</f>
        <v>#N/A</v>
      </c>
      <c r="E398" s="13" t="e">
        <f>IF(INDEX(Danang!$D:$D, 98)="", NA(), INDEX(Danang!$K:$K, 98))</f>
        <v>#N/A</v>
      </c>
      <c r="F398" t="e">
        <f t="shared" si="12"/>
        <v>#N/A</v>
      </c>
      <c r="G398" s="13" t="e">
        <f>IF(INDEX(Danang!$D:$D, 98)="", NA(), INDEX(Danang!$L:$L, 98))</f>
        <v>#N/A</v>
      </c>
      <c r="H398" t="e">
        <f t="shared" si="13"/>
        <v>#N/A</v>
      </c>
    </row>
    <row r="399" spans="1:8" x14ac:dyDescent="0.2">
      <c r="A399" t="e">
        <f>IF(INDEX(Danang!$D:$D, 99)="", NA(), "Danang (Quality Assurance)")</f>
        <v>#N/A</v>
      </c>
      <c r="B399" t="e">
        <f>IF(INDEX(Danang!$D:$D, 99)="", NA(), INDEX(Danang!$B:$B, 99))</f>
        <v>#N/A</v>
      </c>
      <c r="C399" t="e">
        <f>IF(INDEX(Danang!$D:$D, 99)="", NA(), INDEX(Danang!$D:$D, 99))</f>
        <v>#N/A</v>
      </c>
      <c r="D399" t="e">
        <f>IF(INDEX(Danang!$D:$D, 99)="", NA(), INDEX(Danang!$E:$E, 99))</f>
        <v>#N/A</v>
      </c>
      <c r="E399" s="13" t="e">
        <f>IF(INDEX(Danang!$D:$D, 99)="", NA(), INDEX(Danang!$K:$K, 99))</f>
        <v>#N/A</v>
      </c>
      <c r="F399" t="e">
        <f t="shared" si="12"/>
        <v>#N/A</v>
      </c>
      <c r="G399" s="13" t="e">
        <f>IF(INDEX(Danang!$D:$D, 99)="", NA(), INDEX(Danang!$L:$L, 99))</f>
        <v>#N/A</v>
      </c>
      <c r="H399" t="e">
        <f t="shared" si="13"/>
        <v>#N/A</v>
      </c>
    </row>
    <row r="400" spans="1:8" x14ac:dyDescent="0.2">
      <c r="A400" t="e">
        <f>IF(INDEX(Danang!$D:$D, 100)="", NA(), "Danang (Quality Assurance)")</f>
        <v>#N/A</v>
      </c>
      <c r="B400" t="e">
        <f>IF(INDEX(Danang!$D:$D, 100)="", NA(), INDEX(Danang!$B:$B, 100))</f>
        <v>#N/A</v>
      </c>
      <c r="C400" t="e">
        <f>IF(INDEX(Danang!$D:$D, 100)="", NA(), INDEX(Danang!$D:$D, 100))</f>
        <v>#N/A</v>
      </c>
      <c r="D400" t="e">
        <f>IF(INDEX(Danang!$D:$D, 100)="", NA(), INDEX(Danang!$E:$E, 100))</f>
        <v>#N/A</v>
      </c>
      <c r="E400" s="13" t="e">
        <f>IF(INDEX(Danang!$D:$D, 100)="", NA(), INDEX(Danang!$K:$K, 100))</f>
        <v>#N/A</v>
      </c>
      <c r="F400" t="e">
        <f t="shared" si="12"/>
        <v>#N/A</v>
      </c>
      <c r="G400" s="13" t="e">
        <f>IF(INDEX(Danang!$D:$D, 100)="", NA(), INDEX(Danang!$L:$L, 100))</f>
        <v>#N/A</v>
      </c>
      <c r="H400" t="e">
        <f t="shared" si="13"/>
        <v>#N/A</v>
      </c>
    </row>
    <row r="401" spans="1:8" x14ac:dyDescent="0.2">
      <c r="A401" t="e">
        <f>IF(INDEX(Danang!$D:$D, 101)="", NA(), "Danang (Quality Assurance)")</f>
        <v>#N/A</v>
      </c>
      <c r="B401" t="e">
        <f>IF(INDEX(Danang!$D:$D, 101)="", NA(), INDEX(Danang!$B:$B, 101))</f>
        <v>#N/A</v>
      </c>
      <c r="C401" t="e">
        <f>IF(INDEX(Danang!$D:$D, 101)="", NA(), INDEX(Danang!$D:$D, 101))</f>
        <v>#N/A</v>
      </c>
      <c r="D401" t="e">
        <f>IF(INDEX(Danang!$D:$D, 101)="", NA(), INDEX(Danang!$E:$E, 101))</f>
        <v>#N/A</v>
      </c>
      <c r="E401" s="13" t="e">
        <f>IF(INDEX(Danang!$D:$D, 101)="", NA(), INDEX(Danang!$K:$K, 101))</f>
        <v>#N/A</v>
      </c>
      <c r="F401" t="e">
        <f t="shared" si="12"/>
        <v>#N/A</v>
      </c>
      <c r="G401" s="13" t="e">
        <f>IF(INDEX(Danang!$D:$D, 101)="", NA(), INDEX(Danang!$L:$L, 101))</f>
        <v>#N/A</v>
      </c>
      <c r="H401" t="e">
        <f t="shared" si="13"/>
        <v>#N/A</v>
      </c>
    </row>
    <row r="402" spans="1:8" x14ac:dyDescent="0.2">
      <c r="A402" t="e">
        <f>IF(INDEX(Danang!$D:$D, 102)="", NA(), "Danang (Quality Assurance)")</f>
        <v>#N/A</v>
      </c>
      <c r="B402" t="e">
        <f>IF(INDEX(Danang!$D:$D, 102)="", NA(), INDEX(Danang!$B:$B, 102))</f>
        <v>#N/A</v>
      </c>
      <c r="C402" t="e">
        <f>IF(INDEX(Danang!$D:$D, 102)="", NA(), INDEX(Danang!$D:$D, 102))</f>
        <v>#N/A</v>
      </c>
      <c r="D402" t="e">
        <f>IF(INDEX(Danang!$D:$D, 102)="", NA(), INDEX(Danang!$E:$E, 102))</f>
        <v>#N/A</v>
      </c>
      <c r="E402" s="13" t="e">
        <f>IF(INDEX(Danang!$D:$D, 102)="", NA(), INDEX(Danang!$K:$K, 102))</f>
        <v>#N/A</v>
      </c>
      <c r="F402" t="e">
        <f t="shared" si="12"/>
        <v>#N/A</v>
      </c>
      <c r="G402" s="13" t="e">
        <f>IF(INDEX(Danang!$D:$D, 102)="", NA(), INDEX(Danang!$L:$L, 102))</f>
        <v>#N/A</v>
      </c>
      <c r="H402" t="e">
        <f t="shared" si="13"/>
        <v>#N/A</v>
      </c>
    </row>
    <row r="403" spans="1:8" x14ac:dyDescent="0.2">
      <c r="A403" t="e">
        <f>IF(INDEX(Danang!$D:$D, 103)="", NA(), "Danang (Quality Assurance)")</f>
        <v>#N/A</v>
      </c>
      <c r="B403" t="e">
        <f>IF(INDEX(Danang!$D:$D, 103)="", NA(), INDEX(Danang!$B:$B, 103))</f>
        <v>#N/A</v>
      </c>
      <c r="C403" t="e">
        <f>IF(INDEX(Danang!$D:$D, 103)="", NA(), INDEX(Danang!$D:$D, 103))</f>
        <v>#N/A</v>
      </c>
      <c r="D403" t="e">
        <f>IF(INDEX(Danang!$D:$D, 103)="", NA(), INDEX(Danang!$E:$E, 103))</f>
        <v>#N/A</v>
      </c>
      <c r="E403" s="13" t="e">
        <f>IF(INDEX(Danang!$D:$D, 103)="", NA(), INDEX(Danang!$K:$K, 103))</f>
        <v>#N/A</v>
      </c>
      <c r="F403" t="e">
        <f t="shared" si="12"/>
        <v>#N/A</v>
      </c>
      <c r="G403" s="13" t="e">
        <f>IF(INDEX(Danang!$D:$D, 103)="", NA(), INDEX(Danang!$L:$L, 103))</f>
        <v>#N/A</v>
      </c>
      <c r="H403" t="e">
        <f t="shared" si="13"/>
        <v>#N/A</v>
      </c>
    </row>
    <row r="404" spans="1:8" x14ac:dyDescent="0.2">
      <c r="A404" t="e">
        <f>IF(INDEX(Danang!$D:$D, 104)="", NA(), "Danang (Quality Assurance)")</f>
        <v>#N/A</v>
      </c>
      <c r="B404" t="e">
        <f>IF(INDEX(Danang!$D:$D, 104)="", NA(), INDEX(Danang!$B:$B, 104))</f>
        <v>#N/A</v>
      </c>
      <c r="C404" t="e">
        <f>IF(INDEX(Danang!$D:$D, 104)="", NA(), INDEX(Danang!$D:$D, 104))</f>
        <v>#N/A</v>
      </c>
      <c r="D404" t="e">
        <f>IF(INDEX(Danang!$D:$D, 104)="", NA(), INDEX(Danang!$E:$E, 104))</f>
        <v>#N/A</v>
      </c>
      <c r="E404" s="13" t="e">
        <f>IF(INDEX(Danang!$D:$D, 104)="", NA(), INDEX(Danang!$K:$K, 104))</f>
        <v>#N/A</v>
      </c>
      <c r="F404" t="e">
        <f t="shared" si="12"/>
        <v>#N/A</v>
      </c>
      <c r="G404" s="13" t="e">
        <f>IF(INDEX(Danang!$D:$D, 104)="", NA(), INDEX(Danang!$L:$L, 104))</f>
        <v>#N/A</v>
      </c>
      <c r="H404" t="e">
        <f t="shared" si="13"/>
        <v>#N/A</v>
      </c>
    </row>
    <row r="405" spans="1:8" x14ac:dyDescent="0.2">
      <c r="A405" t="e">
        <f>IF(INDEX(Danang!$D:$D, 105)="", NA(), "Danang (Quality Assurance)")</f>
        <v>#N/A</v>
      </c>
      <c r="B405" t="e">
        <f>IF(INDEX(Danang!$D:$D, 105)="", NA(), INDEX(Danang!$B:$B, 105))</f>
        <v>#N/A</v>
      </c>
      <c r="C405" t="e">
        <f>IF(INDEX(Danang!$D:$D, 105)="", NA(), INDEX(Danang!$D:$D, 105))</f>
        <v>#N/A</v>
      </c>
      <c r="D405" t="e">
        <f>IF(INDEX(Danang!$D:$D, 105)="", NA(), INDEX(Danang!$E:$E, 105))</f>
        <v>#N/A</v>
      </c>
      <c r="E405" s="13" t="e">
        <f>IF(INDEX(Danang!$D:$D, 105)="", NA(), INDEX(Danang!$K:$K, 105))</f>
        <v>#N/A</v>
      </c>
      <c r="F405" t="e">
        <f t="shared" si="12"/>
        <v>#N/A</v>
      </c>
      <c r="G405" s="13" t="e">
        <f>IF(INDEX(Danang!$D:$D, 105)="", NA(), INDEX(Danang!$L:$L, 105))</f>
        <v>#N/A</v>
      </c>
      <c r="H405" t="e">
        <f t="shared" si="13"/>
        <v>#N/A</v>
      </c>
    </row>
    <row r="406" spans="1:8" x14ac:dyDescent="0.2">
      <c r="A406" t="e">
        <f>IF(INDEX(Danang!$D:$D, 106)="", NA(), "Danang (Quality Assurance)")</f>
        <v>#N/A</v>
      </c>
      <c r="B406" t="e">
        <f>IF(INDEX(Danang!$D:$D, 106)="", NA(), INDEX(Danang!$B:$B, 106))</f>
        <v>#N/A</v>
      </c>
      <c r="C406" t="e">
        <f>IF(INDEX(Danang!$D:$D, 106)="", NA(), INDEX(Danang!$D:$D, 106))</f>
        <v>#N/A</v>
      </c>
      <c r="D406" t="e">
        <f>IF(INDEX(Danang!$D:$D, 106)="", NA(), INDEX(Danang!$E:$E, 106))</f>
        <v>#N/A</v>
      </c>
      <c r="E406" s="13" t="e">
        <f>IF(INDEX(Danang!$D:$D, 106)="", NA(), INDEX(Danang!$K:$K, 106))</f>
        <v>#N/A</v>
      </c>
      <c r="F406" t="e">
        <f t="shared" si="12"/>
        <v>#N/A</v>
      </c>
      <c r="G406" s="13" t="e">
        <f>IF(INDEX(Danang!$D:$D, 106)="", NA(), INDEX(Danang!$L:$L, 106))</f>
        <v>#N/A</v>
      </c>
      <c r="H406" t="e">
        <f t="shared" si="13"/>
        <v>#N/A</v>
      </c>
    </row>
    <row r="407" spans="1:8" x14ac:dyDescent="0.2">
      <c r="A407" t="e">
        <f>IF(INDEX(Danang!$D:$D, 107)="", NA(), "Danang (Quality Assurance)")</f>
        <v>#N/A</v>
      </c>
      <c r="B407" t="e">
        <f>IF(INDEX(Danang!$D:$D, 107)="", NA(), INDEX(Danang!$B:$B, 107))</f>
        <v>#N/A</v>
      </c>
      <c r="C407" t="e">
        <f>IF(INDEX(Danang!$D:$D, 107)="", NA(), INDEX(Danang!$D:$D, 107))</f>
        <v>#N/A</v>
      </c>
      <c r="D407" t="e">
        <f>IF(INDEX(Danang!$D:$D, 107)="", NA(), INDEX(Danang!$E:$E, 107))</f>
        <v>#N/A</v>
      </c>
      <c r="E407" s="13" t="e">
        <f>IF(INDEX(Danang!$D:$D, 107)="", NA(), INDEX(Danang!$K:$K, 107))</f>
        <v>#N/A</v>
      </c>
      <c r="F407" t="e">
        <f t="shared" si="12"/>
        <v>#N/A</v>
      </c>
      <c r="G407" s="13" t="e">
        <f>IF(INDEX(Danang!$D:$D, 107)="", NA(), INDEX(Danang!$L:$L, 107))</f>
        <v>#N/A</v>
      </c>
      <c r="H407" t="e">
        <f t="shared" si="13"/>
        <v>#N/A</v>
      </c>
    </row>
    <row r="408" spans="1:8" x14ac:dyDescent="0.2">
      <c r="A408" t="e">
        <f>IF(INDEX(Danang!$D:$D, 108)="", NA(), "Danang (Quality Assurance)")</f>
        <v>#N/A</v>
      </c>
      <c r="B408" t="e">
        <f>IF(INDEX(Danang!$D:$D, 108)="", NA(), INDEX(Danang!$B:$B, 108))</f>
        <v>#N/A</v>
      </c>
      <c r="C408" t="e">
        <f>IF(INDEX(Danang!$D:$D, 108)="", NA(), INDEX(Danang!$D:$D, 108))</f>
        <v>#N/A</v>
      </c>
      <c r="D408" t="e">
        <f>IF(INDEX(Danang!$D:$D, 108)="", NA(), INDEX(Danang!$E:$E, 108))</f>
        <v>#N/A</v>
      </c>
      <c r="E408" s="13" t="e">
        <f>IF(INDEX(Danang!$D:$D, 108)="", NA(), INDEX(Danang!$K:$K, 108))</f>
        <v>#N/A</v>
      </c>
      <c r="F408" t="e">
        <f t="shared" si="12"/>
        <v>#N/A</v>
      </c>
      <c r="G408" s="13" t="e">
        <f>IF(INDEX(Danang!$D:$D, 108)="", NA(), INDEX(Danang!$L:$L, 108))</f>
        <v>#N/A</v>
      </c>
      <c r="H408" t="e">
        <f t="shared" si="13"/>
        <v>#N/A</v>
      </c>
    </row>
    <row r="409" spans="1:8" x14ac:dyDescent="0.2">
      <c r="A409" t="e">
        <f>IF(INDEX(Danang!$D:$D, 109)="", NA(), "Danang (Quality Assurance)")</f>
        <v>#N/A</v>
      </c>
      <c r="B409" t="e">
        <f>IF(INDEX(Danang!$D:$D, 109)="", NA(), INDEX(Danang!$B:$B, 109))</f>
        <v>#N/A</v>
      </c>
      <c r="C409" t="e">
        <f>IF(INDEX(Danang!$D:$D, 109)="", NA(), INDEX(Danang!$D:$D, 109))</f>
        <v>#N/A</v>
      </c>
      <c r="D409" t="e">
        <f>IF(INDEX(Danang!$D:$D, 109)="", NA(), INDEX(Danang!$E:$E, 109))</f>
        <v>#N/A</v>
      </c>
      <c r="E409" s="13" t="e">
        <f>IF(INDEX(Danang!$D:$D, 109)="", NA(), INDEX(Danang!$K:$K, 109))</f>
        <v>#N/A</v>
      </c>
      <c r="F409" t="e">
        <f t="shared" si="12"/>
        <v>#N/A</v>
      </c>
      <c r="G409" s="13" t="e">
        <f>IF(INDEX(Danang!$D:$D, 109)="", NA(), INDEX(Danang!$L:$L, 109))</f>
        <v>#N/A</v>
      </c>
      <c r="H409" t="e">
        <f t="shared" si="13"/>
        <v>#N/A</v>
      </c>
    </row>
    <row r="410" spans="1:8" x14ac:dyDescent="0.2">
      <c r="A410" t="e">
        <f>IF(INDEX(Danang!$D:$D, 110)="", NA(), "Danang (Quality Assurance)")</f>
        <v>#N/A</v>
      </c>
      <c r="B410" t="e">
        <f>IF(INDEX(Danang!$D:$D, 110)="", NA(), INDEX(Danang!$B:$B, 110))</f>
        <v>#N/A</v>
      </c>
      <c r="C410" t="e">
        <f>IF(INDEX(Danang!$D:$D, 110)="", NA(), INDEX(Danang!$D:$D, 110))</f>
        <v>#N/A</v>
      </c>
      <c r="D410" t="e">
        <f>IF(INDEX(Danang!$D:$D, 110)="", NA(), INDEX(Danang!$E:$E, 110))</f>
        <v>#N/A</v>
      </c>
      <c r="E410" s="13" t="e">
        <f>IF(INDEX(Danang!$D:$D, 110)="", NA(), INDEX(Danang!$K:$K, 110))</f>
        <v>#N/A</v>
      </c>
      <c r="F410" t="e">
        <f t="shared" si="12"/>
        <v>#N/A</v>
      </c>
      <c r="G410" s="13" t="e">
        <f>IF(INDEX(Danang!$D:$D, 110)="", NA(), INDEX(Danang!$L:$L, 110))</f>
        <v>#N/A</v>
      </c>
      <c r="H410" t="e">
        <f t="shared" si="13"/>
        <v>#N/A</v>
      </c>
    </row>
    <row r="411" spans="1:8" x14ac:dyDescent="0.2">
      <c r="A411" t="e">
        <f>IF(INDEX(Danang!$D:$D, 111)="", NA(), "Danang (Quality Assurance)")</f>
        <v>#N/A</v>
      </c>
      <c r="B411" t="e">
        <f>IF(INDEX(Danang!$D:$D, 111)="", NA(), INDEX(Danang!$B:$B, 111))</f>
        <v>#N/A</v>
      </c>
      <c r="C411" t="e">
        <f>IF(INDEX(Danang!$D:$D, 111)="", NA(), INDEX(Danang!$D:$D, 111))</f>
        <v>#N/A</v>
      </c>
      <c r="D411" t="e">
        <f>IF(INDEX(Danang!$D:$D, 111)="", NA(), INDEX(Danang!$E:$E, 111))</f>
        <v>#N/A</v>
      </c>
      <c r="E411" s="13" t="e">
        <f>IF(INDEX(Danang!$D:$D, 111)="", NA(), INDEX(Danang!$K:$K, 111))</f>
        <v>#N/A</v>
      </c>
      <c r="F411" t="e">
        <f t="shared" si="12"/>
        <v>#N/A</v>
      </c>
      <c r="G411" s="13" t="e">
        <f>IF(INDEX(Danang!$D:$D, 111)="", NA(), INDEX(Danang!$L:$L, 111))</f>
        <v>#N/A</v>
      </c>
      <c r="H411" t="e">
        <f t="shared" si="13"/>
        <v>#N/A</v>
      </c>
    </row>
    <row r="412" spans="1:8" x14ac:dyDescent="0.2">
      <c r="A412" t="e">
        <f>IF(INDEX(Danang!$D:$D, 112)="", NA(), "Danang (Quality Assurance)")</f>
        <v>#N/A</v>
      </c>
      <c r="B412" t="e">
        <f>IF(INDEX(Danang!$D:$D, 112)="", NA(), INDEX(Danang!$B:$B, 112))</f>
        <v>#N/A</v>
      </c>
      <c r="C412" t="e">
        <f>IF(INDEX(Danang!$D:$D, 112)="", NA(), INDEX(Danang!$D:$D, 112))</f>
        <v>#N/A</v>
      </c>
      <c r="D412" t="e">
        <f>IF(INDEX(Danang!$D:$D, 112)="", NA(), INDEX(Danang!$E:$E, 112))</f>
        <v>#N/A</v>
      </c>
      <c r="E412" s="13" t="e">
        <f>IF(INDEX(Danang!$D:$D, 112)="", NA(), INDEX(Danang!$K:$K, 112))</f>
        <v>#N/A</v>
      </c>
      <c r="F412" t="e">
        <f t="shared" si="12"/>
        <v>#N/A</v>
      </c>
      <c r="G412" s="13" t="e">
        <f>IF(INDEX(Danang!$D:$D, 112)="", NA(), INDEX(Danang!$L:$L, 112))</f>
        <v>#N/A</v>
      </c>
      <c r="H412" t="e">
        <f t="shared" si="13"/>
        <v>#N/A</v>
      </c>
    </row>
    <row r="413" spans="1:8" x14ac:dyDescent="0.2">
      <c r="A413" t="e">
        <f>IF(INDEX(Danang!$D:$D, 113)="", NA(), "Danang (Quality Assurance)")</f>
        <v>#N/A</v>
      </c>
      <c r="B413" t="e">
        <f>IF(INDEX(Danang!$D:$D, 113)="", NA(), INDEX(Danang!$B:$B, 113))</f>
        <v>#N/A</v>
      </c>
      <c r="C413" t="e">
        <f>IF(INDEX(Danang!$D:$D, 113)="", NA(), INDEX(Danang!$D:$D, 113))</f>
        <v>#N/A</v>
      </c>
      <c r="D413" t="e">
        <f>IF(INDEX(Danang!$D:$D, 113)="", NA(), INDEX(Danang!$E:$E, 113))</f>
        <v>#N/A</v>
      </c>
      <c r="E413" s="13" t="e">
        <f>IF(INDEX(Danang!$D:$D, 113)="", NA(), INDEX(Danang!$K:$K, 113))</f>
        <v>#N/A</v>
      </c>
      <c r="F413" t="e">
        <f t="shared" si="12"/>
        <v>#N/A</v>
      </c>
      <c r="G413" s="13" t="e">
        <f>IF(INDEX(Danang!$D:$D, 113)="", NA(), INDEX(Danang!$L:$L, 113))</f>
        <v>#N/A</v>
      </c>
      <c r="H413" t="e">
        <f t="shared" si="13"/>
        <v>#N/A</v>
      </c>
    </row>
    <row r="414" spans="1:8" x14ac:dyDescent="0.2">
      <c r="A414" t="e">
        <f>IF(INDEX(Danang!$D:$D, 114)="", NA(), "Danang (Quality Assurance)")</f>
        <v>#N/A</v>
      </c>
      <c r="B414" t="e">
        <f>IF(INDEX(Danang!$D:$D, 114)="", NA(), INDEX(Danang!$B:$B, 114))</f>
        <v>#N/A</v>
      </c>
      <c r="C414" t="e">
        <f>IF(INDEX(Danang!$D:$D, 114)="", NA(), INDEX(Danang!$D:$D, 114))</f>
        <v>#N/A</v>
      </c>
      <c r="D414" t="e">
        <f>IF(INDEX(Danang!$D:$D, 114)="", NA(), INDEX(Danang!$E:$E, 114))</f>
        <v>#N/A</v>
      </c>
      <c r="E414" s="13" t="e">
        <f>IF(INDEX(Danang!$D:$D, 114)="", NA(), INDEX(Danang!$K:$K, 114))</f>
        <v>#N/A</v>
      </c>
      <c r="F414" t="e">
        <f t="shared" si="12"/>
        <v>#N/A</v>
      </c>
      <c r="G414" s="13" t="e">
        <f>IF(INDEX(Danang!$D:$D, 114)="", NA(), INDEX(Danang!$L:$L, 114))</f>
        <v>#N/A</v>
      </c>
      <c r="H414" t="e">
        <f t="shared" si="13"/>
        <v>#N/A</v>
      </c>
    </row>
    <row r="415" spans="1:8" x14ac:dyDescent="0.2">
      <c r="A415" t="e">
        <f>IF(INDEX(Danang!$D:$D, 115)="", NA(), "Danang (Quality Assurance)")</f>
        <v>#N/A</v>
      </c>
      <c r="B415" t="e">
        <f>IF(INDEX(Danang!$D:$D, 115)="", NA(), INDEX(Danang!$B:$B, 115))</f>
        <v>#N/A</v>
      </c>
      <c r="C415" t="e">
        <f>IF(INDEX(Danang!$D:$D, 115)="", NA(), INDEX(Danang!$D:$D, 115))</f>
        <v>#N/A</v>
      </c>
      <c r="D415" t="e">
        <f>IF(INDEX(Danang!$D:$D, 115)="", NA(), INDEX(Danang!$E:$E, 115))</f>
        <v>#N/A</v>
      </c>
      <c r="E415" s="13" t="e">
        <f>IF(INDEX(Danang!$D:$D, 115)="", NA(), INDEX(Danang!$K:$K, 115))</f>
        <v>#N/A</v>
      </c>
      <c r="F415" t="e">
        <f t="shared" si="12"/>
        <v>#N/A</v>
      </c>
      <c r="G415" s="13" t="e">
        <f>IF(INDEX(Danang!$D:$D, 115)="", NA(), INDEX(Danang!$L:$L, 115))</f>
        <v>#N/A</v>
      </c>
      <c r="H415" t="e">
        <f t="shared" si="13"/>
        <v>#N/A</v>
      </c>
    </row>
    <row r="416" spans="1:8" x14ac:dyDescent="0.2">
      <c r="A416" t="e">
        <f>IF(INDEX(Danang!$D:$D, 116)="", NA(), "Danang (Quality Assurance)")</f>
        <v>#N/A</v>
      </c>
      <c r="B416" t="e">
        <f>IF(INDEX(Danang!$D:$D, 116)="", NA(), INDEX(Danang!$B:$B, 116))</f>
        <v>#N/A</v>
      </c>
      <c r="C416" t="e">
        <f>IF(INDEX(Danang!$D:$D, 116)="", NA(), INDEX(Danang!$D:$D, 116))</f>
        <v>#N/A</v>
      </c>
      <c r="D416" t="e">
        <f>IF(INDEX(Danang!$D:$D, 116)="", NA(), INDEX(Danang!$E:$E, 116))</f>
        <v>#N/A</v>
      </c>
      <c r="E416" s="13" t="e">
        <f>IF(INDEX(Danang!$D:$D, 116)="", NA(), INDEX(Danang!$K:$K, 116))</f>
        <v>#N/A</v>
      </c>
      <c r="F416" t="e">
        <f t="shared" si="12"/>
        <v>#N/A</v>
      </c>
      <c r="G416" s="13" t="e">
        <f>IF(INDEX(Danang!$D:$D, 116)="", NA(), INDEX(Danang!$L:$L, 116))</f>
        <v>#N/A</v>
      </c>
      <c r="H416" t="e">
        <f t="shared" si="13"/>
        <v>#N/A</v>
      </c>
    </row>
    <row r="417" spans="1:8" x14ac:dyDescent="0.2">
      <c r="A417" t="e">
        <f>IF(INDEX(Danang!$D:$D, 117)="", NA(), "Danang (Quality Assurance)")</f>
        <v>#N/A</v>
      </c>
      <c r="B417" t="e">
        <f>IF(INDEX(Danang!$D:$D, 117)="", NA(), INDEX(Danang!$B:$B, 117))</f>
        <v>#N/A</v>
      </c>
      <c r="C417" t="e">
        <f>IF(INDEX(Danang!$D:$D, 117)="", NA(), INDEX(Danang!$D:$D, 117))</f>
        <v>#N/A</v>
      </c>
      <c r="D417" t="e">
        <f>IF(INDEX(Danang!$D:$D, 117)="", NA(), INDEX(Danang!$E:$E, 117))</f>
        <v>#N/A</v>
      </c>
      <c r="E417" s="13" t="e">
        <f>IF(INDEX(Danang!$D:$D, 117)="", NA(), INDEX(Danang!$K:$K, 117))</f>
        <v>#N/A</v>
      </c>
      <c r="F417" t="e">
        <f t="shared" si="12"/>
        <v>#N/A</v>
      </c>
      <c r="G417" s="13" t="e">
        <f>IF(INDEX(Danang!$D:$D, 117)="", NA(), INDEX(Danang!$L:$L, 117))</f>
        <v>#N/A</v>
      </c>
      <c r="H417" t="e">
        <f t="shared" si="13"/>
        <v>#N/A</v>
      </c>
    </row>
    <row r="418" spans="1:8" x14ac:dyDescent="0.2">
      <c r="A418" t="e">
        <f>IF(INDEX(Danang!$D:$D, 118)="", NA(), "Danang (Quality Assurance)")</f>
        <v>#N/A</v>
      </c>
      <c r="B418" t="e">
        <f>IF(INDEX(Danang!$D:$D, 118)="", NA(), INDEX(Danang!$B:$B, 118))</f>
        <v>#N/A</v>
      </c>
      <c r="C418" t="e">
        <f>IF(INDEX(Danang!$D:$D, 118)="", NA(), INDEX(Danang!$D:$D, 118))</f>
        <v>#N/A</v>
      </c>
      <c r="D418" t="e">
        <f>IF(INDEX(Danang!$D:$D, 118)="", NA(), INDEX(Danang!$E:$E, 118))</f>
        <v>#N/A</v>
      </c>
      <c r="E418" s="13" t="e">
        <f>IF(INDEX(Danang!$D:$D, 118)="", NA(), INDEX(Danang!$K:$K, 118))</f>
        <v>#N/A</v>
      </c>
      <c r="F418" t="e">
        <f t="shared" si="12"/>
        <v>#N/A</v>
      </c>
      <c r="G418" s="13" t="e">
        <f>IF(INDEX(Danang!$D:$D, 118)="", NA(), INDEX(Danang!$L:$L, 118))</f>
        <v>#N/A</v>
      </c>
      <c r="H418" t="e">
        <f t="shared" si="13"/>
        <v>#N/A</v>
      </c>
    </row>
    <row r="419" spans="1:8" x14ac:dyDescent="0.2">
      <c r="A419" t="e">
        <f>IF(INDEX(Danang!$D:$D, 119)="", NA(), "Danang (Quality Assurance)")</f>
        <v>#N/A</v>
      </c>
      <c r="B419" t="e">
        <f>IF(INDEX(Danang!$D:$D, 119)="", NA(), INDEX(Danang!$B:$B, 119))</f>
        <v>#N/A</v>
      </c>
      <c r="C419" t="e">
        <f>IF(INDEX(Danang!$D:$D, 119)="", NA(), INDEX(Danang!$D:$D, 119))</f>
        <v>#N/A</v>
      </c>
      <c r="D419" t="e">
        <f>IF(INDEX(Danang!$D:$D, 119)="", NA(), INDEX(Danang!$E:$E, 119))</f>
        <v>#N/A</v>
      </c>
      <c r="E419" s="13" t="e">
        <f>IF(INDEX(Danang!$D:$D, 119)="", NA(), INDEX(Danang!$K:$K, 119))</f>
        <v>#N/A</v>
      </c>
      <c r="F419" t="e">
        <f t="shared" si="12"/>
        <v>#N/A</v>
      </c>
      <c r="G419" s="13" t="e">
        <f>IF(INDEX(Danang!$D:$D, 119)="", NA(), INDEX(Danang!$L:$L, 119))</f>
        <v>#N/A</v>
      </c>
      <c r="H419" t="e">
        <f t="shared" si="13"/>
        <v>#N/A</v>
      </c>
    </row>
    <row r="420" spans="1:8" x14ac:dyDescent="0.2">
      <c r="A420" t="e">
        <f>IF(INDEX(Danang!$D:$D, 120)="", NA(), "Danang (Quality Assurance)")</f>
        <v>#N/A</v>
      </c>
      <c r="B420" t="e">
        <f>IF(INDEX(Danang!$D:$D, 120)="", NA(), INDEX(Danang!$B:$B, 120))</f>
        <v>#N/A</v>
      </c>
      <c r="C420" t="e">
        <f>IF(INDEX(Danang!$D:$D, 120)="", NA(), INDEX(Danang!$D:$D, 120))</f>
        <v>#N/A</v>
      </c>
      <c r="D420" t="e">
        <f>IF(INDEX(Danang!$D:$D, 120)="", NA(), INDEX(Danang!$E:$E, 120))</f>
        <v>#N/A</v>
      </c>
      <c r="E420" s="13" t="e">
        <f>IF(INDEX(Danang!$D:$D, 120)="", NA(), INDEX(Danang!$K:$K, 120))</f>
        <v>#N/A</v>
      </c>
      <c r="F420" t="e">
        <f t="shared" si="12"/>
        <v>#N/A</v>
      </c>
      <c r="G420" s="13" t="e">
        <f>IF(INDEX(Danang!$D:$D, 120)="", NA(), INDEX(Danang!$L:$L, 120))</f>
        <v>#N/A</v>
      </c>
      <c r="H420" t="e">
        <f t="shared" si="13"/>
        <v>#N/A</v>
      </c>
    </row>
    <row r="421" spans="1:8" x14ac:dyDescent="0.2">
      <c r="A421" t="e">
        <f>IF(INDEX(Danang!$D:$D, 121)="", NA(), "Danang (Quality Assurance)")</f>
        <v>#N/A</v>
      </c>
      <c r="B421" t="e">
        <f>IF(INDEX(Danang!$D:$D, 121)="", NA(), INDEX(Danang!$B:$B, 121))</f>
        <v>#N/A</v>
      </c>
      <c r="C421" t="e">
        <f>IF(INDEX(Danang!$D:$D, 121)="", NA(), INDEX(Danang!$D:$D, 121))</f>
        <v>#N/A</v>
      </c>
      <c r="D421" t="e">
        <f>IF(INDEX(Danang!$D:$D, 121)="", NA(), INDEX(Danang!$E:$E, 121))</f>
        <v>#N/A</v>
      </c>
      <c r="E421" s="13" t="e">
        <f>IF(INDEX(Danang!$D:$D, 121)="", NA(), INDEX(Danang!$K:$K, 121))</f>
        <v>#N/A</v>
      </c>
      <c r="F421" t="e">
        <f t="shared" si="12"/>
        <v>#N/A</v>
      </c>
      <c r="G421" s="13" t="e">
        <f>IF(INDEX(Danang!$D:$D, 121)="", NA(), INDEX(Danang!$L:$L, 121))</f>
        <v>#N/A</v>
      </c>
      <c r="H421" t="e">
        <f t="shared" si="13"/>
        <v>#N/A</v>
      </c>
    </row>
    <row r="422" spans="1:8" x14ac:dyDescent="0.2">
      <c r="A422" t="e">
        <f>IF(INDEX(Danang!$D:$D, 122)="", NA(), "Danang (Quality Assurance)")</f>
        <v>#N/A</v>
      </c>
      <c r="B422" t="e">
        <f>IF(INDEX(Danang!$D:$D, 122)="", NA(), INDEX(Danang!$B:$B, 122))</f>
        <v>#N/A</v>
      </c>
      <c r="C422" t="e">
        <f>IF(INDEX(Danang!$D:$D, 122)="", NA(), INDEX(Danang!$D:$D, 122))</f>
        <v>#N/A</v>
      </c>
      <c r="D422" t="e">
        <f>IF(INDEX(Danang!$D:$D, 122)="", NA(), INDEX(Danang!$E:$E, 122))</f>
        <v>#N/A</v>
      </c>
      <c r="E422" s="13" t="e">
        <f>IF(INDEX(Danang!$D:$D, 122)="", NA(), INDEX(Danang!$K:$K, 122))</f>
        <v>#N/A</v>
      </c>
      <c r="F422" t="e">
        <f t="shared" si="12"/>
        <v>#N/A</v>
      </c>
      <c r="G422" s="13" t="e">
        <f>IF(INDEX(Danang!$D:$D, 122)="", NA(), INDEX(Danang!$L:$L, 122))</f>
        <v>#N/A</v>
      </c>
      <c r="H422" t="e">
        <f t="shared" si="13"/>
        <v>#N/A</v>
      </c>
    </row>
    <row r="423" spans="1:8" x14ac:dyDescent="0.2">
      <c r="A423" t="e">
        <f>IF(INDEX(Danang!$D:$D, 123)="", NA(), "Danang (Quality Assurance)")</f>
        <v>#N/A</v>
      </c>
      <c r="B423" t="e">
        <f>IF(INDEX(Danang!$D:$D, 123)="", NA(), INDEX(Danang!$B:$B, 123))</f>
        <v>#N/A</v>
      </c>
      <c r="C423" t="e">
        <f>IF(INDEX(Danang!$D:$D, 123)="", NA(), INDEX(Danang!$D:$D, 123))</f>
        <v>#N/A</v>
      </c>
      <c r="D423" t="e">
        <f>IF(INDEX(Danang!$D:$D, 123)="", NA(), INDEX(Danang!$E:$E, 123))</f>
        <v>#N/A</v>
      </c>
      <c r="E423" s="13" t="e">
        <f>IF(INDEX(Danang!$D:$D, 123)="", NA(), INDEX(Danang!$K:$K, 123))</f>
        <v>#N/A</v>
      </c>
      <c r="F423" t="e">
        <f t="shared" si="12"/>
        <v>#N/A</v>
      </c>
      <c r="G423" s="13" t="e">
        <f>IF(INDEX(Danang!$D:$D, 123)="", NA(), INDEX(Danang!$L:$L, 123))</f>
        <v>#N/A</v>
      </c>
      <c r="H423" t="e">
        <f t="shared" si="13"/>
        <v>#N/A</v>
      </c>
    </row>
    <row r="424" spans="1:8" x14ac:dyDescent="0.2">
      <c r="A424" t="e">
        <f>IF(INDEX(Danang!$D:$D, 124)="", NA(), "Danang (Quality Assurance)")</f>
        <v>#N/A</v>
      </c>
      <c r="B424" t="e">
        <f>IF(INDEX(Danang!$D:$D, 124)="", NA(), INDEX(Danang!$B:$B, 124))</f>
        <v>#N/A</v>
      </c>
      <c r="C424" t="e">
        <f>IF(INDEX(Danang!$D:$D, 124)="", NA(), INDEX(Danang!$D:$D, 124))</f>
        <v>#N/A</v>
      </c>
      <c r="D424" t="e">
        <f>IF(INDEX(Danang!$D:$D, 124)="", NA(), INDEX(Danang!$E:$E, 124))</f>
        <v>#N/A</v>
      </c>
      <c r="E424" s="13" t="e">
        <f>IF(INDEX(Danang!$D:$D, 124)="", NA(), INDEX(Danang!$K:$K, 124))</f>
        <v>#N/A</v>
      </c>
      <c r="F424" t="e">
        <f t="shared" si="12"/>
        <v>#N/A</v>
      </c>
      <c r="G424" s="13" t="e">
        <f>IF(INDEX(Danang!$D:$D, 124)="", NA(), INDEX(Danang!$L:$L, 124))</f>
        <v>#N/A</v>
      </c>
      <c r="H424" t="e">
        <f t="shared" si="13"/>
        <v>#N/A</v>
      </c>
    </row>
    <row r="425" spans="1:8" x14ac:dyDescent="0.2">
      <c r="A425" t="e">
        <f>IF(INDEX(Danang!$D:$D, 125)="", NA(), "Danang (Quality Assurance)")</f>
        <v>#N/A</v>
      </c>
      <c r="B425" t="e">
        <f>IF(INDEX(Danang!$D:$D, 125)="", NA(), INDEX(Danang!$B:$B, 125))</f>
        <v>#N/A</v>
      </c>
      <c r="C425" t="e">
        <f>IF(INDEX(Danang!$D:$D, 125)="", NA(), INDEX(Danang!$D:$D, 125))</f>
        <v>#N/A</v>
      </c>
      <c r="D425" t="e">
        <f>IF(INDEX(Danang!$D:$D, 125)="", NA(), INDEX(Danang!$E:$E, 125))</f>
        <v>#N/A</v>
      </c>
      <c r="E425" s="13" t="e">
        <f>IF(INDEX(Danang!$D:$D, 125)="", NA(), INDEX(Danang!$K:$K, 125))</f>
        <v>#N/A</v>
      </c>
      <c r="F425" t="e">
        <f t="shared" si="12"/>
        <v>#N/A</v>
      </c>
      <c r="G425" s="13" t="e">
        <f>IF(INDEX(Danang!$D:$D, 125)="", NA(), INDEX(Danang!$L:$L, 125))</f>
        <v>#N/A</v>
      </c>
      <c r="H425" t="e">
        <f t="shared" si="13"/>
        <v>#N/A</v>
      </c>
    </row>
    <row r="426" spans="1:8" x14ac:dyDescent="0.2">
      <c r="A426" t="e">
        <f>IF(INDEX(Danang!$D:$D, 126)="", NA(), "Danang (Quality Assurance)")</f>
        <v>#N/A</v>
      </c>
      <c r="B426" t="e">
        <f>IF(INDEX(Danang!$D:$D, 126)="", NA(), INDEX(Danang!$B:$B, 126))</f>
        <v>#N/A</v>
      </c>
      <c r="C426" t="e">
        <f>IF(INDEX(Danang!$D:$D, 126)="", NA(), INDEX(Danang!$D:$D, 126))</f>
        <v>#N/A</v>
      </c>
      <c r="D426" t="e">
        <f>IF(INDEX(Danang!$D:$D, 126)="", NA(), INDEX(Danang!$E:$E, 126))</f>
        <v>#N/A</v>
      </c>
      <c r="E426" s="13" t="e">
        <f>IF(INDEX(Danang!$D:$D, 126)="", NA(), INDEX(Danang!$K:$K, 126))</f>
        <v>#N/A</v>
      </c>
      <c r="F426" t="e">
        <f t="shared" si="12"/>
        <v>#N/A</v>
      </c>
      <c r="G426" s="13" t="e">
        <f>IF(INDEX(Danang!$D:$D, 126)="", NA(), INDEX(Danang!$L:$L, 126))</f>
        <v>#N/A</v>
      </c>
      <c r="H426" t="e">
        <f t="shared" si="13"/>
        <v>#N/A</v>
      </c>
    </row>
    <row r="427" spans="1:8" x14ac:dyDescent="0.2">
      <c r="A427" t="e">
        <f>IF(INDEX(Danang!$D:$D, 127)="", NA(), "Danang (Quality Assurance)")</f>
        <v>#N/A</v>
      </c>
      <c r="B427" t="e">
        <f>IF(INDEX(Danang!$D:$D, 127)="", NA(), INDEX(Danang!$B:$B, 127))</f>
        <v>#N/A</v>
      </c>
      <c r="C427" t="e">
        <f>IF(INDEX(Danang!$D:$D, 127)="", NA(), INDEX(Danang!$D:$D, 127))</f>
        <v>#N/A</v>
      </c>
      <c r="D427" t="e">
        <f>IF(INDEX(Danang!$D:$D, 127)="", NA(), INDEX(Danang!$E:$E, 127))</f>
        <v>#N/A</v>
      </c>
      <c r="E427" s="13" t="e">
        <f>IF(INDEX(Danang!$D:$D, 127)="", NA(), INDEX(Danang!$K:$K, 127))</f>
        <v>#N/A</v>
      </c>
      <c r="F427" t="e">
        <f t="shared" si="12"/>
        <v>#N/A</v>
      </c>
      <c r="G427" s="13" t="e">
        <f>IF(INDEX(Danang!$D:$D, 127)="", NA(), INDEX(Danang!$L:$L, 127))</f>
        <v>#N/A</v>
      </c>
      <c r="H427" t="e">
        <f t="shared" si="13"/>
        <v>#N/A</v>
      </c>
    </row>
    <row r="428" spans="1:8" x14ac:dyDescent="0.2">
      <c r="A428" t="e">
        <f>IF(INDEX(Danang!$D:$D, 128)="", NA(), "Danang (Quality Assurance)")</f>
        <v>#N/A</v>
      </c>
      <c r="B428" t="e">
        <f>IF(INDEX(Danang!$D:$D, 128)="", NA(), INDEX(Danang!$B:$B, 128))</f>
        <v>#N/A</v>
      </c>
      <c r="C428" t="e">
        <f>IF(INDEX(Danang!$D:$D, 128)="", NA(), INDEX(Danang!$D:$D, 128))</f>
        <v>#N/A</v>
      </c>
      <c r="D428" t="e">
        <f>IF(INDEX(Danang!$D:$D, 128)="", NA(), INDEX(Danang!$E:$E, 128))</f>
        <v>#N/A</v>
      </c>
      <c r="E428" s="13" t="e">
        <f>IF(INDEX(Danang!$D:$D, 128)="", NA(), INDEX(Danang!$K:$K, 128))</f>
        <v>#N/A</v>
      </c>
      <c r="F428" t="e">
        <f t="shared" si="12"/>
        <v>#N/A</v>
      </c>
      <c r="G428" s="13" t="e">
        <f>IF(INDEX(Danang!$D:$D, 128)="", NA(), INDEX(Danang!$L:$L, 128))</f>
        <v>#N/A</v>
      </c>
      <c r="H428" t="e">
        <f t="shared" si="13"/>
        <v>#N/A</v>
      </c>
    </row>
    <row r="429" spans="1:8" x14ac:dyDescent="0.2">
      <c r="A429" t="e">
        <f>IF(INDEX(Danang!$D:$D, 129)="", NA(), "Danang (Quality Assurance)")</f>
        <v>#N/A</v>
      </c>
      <c r="B429" t="e">
        <f>IF(INDEX(Danang!$D:$D, 129)="", NA(), INDEX(Danang!$B:$B, 129))</f>
        <v>#N/A</v>
      </c>
      <c r="C429" t="e">
        <f>IF(INDEX(Danang!$D:$D, 129)="", NA(), INDEX(Danang!$D:$D, 129))</f>
        <v>#N/A</v>
      </c>
      <c r="D429" t="e">
        <f>IF(INDEX(Danang!$D:$D, 129)="", NA(), INDEX(Danang!$E:$E, 129))</f>
        <v>#N/A</v>
      </c>
      <c r="E429" s="13" t="e">
        <f>IF(INDEX(Danang!$D:$D, 129)="", NA(), INDEX(Danang!$K:$K, 129))</f>
        <v>#N/A</v>
      </c>
      <c r="F429" t="e">
        <f t="shared" si="12"/>
        <v>#N/A</v>
      </c>
      <c r="G429" s="13" t="e">
        <f>IF(INDEX(Danang!$D:$D, 129)="", NA(), INDEX(Danang!$L:$L, 129))</f>
        <v>#N/A</v>
      </c>
      <c r="H429" t="e">
        <f t="shared" si="13"/>
        <v>#N/A</v>
      </c>
    </row>
    <row r="430" spans="1:8" x14ac:dyDescent="0.2">
      <c r="A430" t="e">
        <f>IF(INDEX(Danang!$D:$D, 130)="", NA(), "Danang (Quality Assurance)")</f>
        <v>#N/A</v>
      </c>
      <c r="B430" t="e">
        <f>IF(INDEX(Danang!$D:$D, 130)="", NA(), INDEX(Danang!$B:$B, 130))</f>
        <v>#N/A</v>
      </c>
      <c r="C430" t="e">
        <f>IF(INDEX(Danang!$D:$D, 130)="", NA(), INDEX(Danang!$D:$D, 130))</f>
        <v>#N/A</v>
      </c>
      <c r="D430" t="e">
        <f>IF(INDEX(Danang!$D:$D, 130)="", NA(), INDEX(Danang!$E:$E, 130))</f>
        <v>#N/A</v>
      </c>
      <c r="E430" s="13" t="e">
        <f>IF(INDEX(Danang!$D:$D, 130)="", NA(), INDEX(Danang!$K:$K, 130))</f>
        <v>#N/A</v>
      </c>
      <c r="F430" t="e">
        <f t="shared" si="12"/>
        <v>#N/A</v>
      </c>
      <c r="G430" s="13" t="e">
        <f>IF(INDEX(Danang!$D:$D, 130)="", NA(), INDEX(Danang!$L:$L, 130))</f>
        <v>#N/A</v>
      </c>
      <c r="H430" t="e">
        <f t="shared" si="13"/>
        <v>#N/A</v>
      </c>
    </row>
    <row r="431" spans="1:8" x14ac:dyDescent="0.2">
      <c r="A431" t="e">
        <f>IF(INDEX(Danang!$D:$D, 131)="", NA(), "Danang (Quality Assurance)")</f>
        <v>#N/A</v>
      </c>
      <c r="B431" t="e">
        <f>IF(INDEX(Danang!$D:$D, 131)="", NA(), INDEX(Danang!$B:$B, 131))</f>
        <v>#N/A</v>
      </c>
      <c r="C431" t="e">
        <f>IF(INDEX(Danang!$D:$D, 131)="", NA(), INDEX(Danang!$D:$D, 131))</f>
        <v>#N/A</v>
      </c>
      <c r="D431" t="e">
        <f>IF(INDEX(Danang!$D:$D, 131)="", NA(), INDEX(Danang!$E:$E, 131))</f>
        <v>#N/A</v>
      </c>
      <c r="E431" s="13" t="e">
        <f>IF(INDEX(Danang!$D:$D, 131)="", NA(), INDEX(Danang!$K:$K, 131))</f>
        <v>#N/A</v>
      </c>
      <c r="F431" t="e">
        <f t="shared" si="12"/>
        <v>#N/A</v>
      </c>
      <c r="G431" s="13" t="e">
        <f>IF(INDEX(Danang!$D:$D, 131)="", NA(), INDEX(Danang!$L:$L, 131))</f>
        <v>#N/A</v>
      </c>
      <c r="H431" t="e">
        <f t="shared" si="13"/>
        <v>#N/A</v>
      </c>
    </row>
    <row r="432" spans="1:8" x14ac:dyDescent="0.2">
      <c r="A432" t="e">
        <f>IF(INDEX(Danang!$D:$D, 132)="", NA(), "Danang (Quality Assurance)")</f>
        <v>#N/A</v>
      </c>
      <c r="B432" t="e">
        <f>IF(INDEX(Danang!$D:$D, 132)="", NA(), INDEX(Danang!$B:$B, 132))</f>
        <v>#N/A</v>
      </c>
      <c r="C432" t="e">
        <f>IF(INDEX(Danang!$D:$D, 132)="", NA(), INDEX(Danang!$D:$D, 132))</f>
        <v>#N/A</v>
      </c>
      <c r="D432" t="e">
        <f>IF(INDEX(Danang!$D:$D, 132)="", NA(), INDEX(Danang!$E:$E, 132))</f>
        <v>#N/A</v>
      </c>
      <c r="E432" s="13" t="e">
        <f>IF(INDEX(Danang!$D:$D, 132)="", NA(), INDEX(Danang!$K:$K, 132))</f>
        <v>#N/A</v>
      </c>
      <c r="F432" t="e">
        <f t="shared" si="12"/>
        <v>#N/A</v>
      </c>
      <c r="G432" s="13" t="e">
        <f>IF(INDEX(Danang!$D:$D, 132)="", NA(), INDEX(Danang!$L:$L, 132))</f>
        <v>#N/A</v>
      </c>
      <c r="H432" t="e">
        <f t="shared" si="13"/>
        <v>#N/A</v>
      </c>
    </row>
    <row r="433" spans="1:8" x14ac:dyDescent="0.2">
      <c r="A433" t="e">
        <f>IF(INDEX(Danang!$D:$D, 133)="", NA(), "Danang (Quality Assurance)")</f>
        <v>#N/A</v>
      </c>
      <c r="B433" t="e">
        <f>IF(INDEX(Danang!$D:$D, 133)="", NA(), INDEX(Danang!$B:$B, 133))</f>
        <v>#N/A</v>
      </c>
      <c r="C433" t="e">
        <f>IF(INDEX(Danang!$D:$D, 133)="", NA(), INDEX(Danang!$D:$D, 133))</f>
        <v>#N/A</v>
      </c>
      <c r="D433" t="e">
        <f>IF(INDEX(Danang!$D:$D, 133)="", NA(), INDEX(Danang!$E:$E, 133))</f>
        <v>#N/A</v>
      </c>
      <c r="E433" s="13" t="e">
        <f>IF(INDEX(Danang!$D:$D, 133)="", NA(), INDEX(Danang!$K:$K, 133))</f>
        <v>#N/A</v>
      </c>
      <c r="F433" t="e">
        <f t="shared" si="12"/>
        <v>#N/A</v>
      </c>
      <c r="G433" s="13" t="e">
        <f>IF(INDEX(Danang!$D:$D, 133)="", NA(), INDEX(Danang!$L:$L, 133))</f>
        <v>#N/A</v>
      </c>
      <c r="H433" t="e">
        <f t="shared" si="13"/>
        <v>#N/A</v>
      </c>
    </row>
    <row r="434" spans="1:8" x14ac:dyDescent="0.2">
      <c r="A434" t="e">
        <f>IF(INDEX(Danang!$D:$D, 134)="", NA(), "Danang (Quality Assurance)")</f>
        <v>#N/A</v>
      </c>
      <c r="B434" t="e">
        <f>IF(INDEX(Danang!$D:$D, 134)="", NA(), INDEX(Danang!$B:$B, 134))</f>
        <v>#N/A</v>
      </c>
      <c r="C434" t="e">
        <f>IF(INDEX(Danang!$D:$D, 134)="", NA(), INDEX(Danang!$D:$D, 134))</f>
        <v>#N/A</v>
      </c>
      <c r="D434" t="e">
        <f>IF(INDEX(Danang!$D:$D, 134)="", NA(), INDEX(Danang!$E:$E, 134))</f>
        <v>#N/A</v>
      </c>
      <c r="E434" s="13" t="e">
        <f>IF(INDEX(Danang!$D:$D, 134)="", NA(), INDEX(Danang!$K:$K, 134))</f>
        <v>#N/A</v>
      </c>
      <c r="F434" t="e">
        <f t="shared" si="12"/>
        <v>#N/A</v>
      </c>
      <c r="G434" s="13" t="e">
        <f>IF(INDEX(Danang!$D:$D, 134)="", NA(), INDEX(Danang!$L:$L, 134))</f>
        <v>#N/A</v>
      </c>
      <c r="H434" t="e">
        <f t="shared" si="13"/>
        <v>#N/A</v>
      </c>
    </row>
    <row r="435" spans="1:8" x14ac:dyDescent="0.2">
      <c r="A435" t="e">
        <f>IF(INDEX(Danang!$D:$D, 135)="", NA(), "Danang (Quality Assurance)")</f>
        <v>#N/A</v>
      </c>
      <c r="B435" t="e">
        <f>IF(INDEX(Danang!$D:$D, 135)="", NA(), INDEX(Danang!$B:$B, 135))</f>
        <v>#N/A</v>
      </c>
      <c r="C435" t="e">
        <f>IF(INDEX(Danang!$D:$D, 135)="", NA(), INDEX(Danang!$D:$D, 135))</f>
        <v>#N/A</v>
      </c>
      <c r="D435" t="e">
        <f>IF(INDEX(Danang!$D:$D, 135)="", NA(), INDEX(Danang!$E:$E, 135))</f>
        <v>#N/A</v>
      </c>
      <c r="E435" s="13" t="e">
        <f>IF(INDEX(Danang!$D:$D, 135)="", NA(), INDEX(Danang!$K:$K, 135))</f>
        <v>#N/A</v>
      </c>
      <c r="F435" t="e">
        <f t="shared" si="12"/>
        <v>#N/A</v>
      </c>
      <c r="G435" s="13" t="e">
        <f>IF(INDEX(Danang!$D:$D, 135)="", NA(), INDEX(Danang!$L:$L, 135))</f>
        <v>#N/A</v>
      </c>
      <c r="H435" t="e">
        <f t="shared" si="13"/>
        <v>#N/A</v>
      </c>
    </row>
    <row r="436" spans="1:8" x14ac:dyDescent="0.2">
      <c r="A436" t="e">
        <f>IF(INDEX(Danang!$D:$D, 136)="", NA(), "Danang (Quality Assurance)")</f>
        <v>#N/A</v>
      </c>
      <c r="B436" t="e">
        <f>IF(INDEX(Danang!$D:$D, 136)="", NA(), INDEX(Danang!$B:$B, 136))</f>
        <v>#N/A</v>
      </c>
      <c r="C436" t="e">
        <f>IF(INDEX(Danang!$D:$D, 136)="", NA(), INDEX(Danang!$D:$D, 136))</f>
        <v>#N/A</v>
      </c>
      <c r="D436" t="e">
        <f>IF(INDEX(Danang!$D:$D, 136)="", NA(), INDEX(Danang!$E:$E, 136))</f>
        <v>#N/A</v>
      </c>
      <c r="E436" s="13" t="e">
        <f>IF(INDEX(Danang!$D:$D, 136)="", NA(), INDEX(Danang!$K:$K, 136))</f>
        <v>#N/A</v>
      </c>
      <c r="F436" t="e">
        <f t="shared" si="12"/>
        <v>#N/A</v>
      </c>
      <c r="G436" s="13" t="e">
        <f>IF(INDEX(Danang!$D:$D, 136)="", NA(), INDEX(Danang!$L:$L, 136))</f>
        <v>#N/A</v>
      </c>
      <c r="H436" t="e">
        <f t="shared" si="13"/>
        <v>#N/A</v>
      </c>
    </row>
    <row r="437" spans="1:8" x14ac:dyDescent="0.2">
      <c r="A437" t="e">
        <f>IF(INDEX(Danang!$D:$D, 137)="", NA(), "Danang (Quality Assurance)")</f>
        <v>#N/A</v>
      </c>
      <c r="B437" t="e">
        <f>IF(INDEX(Danang!$D:$D, 137)="", NA(), INDEX(Danang!$B:$B, 137))</f>
        <v>#N/A</v>
      </c>
      <c r="C437" t="e">
        <f>IF(INDEX(Danang!$D:$D, 137)="", NA(), INDEX(Danang!$D:$D, 137))</f>
        <v>#N/A</v>
      </c>
      <c r="D437" t="e">
        <f>IF(INDEX(Danang!$D:$D, 137)="", NA(), INDEX(Danang!$E:$E, 137))</f>
        <v>#N/A</v>
      </c>
      <c r="E437" s="13" t="e">
        <f>IF(INDEX(Danang!$D:$D, 137)="", NA(), INDEX(Danang!$K:$K, 137))</f>
        <v>#N/A</v>
      </c>
      <c r="F437" t="e">
        <f t="shared" si="12"/>
        <v>#N/A</v>
      </c>
      <c r="G437" s="13" t="e">
        <f>IF(INDEX(Danang!$D:$D, 137)="", NA(), INDEX(Danang!$L:$L, 137))</f>
        <v>#N/A</v>
      </c>
      <c r="H437" t="e">
        <f t="shared" si="13"/>
        <v>#N/A</v>
      </c>
    </row>
    <row r="438" spans="1:8" x14ac:dyDescent="0.2">
      <c r="A438" t="e">
        <f>IF(INDEX(Danang!$D:$D, 138)="", NA(), "Danang (Quality Assurance)")</f>
        <v>#N/A</v>
      </c>
      <c r="B438" t="e">
        <f>IF(INDEX(Danang!$D:$D, 138)="", NA(), INDEX(Danang!$B:$B, 138))</f>
        <v>#N/A</v>
      </c>
      <c r="C438" t="e">
        <f>IF(INDEX(Danang!$D:$D, 138)="", NA(), INDEX(Danang!$D:$D, 138))</f>
        <v>#N/A</v>
      </c>
      <c r="D438" t="e">
        <f>IF(INDEX(Danang!$D:$D, 138)="", NA(), INDEX(Danang!$E:$E, 138))</f>
        <v>#N/A</v>
      </c>
      <c r="E438" s="13" t="e">
        <f>IF(INDEX(Danang!$D:$D, 138)="", NA(), INDEX(Danang!$K:$K, 138))</f>
        <v>#N/A</v>
      </c>
      <c r="F438" t="e">
        <f t="shared" si="12"/>
        <v>#N/A</v>
      </c>
      <c r="G438" s="13" t="e">
        <f>IF(INDEX(Danang!$D:$D, 138)="", NA(), INDEX(Danang!$L:$L, 138))</f>
        <v>#N/A</v>
      </c>
      <c r="H438" t="e">
        <f t="shared" si="13"/>
        <v>#N/A</v>
      </c>
    </row>
    <row r="439" spans="1:8" x14ac:dyDescent="0.2">
      <c r="A439" t="e">
        <f>IF(INDEX(Danang!$D:$D, 139)="", NA(), "Danang (Quality Assurance)")</f>
        <v>#N/A</v>
      </c>
      <c r="B439" t="e">
        <f>IF(INDEX(Danang!$D:$D, 139)="", NA(), INDEX(Danang!$B:$B, 139))</f>
        <v>#N/A</v>
      </c>
      <c r="C439" t="e">
        <f>IF(INDEX(Danang!$D:$D, 139)="", NA(), INDEX(Danang!$D:$D, 139))</f>
        <v>#N/A</v>
      </c>
      <c r="D439" t="e">
        <f>IF(INDEX(Danang!$D:$D, 139)="", NA(), INDEX(Danang!$E:$E, 139))</f>
        <v>#N/A</v>
      </c>
      <c r="E439" s="13" t="e">
        <f>IF(INDEX(Danang!$D:$D, 139)="", NA(), INDEX(Danang!$K:$K, 139))</f>
        <v>#N/A</v>
      </c>
      <c r="F439" t="e">
        <f t="shared" si="12"/>
        <v>#N/A</v>
      </c>
      <c r="G439" s="13" t="e">
        <f>IF(INDEX(Danang!$D:$D, 139)="", NA(), INDEX(Danang!$L:$L, 139))</f>
        <v>#N/A</v>
      </c>
      <c r="H439" t="e">
        <f t="shared" si="13"/>
        <v>#N/A</v>
      </c>
    </row>
    <row r="440" spans="1:8" x14ac:dyDescent="0.2">
      <c r="A440" t="e">
        <f>IF(INDEX(Danang!$D:$D, 140)="", NA(), "Danang (Quality Assurance)")</f>
        <v>#N/A</v>
      </c>
      <c r="B440" t="e">
        <f>IF(INDEX(Danang!$D:$D, 140)="", NA(), INDEX(Danang!$B:$B, 140))</f>
        <v>#N/A</v>
      </c>
      <c r="C440" t="e">
        <f>IF(INDEX(Danang!$D:$D, 140)="", NA(), INDEX(Danang!$D:$D, 140))</f>
        <v>#N/A</v>
      </c>
      <c r="D440" t="e">
        <f>IF(INDEX(Danang!$D:$D, 140)="", NA(), INDEX(Danang!$E:$E, 140))</f>
        <v>#N/A</v>
      </c>
      <c r="E440" s="13" t="e">
        <f>IF(INDEX(Danang!$D:$D, 140)="", NA(), INDEX(Danang!$K:$K, 140))</f>
        <v>#N/A</v>
      </c>
      <c r="F440" t="e">
        <f t="shared" si="12"/>
        <v>#N/A</v>
      </c>
      <c r="G440" s="13" t="e">
        <f>IF(INDEX(Danang!$D:$D, 140)="", NA(), INDEX(Danang!$L:$L, 140))</f>
        <v>#N/A</v>
      </c>
      <c r="H440" t="e">
        <f t="shared" si="13"/>
        <v>#N/A</v>
      </c>
    </row>
    <row r="441" spans="1:8" x14ac:dyDescent="0.2">
      <c r="A441" t="e">
        <f>IF(INDEX(Danang!$D:$D, 141)="", NA(), "Danang (Quality Assurance)")</f>
        <v>#N/A</v>
      </c>
      <c r="B441" t="e">
        <f>IF(INDEX(Danang!$D:$D, 141)="", NA(), INDEX(Danang!$B:$B, 141))</f>
        <v>#N/A</v>
      </c>
      <c r="C441" t="e">
        <f>IF(INDEX(Danang!$D:$D, 141)="", NA(), INDEX(Danang!$D:$D, 141))</f>
        <v>#N/A</v>
      </c>
      <c r="D441" t="e">
        <f>IF(INDEX(Danang!$D:$D, 141)="", NA(), INDEX(Danang!$E:$E, 141))</f>
        <v>#N/A</v>
      </c>
      <c r="E441" s="13" t="e">
        <f>IF(INDEX(Danang!$D:$D, 141)="", NA(), INDEX(Danang!$K:$K, 141))</f>
        <v>#N/A</v>
      </c>
      <c r="F441" t="e">
        <f t="shared" si="12"/>
        <v>#N/A</v>
      </c>
      <c r="G441" s="13" t="e">
        <f>IF(INDEX(Danang!$D:$D, 141)="", NA(), INDEX(Danang!$L:$L, 141))</f>
        <v>#N/A</v>
      </c>
      <c r="H441" t="e">
        <f t="shared" si="13"/>
        <v>#N/A</v>
      </c>
    </row>
    <row r="442" spans="1:8" x14ac:dyDescent="0.2">
      <c r="A442" t="e">
        <f>IF(INDEX(Danang!$D:$D, 142)="", NA(), "Danang (Quality Assurance)")</f>
        <v>#N/A</v>
      </c>
      <c r="B442" t="e">
        <f>IF(INDEX(Danang!$D:$D, 142)="", NA(), INDEX(Danang!$B:$B, 142))</f>
        <v>#N/A</v>
      </c>
      <c r="C442" t="e">
        <f>IF(INDEX(Danang!$D:$D, 142)="", NA(), INDEX(Danang!$D:$D, 142))</f>
        <v>#N/A</v>
      </c>
      <c r="D442" t="e">
        <f>IF(INDEX(Danang!$D:$D, 142)="", NA(), INDEX(Danang!$E:$E, 142))</f>
        <v>#N/A</v>
      </c>
      <c r="E442" s="13" t="e">
        <f>IF(INDEX(Danang!$D:$D, 142)="", NA(), INDEX(Danang!$K:$K, 142))</f>
        <v>#N/A</v>
      </c>
      <c r="F442" t="e">
        <f t="shared" si="12"/>
        <v>#N/A</v>
      </c>
      <c r="G442" s="13" t="e">
        <f>IF(INDEX(Danang!$D:$D, 142)="", NA(), INDEX(Danang!$L:$L, 142))</f>
        <v>#N/A</v>
      </c>
      <c r="H442" t="e">
        <f t="shared" si="13"/>
        <v>#N/A</v>
      </c>
    </row>
    <row r="443" spans="1:8" x14ac:dyDescent="0.2">
      <c r="A443" t="e">
        <f>IF(INDEX(Danang!$D:$D, 143)="", NA(), "Danang (Quality Assurance)")</f>
        <v>#N/A</v>
      </c>
      <c r="B443" t="e">
        <f>IF(INDEX(Danang!$D:$D, 143)="", NA(), INDEX(Danang!$B:$B, 143))</f>
        <v>#N/A</v>
      </c>
      <c r="C443" t="e">
        <f>IF(INDEX(Danang!$D:$D, 143)="", NA(), INDEX(Danang!$D:$D, 143))</f>
        <v>#N/A</v>
      </c>
      <c r="D443" t="e">
        <f>IF(INDEX(Danang!$D:$D, 143)="", NA(), INDEX(Danang!$E:$E, 143))</f>
        <v>#N/A</v>
      </c>
      <c r="E443" s="13" t="e">
        <f>IF(INDEX(Danang!$D:$D, 143)="", NA(), INDEX(Danang!$K:$K, 143))</f>
        <v>#N/A</v>
      </c>
      <c r="F443" t="e">
        <f t="shared" si="12"/>
        <v>#N/A</v>
      </c>
      <c r="G443" s="13" t="e">
        <f>IF(INDEX(Danang!$D:$D, 143)="", NA(), INDEX(Danang!$L:$L, 143))</f>
        <v>#N/A</v>
      </c>
      <c r="H443" t="e">
        <f t="shared" si="13"/>
        <v>#N/A</v>
      </c>
    </row>
    <row r="444" spans="1:8" x14ac:dyDescent="0.2">
      <c r="A444" t="e">
        <f>IF(INDEX(Danang!$D:$D, 144)="", NA(), "Danang (Quality Assurance)")</f>
        <v>#N/A</v>
      </c>
      <c r="B444" t="e">
        <f>IF(INDEX(Danang!$D:$D, 144)="", NA(), INDEX(Danang!$B:$B, 144))</f>
        <v>#N/A</v>
      </c>
      <c r="C444" t="e">
        <f>IF(INDEX(Danang!$D:$D, 144)="", NA(), INDEX(Danang!$D:$D, 144))</f>
        <v>#N/A</v>
      </c>
      <c r="D444" t="e">
        <f>IF(INDEX(Danang!$D:$D, 144)="", NA(), INDEX(Danang!$E:$E, 144))</f>
        <v>#N/A</v>
      </c>
      <c r="E444" s="13" t="e">
        <f>IF(INDEX(Danang!$D:$D, 144)="", NA(), INDEX(Danang!$K:$K, 144))</f>
        <v>#N/A</v>
      </c>
      <c r="F444" t="e">
        <f t="shared" si="12"/>
        <v>#N/A</v>
      </c>
      <c r="G444" s="13" t="e">
        <f>IF(INDEX(Danang!$D:$D, 144)="", NA(), INDEX(Danang!$L:$L, 144))</f>
        <v>#N/A</v>
      </c>
      <c r="H444" t="e">
        <f t="shared" si="13"/>
        <v>#N/A</v>
      </c>
    </row>
    <row r="445" spans="1:8" x14ac:dyDescent="0.2">
      <c r="A445" t="e">
        <f>IF(INDEX(Danang!$D:$D, 145)="", NA(), "Danang (Quality Assurance)")</f>
        <v>#N/A</v>
      </c>
      <c r="B445" t="e">
        <f>IF(INDEX(Danang!$D:$D, 145)="", NA(), INDEX(Danang!$B:$B, 145))</f>
        <v>#N/A</v>
      </c>
      <c r="C445" t="e">
        <f>IF(INDEX(Danang!$D:$D, 145)="", NA(), INDEX(Danang!$D:$D, 145))</f>
        <v>#N/A</v>
      </c>
      <c r="D445" t="e">
        <f>IF(INDEX(Danang!$D:$D, 145)="", NA(), INDEX(Danang!$E:$E, 145))</f>
        <v>#N/A</v>
      </c>
      <c r="E445" s="13" t="e">
        <f>IF(INDEX(Danang!$D:$D, 145)="", NA(), INDEX(Danang!$K:$K, 145))</f>
        <v>#N/A</v>
      </c>
      <c r="F445" t="e">
        <f t="shared" si="12"/>
        <v>#N/A</v>
      </c>
      <c r="G445" s="13" t="e">
        <f>IF(INDEX(Danang!$D:$D, 145)="", NA(), INDEX(Danang!$L:$L, 145))</f>
        <v>#N/A</v>
      </c>
      <c r="H445" t="e">
        <f t="shared" si="13"/>
        <v>#N/A</v>
      </c>
    </row>
    <row r="446" spans="1:8" x14ac:dyDescent="0.2">
      <c r="A446" t="e">
        <f>IF(INDEX(Danang!$D:$D, 146)="", NA(), "Danang (Quality Assurance)")</f>
        <v>#N/A</v>
      </c>
      <c r="B446" t="e">
        <f>IF(INDEX(Danang!$D:$D, 146)="", NA(), INDEX(Danang!$B:$B, 146))</f>
        <v>#N/A</v>
      </c>
      <c r="C446" t="e">
        <f>IF(INDEX(Danang!$D:$D, 146)="", NA(), INDEX(Danang!$D:$D, 146))</f>
        <v>#N/A</v>
      </c>
      <c r="D446" t="e">
        <f>IF(INDEX(Danang!$D:$D, 146)="", NA(), INDEX(Danang!$E:$E, 146))</f>
        <v>#N/A</v>
      </c>
      <c r="E446" s="13" t="e">
        <f>IF(INDEX(Danang!$D:$D, 146)="", NA(), INDEX(Danang!$K:$K, 146))</f>
        <v>#N/A</v>
      </c>
      <c r="F446" t="e">
        <f t="shared" si="12"/>
        <v>#N/A</v>
      </c>
      <c r="G446" s="13" t="e">
        <f>IF(INDEX(Danang!$D:$D, 146)="", NA(), INDEX(Danang!$L:$L, 146))</f>
        <v>#N/A</v>
      </c>
      <c r="H446" t="e">
        <f t="shared" si="13"/>
        <v>#N/A</v>
      </c>
    </row>
    <row r="447" spans="1:8" x14ac:dyDescent="0.2">
      <c r="A447" t="e">
        <f>IF(INDEX(Danang!$D:$D, 147)="", NA(), "Danang (Quality Assurance)")</f>
        <v>#N/A</v>
      </c>
      <c r="B447" t="e">
        <f>IF(INDEX(Danang!$D:$D, 147)="", NA(), INDEX(Danang!$B:$B, 147))</f>
        <v>#N/A</v>
      </c>
      <c r="C447" t="e">
        <f>IF(INDEX(Danang!$D:$D, 147)="", NA(), INDEX(Danang!$D:$D, 147))</f>
        <v>#N/A</v>
      </c>
      <c r="D447" t="e">
        <f>IF(INDEX(Danang!$D:$D, 147)="", NA(), INDEX(Danang!$E:$E, 147))</f>
        <v>#N/A</v>
      </c>
      <c r="E447" s="13" t="e">
        <f>IF(INDEX(Danang!$D:$D, 147)="", NA(), INDEX(Danang!$K:$K, 147))</f>
        <v>#N/A</v>
      </c>
      <c r="F447" t="e">
        <f t="shared" si="12"/>
        <v>#N/A</v>
      </c>
      <c r="G447" s="13" t="e">
        <f>IF(INDEX(Danang!$D:$D, 147)="", NA(), INDEX(Danang!$L:$L, 147))</f>
        <v>#N/A</v>
      </c>
      <c r="H447" t="e">
        <f t="shared" si="13"/>
        <v>#N/A</v>
      </c>
    </row>
    <row r="448" spans="1:8" x14ac:dyDescent="0.2">
      <c r="A448" t="e">
        <f>IF(INDEX(Danang!$D:$D, 148)="", NA(), "Danang (Quality Assurance)")</f>
        <v>#N/A</v>
      </c>
      <c r="B448" t="e">
        <f>IF(INDEX(Danang!$D:$D, 148)="", NA(), INDEX(Danang!$B:$B, 148))</f>
        <v>#N/A</v>
      </c>
      <c r="C448" t="e">
        <f>IF(INDEX(Danang!$D:$D, 148)="", NA(), INDEX(Danang!$D:$D, 148))</f>
        <v>#N/A</v>
      </c>
      <c r="D448" t="e">
        <f>IF(INDEX(Danang!$D:$D, 148)="", NA(), INDEX(Danang!$E:$E, 148))</f>
        <v>#N/A</v>
      </c>
      <c r="E448" s="13" t="e">
        <f>IF(INDEX(Danang!$D:$D, 148)="", NA(), INDEX(Danang!$K:$K, 148))</f>
        <v>#N/A</v>
      </c>
      <c r="F448" t="e">
        <f t="shared" si="12"/>
        <v>#N/A</v>
      </c>
      <c r="G448" s="13" t="e">
        <f>IF(INDEX(Danang!$D:$D, 148)="", NA(), INDEX(Danang!$L:$L, 148))</f>
        <v>#N/A</v>
      </c>
      <c r="H448" t="e">
        <f t="shared" si="13"/>
        <v>#N/A</v>
      </c>
    </row>
    <row r="449" spans="1:8" x14ac:dyDescent="0.2">
      <c r="A449" t="e">
        <f>IF(INDEX(Danang!$D:$D, 149)="", NA(), "Danang (Quality Assurance)")</f>
        <v>#N/A</v>
      </c>
      <c r="B449" t="e">
        <f>IF(INDEX(Danang!$D:$D, 149)="", NA(), INDEX(Danang!$B:$B, 149))</f>
        <v>#N/A</v>
      </c>
      <c r="C449" t="e">
        <f>IF(INDEX(Danang!$D:$D, 149)="", NA(), INDEX(Danang!$D:$D, 149))</f>
        <v>#N/A</v>
      </c>
      <c r="D449" t="e">
        <f>IF(INDEX(Danang!$D:$D, 149)="", NA(), INDEX(Danang!$E:$E, 149))</f>
        <v>#N/A</v>
      </c>
      <c r="E449" s="13" t="e">
        <f>IF(INDEX(Danang!$D:$D, 149)="", NA(), INDEX(Danang!$K:$K, 149))</f>
        <v>#N/A</v>
      </c>
      <c r="F449" t="e">
        <f t="shared" si="12"/>
        <v>#N/A</v>
      </c>
      <c r="G449" s="13" t="e">
        <f>IF(INDEX(Danang!$D:$D, 149)="", NA(), INDEX(Danang!$L:$L, 149))</f>
        <v>#N/A</v>
      </c>
      <c r="H449" t="e">
        <f t="shared" si="13"/>
        <v>#N/A</v>
      </c>
    </row>
    <row r="450" spans="1:8" x14ac:dyDescent="0.2">
      <c r="A450" t="e">
        <f>IF(INDEX(Danang!$D:$D, 150)="", NA(), "Danang (Quality Assurance)")</f>
        <v>#N/A</v>
      </c>
      <c r="B450" t="e">
        <f>IF(INDEX(Danang!$D:$D, 150)="", NA(), INDEX(Danang!$B:$B, 150))</f>
        <v>#N/A</v>
      </c>
      <c r="C450" t="e">
        <f>IF(INDEX(Danang!$D:$D, 150)="", NA(), INDEX(Danang!$D:$D, 150))</f>
        <v>#N/A</v>
      </c>
      <c r="D450" t="e">
        <f>IF(INDEX(Danang!$D:$D, 150)="", NA(), INDEX(Danang!$E:$E, 150))</f>
        <v>#N/A</v>
      </c>
      <c r="E450" s="13" t="e">
        <f>IF(INDEX(Danang!$D:$D, 150)="", NA(), INDEX(Danang!$K:$K, 150))</f>
        <v>#N/A</v>
      </c>
      <c r="F450" t="e">
        <f t="shared" ref="F450:F513" si="14">IF(OR(E450="", ISNA(E450), ISNA(G450)), 0, MAX(1, G450-E450))</f>
        <v>#N/A</v>
      </c>
      <c r="G450" s="13" t="e">
        <f>IF(INDEX(Danang!$D:$D, 150)="", NA(), INDEX(Danang!$L:$L, 150))</f>
        <v>#N/A</v>
      </c>
      <c r="H450" t="e">
        <f t="shared" ref="H450:H513" si="15">IF(ISNA(C450), NA(), A450 &amp; " - " &amp; B450 &amp; " - " &amp; C450)</f>
        <v>#N/A</v>
      </c>
    </row>
    <row r="451" spans="1:8" x14ac:dyDescent="0.2">
      <c r="A451" t="e">
        <f>IF(INDEX(Danang!$D:$D, 151)="", NA(), "Danang (Quality Assurance)")</f>
        <v>#N/A</v>
      </c>
      <c r="B451" t="e">
        <f>IF(INDEX(Danang!$D:$D, 151)="", NA(), INDEX(Danang!$B:$B, 151))</f>
        <v>#N/A</v>
      </c>
      <c r="C451" t="e">
        <f>IF(INDEX(Danang!$D:$D, 151)="", NA(), INDEX(Danang!$D:$D, 151))</f>
        <v>#N/A</v>
      </c>
      <c r="D451" t="e">
        <f>IF(INDEX(Danang!$D:$D, 151)="", NA(), INDEX(Danang!$E:$E, 151))</f>
        <v>#N/A</v>
      </c>
      <c r="E451" s="13" t="e">
        <f>IF(INDEX(Danang!$D:$D, 151)="", NA(), INDEX(Danang!$K:$K, 151))</f>
        <v>#N/A</v>
      </c>
      <c r="F451" t="e">
        <f t="shared" si="14"/>
        <v>#N/A</v>
      </c>
      <c r="G451" s="13" t="e">
        <f>IF(INDEX(Danang!$D:$D, 151)="", NA(), INDEX(Danang!$L:$L, 151))</f>
        <v>#N/A</v>
      </c>
      <c r="H451" t="e">
        <f t="shared" si="15"/>
        <v>#N/A</v>
      </c>
    </row>
    <row r="452" spans="1:8" x14ac:dyDescent="0.2">
      <c r="A452" t="str">
        <f>IF(INDEX(Atha!$D:$D, 2)="", NA(), "Athallah (Technical Writer)")</f>
        <v>Athallah (Technical Writer)</v>
      </c>
      <c r="B452" t="str">
        <f>IF(INDEX(Atha!$D:$D, 2)="", NA(), INDEX(Atha!$B:$B, 2))</f>
        <v>Integrasi TCES TICS</v>
      </c>
      <c r="C452" t="str">
        <f>IF(INDEX(Atha!$D:$D, 2)="", NA(), INDEX(Atha!$D:$D, 2))</f>
        <v>Membuat Dokumen Hasil Technical Meeting, Mendalami Dokumen TCES Integration Guide</v>
      </c>
      <c r="D452" t="str">
        <f>IF(INDEX(Atha!$D:$D, 2)="", NA(), INDEX(Atha!$E:$E, 2))</f>
        <v>DONE</v>
      </c>
      <c r="E452" s="13">
        <f>IF(INDEX(Atha!$D:$D, 2)="", NA(), INDEX(Atha!$K:$K, 2))</f>
        <v>46239</v>
      </c>
      <c r="F452">
        <f t="shared" si="14"/>
        <v>1</v>
      </c>
      <c r="G452" s="13">
        <f>IF(INDEX(Atha!$D:$D, 2)="", NA(), INDEX(Atha!$L:$L, 2))</f>
        <v>46239</v>
      </c>
      <c r="H452" t="str">
        <f t="shared" si="15"/>
        <v>Athallah (Technical Writer) - Integrasi TCES TICS - Membuat Dokumen Hasil Technical Meeting, Mendalami Dokumen TCES Integration Guide</v>
      </c>
    </row>
    <row r="453" spans="1:8" x14ac:dyDescent="0.2">
      <c r="A453" t="str">
        <f>IF(INDEX(Atha!$D:$D, 3)="", NA(), "Athallah (Technical Writer)")</f>
        <v>Athallah (Technical Writer)</v>
      </c>
      <c r="B453" t="str">
        <f>IF(INDEX(Atha!$D:$D, 3)="", NA(), INDEX(Atha!$B:$B, 3))</f>
        <v>Integrasi TCES TICS</v>
      </c>
      <c r="C453" t="str">
        <f>IF(INDEX(Atha!$D:$D, 3)="", NA(), INDEX(Atha!$D:$D, 3))</f>
        <v>Membuat Dokumen Project Management Untuk Tim</v>
      </c>
      <c r="D453" t="str">
        <f>IF(INDEX(Atha!$D:$D, 3)="", NA(), INDEX(Atha!$E:$E, 3))</f>
        <v>DONE</v>
      </c>
      <c r="E453" s="13">
        <f>IF(INDEX(Atha!$D:$D, 3)="", NA(), INDEX(Atha!$K:$K, 3))</f>
        <v>46240</v>
      </c>
      <c r="F453">
        <f t="shared" si="14"/>
        <v>1</v>
      </c>
      <c r="G453" s="13">
        <f>IF(INDEX(Atha!$D:$D, 3)="", NA(), INDEX(Atha!$L:$L, 3))</f>
        <v>46240</v>
      </c>
      <c r="H453" t="str">
        <f t="shared" si="15"/>
        <v>Athallah (Technical Writer) - Integrasi TCES TICS - Membuat Dokumen Project Management Untuk Tim</v>
      </c>
    </row>
    <row r="454" spans="1:8" x14ac:dyDescent="0.2">
      <c r="A454" t="str">
        <f>IF(INDEX(Atha!$D:$D, 4)="", NA(), "Athallah (Technical Writer)")</f>
        <v>Athallah (Technical Writer)</v>
      </c>
      <c r="B454" t="str">
        <f>IF(INDEX(Atha!$D:$D, 4)="", NA(), INDEX(Atha!$B:$B, 4))</f>
        <v>Integrasi TCES TICS</v>
      </c>
      <c r="C454" t="str">
        <f>IF(INDEX(Atha!$D:$D, 4)="", NA(), INDEX(Atha!$D:$D, 4))</f>
        <v>Menambahkan Data Pada Dokumen Project Management Tim, Mempersiapkan Technical Document</v>
      </c>
      <c r="D454" t="str">
        <f>IF(INDEX(Atha!$D:$D, 4)="", NA(), INDEX(Atha!$E:$E, 4))</f>
        <v>DONE</v>
      </c>
      <c r="E454" s="13">
        <f>IF(INDEX(Atha!$D:$D, 4)="", NA(), INDEX(Atha!$K:$K, 4))</f>
        <v>46241</v>
      </c>
      <c r="F454">
        <f t="shared" si="14"/>
        <v>6</v>
      </c>
      <c r="G454" s="13">
        <f>IF(INDEX(Atha!$D:$D, 4)="", NA(), INDEX(Atha!$L:$L, 4))</f>
        <v>46247</v>
      </c>
      <c r="H454" t="str">
        <f t="shared" si="15"/>
        <v>Athallah (Technical Writer) - Integrasi TCES TICS - Menambahkan Data Pada Dokumen Project Management Tim, Mempersiapkan Technical Document</v>
      </c>
    </row>
    <row r="455" spans="1:8" x14ac:dyDescent="0.2">
      <c r="A455" t="str">
        <f>IF(INDEX(Atha!$D:$D, 5)="", NA(), "Athallah (Technical Writer)")</f>
        <v>Athallah (Technical Writer)</v>
      </c>
      <c r="B455" t="str">
        <f>IF(INDEX(Atha!$D:$D, 5)="", NA(), INDEX(Atha!$B:$B, 5))</f>
        <v>Integrasi TCES TICS</v>
      </c>
      <c r="C455" t="str">
        <f>IF(INDEX(Atha!$D:$D, 5)="", NA(), INDEX(Atha!$D:$D, 5))</f>
        <v>Meeting Terkait Penjelasan Teknis Proses Dokumentasi Integrasi TCES TICS</v>
      </c>
      <c r="D455" t="str">
        <f>IF(INDEX(Atha!$D:$D, 5)="", NA(), INDEX(Atha!$E:$E, 5))</f>
        <v>DONE</v>
      </c>
      <c r="E455" s="13">
        <f>IF(INDEX(Atha!$D:$D, 5)="", NA(), INDEX(Atha!$K:$K, 5))</f>
        <v>46244</v>
      </c>
      <c r="F455">
        <f t="shared" si="14"/>
        <v>1</v>
      </c>
      <c r="G455" s="13">
        <f>IF(INDEX(Atha!$D:$D, 5)="", NA(), INDEX(Atha!$L:$L, 5))</f>
        <v>46244</v>
      </c>
      <c r="H455" t="str">
        <f t="shared" si="15"/>
        <v>Athallah (Technical Writer) - Integrasi TCES TICS - Meeting Terkait Penjelasan Teknis Proses Dokumentasi Integrasi TCES TICS</v>
      </c>
    </row>
    <row r="456" spans="1:8" x14ac:dyDescent="0.2">
      <c r="A456" t="str">
        <f>IF(INDEX(Atha!$D:$D, 6)="", NA(), "Athallah (Technical Writer)")</f>
        <v>Athallah (Technical Writer)</v>
      </c>
      <c r="B456" t="str">
        <f>IF(INDEX(Atha!$D:$D, 6)="", NA(), INDEX(Atha!$B:$B, 6))</f>
        <v>Integrasi TCES TICS</v>
      </c>
      <c r="C456" t="str">
        <f>IF(INDEX(Atha!$D:$D, 6)="", NA(), INDEX(Atha!$D:$D, 6))</f>
        <v>Membuat Template Functional Specification Document (FSD)</v>
      </c>
      <c r="D456" t="str">
        <f>IF(INDEX(Atha!$D:$D, 6)="", NA(), INDEX(Atha!$E:$E, 6))</f>
        <v>DONE</v>
      </c>
      <c r="E456" s="13">
        <f>IF(INDEX(Atha!$D:$D, 6)="", NA(), INDEX(Atha!$K:$K, 6))</f>
        <v>46244</v>
      </c>
      <c r="F456">
        <f t="shared" si="14"/>
        <v>4</v>
      </c>
      <c r="G456" s="13">
        <f>IF(INDEX(Atha!$D:$D, 6)="", NA(), INDEX(Atha!$L:$L, 6))</f>
        <v>46248</v>
      </c>
      <c r="H456" t="str">
        <f t="shared" si="15"/>
        <v>Athallah (Technical Writer) - Integrasi TCES TICS - Membuat Template Functional Specification Document (FSD)</v>
      </c>
    </row>
    <row r="457" spans="1:8" x14ac:dyDescent="0.2">
      <c r="A457" t="str">
        <f>IF(INDEX(Atha!$D:$D, 7)="", NA(), "Athallah (Technical Writer)")</f>
        <v>Athallah (Technical Writer)</v>
      </c>
      <c r="B457" t="str">
        <f>IF(INDEX(Atha!$D:$D, 7)="", NA(), INDEX(Atha!$B:$B, 7))</f>
        <v>Integrasi TCES TICS</v>
      </c>
      <c r="C457" t="str">
        <f>IF(INDEX(Atha!$D:$D, 7)="", NA(), INDEX(Atha!$D:$D, 7))</f>
        <v>Membuat Template Technical Specification Document (TSD)</v>
      </c>
      <c r="D457" t="str">
        <f>IF(INDEX(Atha!$D:$D, 7)="", NA(), INDEX(Atha!$E:$E, 7))</f>
        <v>DONE</v>
      </c>
      <c r="E457" s="13">
        <f>IF(INDEX(Atha!$D:$D, 7)="", NA(), INDEX(Atha!$K:$K, 7))</f>
        <v>46244</v>
      </c>
      <c r="F457">
        <f t="shared" si="14"/>
        <v>4</v>
      </c>
      <c r="G457" s="13">
        <f>IF(INDEX(Atha!$D:$D, 7)="", NA(), INDEX(Atha!$L:$L, 7))</f>
        <v>46248</v>
      </c>
      <c r="H457" t="str">
        <f t="shared" si="15"/>
        <v>Athallah (Technical Writer) - Integrasi TCES TICS - Membuat Template Technical Specification Document (TSD)</v>
      </c>
    </row>
    <row r="458" spans="1:8" x14ac:dyDescent="0.2">
      <c r="A458" t="str">
        <f>IF(INDEX(Atha!$D:$D, 8)="", NA(), "Athallah (Technical Writer)")</f>
        <v>Athallah (Technical Writer)</v>
      </c>
      <c r="B458" t="str">
        <f>IF(INDEX(Atha!$D:$D, 8)="", NA(), INDEX(Atha!$B:$B, 8))</f>
        <v>Integrasi TCES TICS</v>
      </c>
      <c r="C458" t="str">
        <f>IF(INDEX(Atha!$D:$D, 8)="", NA(), INDEX(Atha!$D:$D, 8))</f>
        <v>Sharing Knowledge Penggunaan dan Alur Proses Aplikasi TCES - Pembelian Phase</v>
      </c>
      <c r="D458" t="str">
        <f>IF(INDEX(Atha!$D:$D, 8)="", NA(), INDEX(Atha!$E:$E, 8))</f>
        <v>DONE</v>
      </c>
      <c r="E458" s="13">
        <f>IF(INDEX(Atha!$D:$D, 8)="", NA(), INDEX(Atha!$K:$K, 8))</f>
        <v>46245</v>
      </c>
      <c r="F458">
        <f t="shared" si="14"/>
        <v>1</v>
      </c>
      <c r="G458" s="13">
        <f>IF(INDEX(Atha!$D:$D, 8)="", NA(), INDEX(Atha!$L:$L, 8))</f>
        <v>46245</v>
      </c>
      <c r="H458" t="str">
        <f t="shared" si="15"/>
        <v>Athallah (Technical Writer) - Integrasi TCES TICS - Sharing Knowledge Penggunaan dan Alur Proses Aplikasi TCES - Pembelian Phase</v>
      </c>
    </row>
    <row r="459" spans="1:8" x14ac:dyDescent="0.2">
      <c r="A459" t="str">
        <f>IF(INDEX(Atha!$D:$D, 9)="", NA(), "Athallah (Technical Writer)")</f>
        <v>Athallah (Technical Writer)</v>
      </c>
      <c r="B459" t="str">
        <f>IF(INDEX(Atha!$D:$D, 9)="", NA(), INDEX(Atha!$B:$B, 9))</f>
        <v>Integrasi TCES TICS</v>
      </c>
      <c r="C459" t="str">
        <f>IF(INDEX(Atha!$D:$D, 9)="", NA(), INDEX(Atha!$D:$D, 9))</f>
        <v>Membuat Dokumen FSD - Menambahkan Penulisan Terkait Document Overview</v>
      </c>
      <c r="D459" t="str">
        <f>IF(INDEX(Atha!$D:$D, 9)="", NA(), INDEX(Atha!$E:$E, 9))</f>
        <v>DONE</v>
      </c>
      <c r="E459" s="13">
        <f>IF(INDEX(Atha!$D:$D, 9)="", NA(), INDEX(Atha!$K:$K, 9))</f>
        <v>46248</v>
      </c>
      <c r="F459">
        <f t="shared" si="14"/>
        <v>4</v>
      </c>
      <c r="G459" s="13">
        <f>IF(INDEX(Atha!$D:$D, 9)="", NA(), INDEX(Atha!$L:$L, 9))</f>
        <v>46252</v>
      </c>
      <c r="H459" t="str">
        <f t="shared" si="15"/>
        <v>Athallah (Technical Writer) - Integrasi TCES TICS - Membuat Dokumen FSD - Menambahkan Penulisan Terkait Document Overview</v>
      </c>
    </row>
    <row r="460" spans="1:8" x14ac:dyDescent="0.2">
      <c r="A460" t="str">
        <f>IF(INDEX(Atha!$D:$D, 10)="", NA(), "Athallah (Technical Writer)")</f>
        <v>Athallah (Technical Writer)</v>
      </c>
      <c r="B460" t="str">
        <f>IF(INDEX(Atha!$D:$D, 10)="", NA(), INDEX(Atha!$B:$B, 10))</f>
        <v>Integrasi TCES TICS</v>
      </c>
      <c r="C460" t="str">
        <f>IF(INDEX(Atha!$D:$D, 10)="", NA(), INDEX(Atha!$D:$D, 10))</f>
        <v>Membuat Dokumen TSD - Menambahkan Penulisan Terkait Document Overview</v>
      </c>
      <c r="D460" t="str">
        <f>IF(INDEX(Atha!$D:$D, 10)="", NA(), INDEX(Atha!$E:$E, 10))</f>
        <v>DONE</v>
      </c>
      <c r="E460" s="13">
        <f>IF(INDEX(Atha!$D:$D, 10)="", NA(), INDEX(Atha!$K:$K, 10))</f>
        <v>46248</v>
      </c>
      <c r="F460">
        <f t="shared" si="14"/>
        <v>4</v>
      </c>
      <c r="G460" s="13">
        <f>IF(INDEX(Atha!$D:$D, 10)="", NA(), INDEX(Atha!$L:$L, 10))</f>
        <v>46252</v>
      </c>
      <c r="H460" t="str">
        <f t="shared" si="15"/>
        <v>Athallah (Technical Writer) - Integrasi TCES TICS - Membuat Dokumen TSD - Menambahkan Penulisan Terkait Document Overview</v>
      </c>
    </row>
    <row r="461" spans="1:8" x14ac:dyDescent="0.2">
      <c r="A461" t="str">
        <f>IF(INDEX(Atha!$D:$D, 11)="", NA(), "Athallah (Technical Writer)")</f>
        <v>Athallah (Technical Writer)</v>
      </c>
      <c r="B461" t="str">
        <f>IF(INDEX(Atha!$D:$D, 11)="", NA(), INDEX(Atha!$B:$B, 11))</f>
        <v>Integrasi TCES TICS</v>
      </c>
      <c r="C461" t="str">
        <f>IF(INDEX(Atha!$D:$D, 11)="", NA(), INDEX(Atha!$D:$D, 11))</f>
        <v>Membuat Dokumen TSD - Spesifikasi Basis Data - Melakuakan Pendefinisian Skema Tabel Pencatatan Log Integrasi</v>
      </c>
      <c r="D461" t="str">
        <f>IF(INDEX(Atha!$D:$D, 11)="", NA(), INDEX(Atha!$E:$E, 11))</f>
        <v>DONE</v>
      </c>
      <c r="E461" s="13">
        <f>IF(INDEX(Atha!$D:$D, 11)="", NA(), INDEX(Atha!$K:$K, 11))</f>
        <v>46252</v>
      </c>
      <c r="F461">
        <f t="shared" si="14"/>
        <v>1</v>
      </c>
      <c r="G461" s="13">
        <f>IF(INDEX(Atha!$D:$D, 11)="", NA(), INDEX(Atha!$L:$L, 11))</f>
        <v>46252</v>
      </c>
      <c r="H461" t="str">
        <f t="shared" si="15"/>
        <v>Athallah (Technical Writer) - Integrasi TCES TICS - Membuat Dokumen TSD - Spesifikasi Basis Data - Melakuakan Pendefinisian Skema Tabel Pencatatan Log Integrasi</v>
      </c>
    </row>
    <row r="462" spans="1:8" x14ac:dyDescent="0.2">
      <c r="A462" t="str">
        <f>IF(INDEX(Atha!$D:$D, 12)="", NA(), "Athallah (Technical Writer)")</f>
        <v>Athallah (Technical Writer)</v>
      </c>
      <c r="B462" t="str">
        <f>IF(INDEX(Atha!$D:$D, 12)="", NA(), INDEX(Atha!$B:$B, 12))</f>
        <v>Integrasi TCES TICS</v>
      </c>
      <c r="C462" t="str">
        <f>IF(INDEX(Atha!$D:$D, 12)="", NA(), INDEX(Atha!$D:$D, 12))</f>
        <v>Membuat Dokumen TSD - Menambahkan penjelasan rinci dari arsitektur diagram</v>
      </c>
      <c r="D462" t="str">
        <f>IF(INDEX(Atha!$D:$D, 12)="", NA(), INDEX(Atha!$E:$E, 12))</f>
        <v>DONE</v>
      </c>
      <c r="E462" s="13">
        <f>IF(INDEX(Atha!$D:$D, 12)="", NA(), INDEX(Atha!$K:$K, 12))</f>
        <v>46252</v>
      </c>
      <c r="F462">
        <f t="shared" si="14"/>
        <v>2</v>
      </c>
      <c r="G462" s="13">
        <f>IF(INDEX(Atha!$D:$D, 12)="", NA(), INDEX(Atha!$L:$L, 12))</f>
        <v>46254</v>
      </c>
      <c r="H462" t="str">
        <f t="shared" si="15"/>
        <v>Athallah (Technical Writer) - Integrasi TCES TICS - Membuat Dokumen TSD - Menambahkan penjelasan rinci dari arsitektur diagram</v>
      </c>
    </row>
    <row r="463" spans="1:8" x14ac:dyDescent="0.2">
      <c r="A463" t="str">
        <f>IF(INDEX(Atha!$D:$D, 13)="", NA(), "Athallah (Technical Writer)")</f>
        <v>Athallah (Technical Writer)</v>
      </c>
      <c r="B463" t="str">
        <f>IF(INDEX(Atha!$D:$D, 13)="", NA(), INDEX(Atha!$B:$B, 13))</f>
        <v>Integrasi TCES TICS</v>
      </c>
      <c r="C463" t="str">
        <f>IF(INDEX(Atha!$D:$D, 13)="", NA(), INDEX(Atha!$D:$D, 13))</f>
        <v>Membuat Dokumen TSD - Menambahkan detail penulisan terkait mekanisme enkripsi digital signature</v>
      </c>
      <c r="D463" t="str">
        <f>IF(INDEX(Atha!$D:$D, 13)="", NA(), INDEX(Atha!$E:$E, 13))</f>
        <v>DONE</v>
      </c>
      <c r="E463" s="13">
        <f>IF(INDEX(Atha!$D:$D, 13)="", NA(), INDEX(Atha!$K:$K, 13))</f>
        <v>46253</v>
      </c>
      <c r="F463">
        <f t="shared" si="14"/>
        <v>1</v>
      </c>
      <c r="G463" s="13">
        <f>IF(INDEX(Atha!$D:$D, 13)="", NA(), INDEX(Atha!$L:$L, 13))</f>
        <v>46253</v>
      </c>
      <c r="H463" t="str">
        <f t="shared" si="15"/>
        <v>Athallah (Technical Writer) - Integrasi TCES TICS - Membuat Dokumen TSD - Menambahkan detail penulisan terkait mekanisme enkripsi digital signature</v>
      </c>
    </row>
    <row r="464" spans="1:8" x14ac:dyDescent="0.2">
      <c r="A464" t="str">
        <f>IF(INDEX(Atha!$D:$D, 14)="", NA(), "Athallah (Technical Writer)")</f>
        <v>Athallah (Technical Writer)</v>
      </c>
      <c r="B464" t="str">
        <f>IF(INDEX(Atha!$D:$D, 14)="", NA(), INDEX(Atha!$B:$B, 14))</f>
        <v>Integrasi TCES TICS</v>
      </c>
      <c r="C464" t="str">
        <f>IF(INDEX(Atha!$D:$D, 14)="", NA(), INDEX(Atha!$D:$D, 14))</f>
        <v xml:space="preserve">Membuat Dokumen TSD - Menambahkan detail penulisan terkait pemetaan data field integrasi </v>
      </c>
      <c r="D464" t="str">
        <f>IF(INDEX(Atha!$D:$D, 14)="", NA(), INDEX(Atha!$E:$E, 14))</f>
        <v>DONE</v>
      </c>
      <c r="E464" s="13">
        <f>IF(INDEX(Atha!$D:$D, 14)="", NA(), INDEX(Atha!$K:$K, 14))</f>
        <v>46253</v>
      </c>
      <c r="F464">
        <f t="shared" si="14"/>
        <v>1</v>
      </c>
      <c r="G464" s="13">
        <f>IF(INDEX(Atha!$D:$D, 14)="", NA(), INDEX(Atha!$L:$L, 14))</f>
        <v>46254</v>
      </c>
      <c r="H464" t="str">
        <f t="shared" si="15"/>
        <v xml:space="preserve">Athallah (Technical Writer) - Integrasi TCES TICS - Membuat Dokumen TSD - Menambahkan detail penulisan terkait pemetaan data field integrasi </v>
      </c>
    </row>
    <row r="465" spans="1:8" x14ac:dyDescent="0.2">
      <c r="A465" t="str">
        <f>IF(INDEX(Atha!$D:$D, 15)="", NA(), "Athallah (Technical Writer)")</f>
        <v>Athallah (Technical Writer)</v>
      </c>
      <c r="B465" t="str">
        <f>IF(INDEX(Atha!$D:$D, 15)="", NA(), INDEX(Atha!$B:$B, 15))</f>
        <v>Integrasi TCES TICS</v>
      </c>
      <c r="C465" t="str">
        <f>IF(INDEX(Atha!$D:$D, 15)="", NA(), INDEX(Atha!$D:$D, 15))</f>
        <v>Membantu dan memvalidasi QA terkait penulisan pada test case saat testing integrasi API</v>
      </c>
      <c r="D465" t="str">
        <f>IF(INDEX(Atha!$D:$D, 15)="", NA(), INDEX(Atha!$E:$E, 15))</f>
        <v>DONE</v>
      </c>
      <c r="E465" s="13">
        <f>IF(INDEX(Atha!$D:$D, 15)="", NA(), INDEX(Atha!$K:$K, 15))</f>
        <v>46254</v>
      </c>
      <c r="F465">
        <f t="shared" si="14"/>
        <v>1</v>
      </c>
      <c r="G465" s="13">
        <f>IF(INDEX(Atha!$D:$D, 15)="", NA(), INDEX(Atha!$L:$L, 15))</f>
        <v>46254</v>
      </c>
      <c r="H465" t="str">
        <f t="shared" si="15"/>
        <v>Athallah (Technical Writer) - Integrasi TCES TICS - Membantu dan memvalidasi QA terkait penulisan pada test case saat testing integrasi API</v>
      </c>
    </row>
    <row r="466" spans="1:8" x14ac:dyDescent="0.2">
      <c r="A466" t="str">
        <f>IF(INDEX(Atha!$D:$D, 16)="", NA(), "Athallah (Technical Writer)")</f>
        <v>Athallah (Technical Writer)</v>
      </c>
      <c r="B466" t="str">
        <f>IF(INDEX(Atha!$D:$D, 16)="", NA(), INDEX(Atha!$B:$B, 16))</f>
        <v>Integrasi TCES TICS</v>
      </c>
      <c r="C466" t="str">
        <f>IF(INDEX(Atha!$D:$D, 16)="", NA(), INDEX(Atha!$D:$D, 16))</f>
        <v xml:space="preserve">Melakukan meeting terkait mapping TCES T - Property (Fire) </v>
      </c>
      <c r="D466" t="str">
        <f>IF(INDEX(Atha!$D:$D, 16)="", NA(), INDEX(Atha!$E:$E, 16))</f>
        <v>DONE</v>
      </c>
      <c r="E466" s="13">
        <f>IF(INDEX(Atha!$D:$D, 16)="", NA(), INDEX(Atha!$K:$K, 16))</f>
        <v>46254</v>
      </c>
      <c r="F466">
        <f t="shared" si="14"/>
        <v>1</v>
      </c>
      <c r="G466" s="13">
        <f>IF(INDEX(Atha!$D:$D, 16)="", NA(), INDEX(Atha!$L:$L, 16))</f>
        <v>46254</v>
      </c>
      <c r="H466" t="str">
        <f t="shared" si="15"/>
        <v xml:space="preserve">Athallah (Technical Writer) - Integrasi TCES TICS - Melakukan meeting terkait mapping TCES T - Property (Fire) </v>
      </c>
    </row>
    <row r="467" spans="1:8" x14ac:dyDescent="0.2">
      <c r="A467" t="str">
        <f>IF(INDEX(Atha!$D:$D, 17)="", NA(), "Athallah (Technical Writer)")</f>
        <v>Athallah (Technical Writer)</v>
      </c>
      <c r="B467" t="str">
        <f>IF(INDEX(Atha!$D:$D, 17)="", NA(), INDEX(Atha!$B:$B, 17))</f>
        <v>Integrasi TCES TICS</v>
      </c>
      <c r="C467" t="str">
        <f>IF(INDEX(Atha!$D:$D, 17)="", NA(), INDEX(Atha!$D:$D, 17))</f>
        <v xml:space="preserve">Membuat Dokumen FSD - Menambahkan detail penulisan terkait modul Integrasi API </v>
      </c>
      <c r="D467" t="str">
        <f>IF(INDEX(Atha!$D:$D, 17)="", NA(), INDEX(Atha!$E:$E, 17))</f>
        <v>DONE</v>
      </c>
      <c r="E467" s="13">
        <f>IF(INDEX(Atha!$D:$D, 17)="", NA(), INDEX(Atha!$K:$K, 17))</f>
        <v>46254</v>
      </c>
      <c r="F467">
        <f t="shared" si="14"/>
        <v>1</v>
      </c>
      <c r="G467" s="13">
        <f>IF(INDEX(Atha!$D:$D, 17)="", NA(), INDEX(Atha!$L:$L, 17))</f>
        <v>46255</v>
      </c>
      <c r="H467" t="str">
        <f t="shared" si="15"/>
        <v xml:space="preserve">Athallah (Technical Writer) - Integrasi TCES TICS - Membuat Dokumen FSD - Menambahkan detail penulisan terkait modul Integrasi API </v>
      </c>
    </row>
    <row r="468" spans="1:8" x14ac:dyDescent="0.2">
      <c r="A468" t="str">
        <f>IF(INDEX(Atha!$D:$D, 18)="", NA(), "Athallah (Technical Writer)")</f>
        <v>Athallah (Technical Writer)</v>
      </c>
      <c r="B468" t="str">
        <f>IF(INDEX(Atha!$D:$D, 18)="", NA(), INDEX(Atha!$B:$B, 18))</f>
        <v>Integrasi TCES TICS</v>
      </c>
      <c r="C468" t="str">
        <f>IF(INDEX(Atha!$D:$D, 18)="", NA(), INDEX(Atha!$D:$D, 18))</f>
        <v xml:space="preserve">Membuat Dokumen FSD - Membuat diagram dan penjelasan flow proses Integrasi API </v>
      </c>
      <c r="D468" t="str">
        <f>IF(INDEX(Atha!$D:$D, 18)="", NA(), INDEX(Atha!$E:$E, 18))</f>
        <v>DONE</v>
      </c>
      <c r="E468" s="13">
        <f>IF(INDEX(Atha!$D:$D, 18)="", NA(), INDEX(Atha!$K:$K, 18))</f>
        <v>46255</v>
      </c>
      <c r="F468">
        <f t="shared" si="14"/>
        <v>3</v>
      </c>
      <c r="G468" s="13">
        <f>IF(INDEX(Atha!$D:$D, 18)="", NA(), INDEX(Atha!$L:$L, 18))</f>
        <v>46258</v>
      </c>
      <c r="H468" t="str">
        <f t="shared" si="15"/>
        <v xml:space="preserve">Athallah (Technical Writer) - Integrasi TCES TICS - Membuat Dokumen FSD - Membuat diagram dan penjelasan flow proses Integrasi API </v>
      </c>
    </row>
    <row r="469" spans="1:8" x14ac:dyDescent="0.2">
      <c r="A469" t="str">
        <f>IF(INDEX(Atha!$D:$D, 19)="", NA(), "Athallah (Technical Writer)")</f>
        <v>Athallah (Technical Writer)</v>
      </c>
      <c r="B469" t="str">
        <f>IF(INDEX(Atha!$D:$D, 19)="", NA(), INDEX(Atha!$B:$B, 19))</f>
        <v>Integrasi TCES TICS</v>
      </c>
      <c r="C469" t="str">
        <f>IF(INDEX(Atha!$D:$D, 19)="", NA(), INDEX(Atha!$D:$D, 19))</f>
        <v>Membuat Dokumen TSD - Melengkapi API Contract (Base URL dan Header Standar, Referensi HTTP Response Code, Spesifikasi Endpoint Integrasi)</v>
      </c>
      <c r="D469" t="str">
        <f>IF(INDEX(Atha!$D:$D, 19)="", NA(), INDEX(Atha!$E:$E, 19))</f>
        <v>DONE</v>
      </c>
      <c r="E469" s="13">
        <f>IF(INDEX(Atha!$D:$D, 19)="", NA(), INDEX(Atha!$K:$K, 19))</f>
        <v>46258</v>
      </c>
      <c r="F469">
        <f t="shared" si="14"/>
        <v>1</v>
      </c>
      <c r="G469" s="13">
        <f>IF(INDEX(Atha!$D:$D, 19)="", NA(), INDEX(Atha!$L:$L, 19))</f>
        <v>46258</v>
      </c>
      <c r="H469" t="str">
        <f t="shared" si="15"/>
        <v>Athallah (Technical Writer) - Integrasi TCES TICS - Membuat Dokumen TSD - Melengkapi API Contract (Base URL dan Header Standar, Referensi HTTP Response Code, Spesifikasi Endpoint Integrasi)</v>
      </c>
    </row>
    <row r="470" spans="1:8" x14ac:dyDescent="0.2">
      <c r="A470" t="str">
        <f>IF(INDEX(Atha!$D:$D, 20)="", NA(), "Athallah (Technical Writer)")</f>
        <v>Athallah (Technical Writer)</v>
      </c>
      <c r="B470" t="str">
        <f>IF(INDEX(Atha!$D:$D, 20)="", NA(), INDEX(Atha!$B:$B, 20))</f>
        <v>Integrasi TCES TICS</v>
      </c>
      <c r="C470" t="str">
        <f>IF(INDEX(Atha!$D:$D, 20)="", NA(), INDEX(Atha!$D:$D, 20))</f>
        <v>Melakukan meeting terkait progress review task yang sudah dikerjakan bersama tim dan stakeholder</v>
      </c>
      <c r="D470" t="str">
        <f>IF(INDEX(Atha!$D:$D, 20)="", NA(), INDEX(Atha!$E:$E, 20))</f>
        <v>DONE</v>
      </c>
      <c r="E470" s="13">
        <f>IF(INDEX(Atha!$D:$D, 20)="", NA(), INDEX(Atha!$K:$K, 20))</f>
        <v>46258</v>
      </c>
      <c r="F470">
        <f t="shared" si="14"/>
        <v>1</v>
      </c>
      <c r="G470" s="13">
        <f>IF(INDEX(Atha!$D:$D, 20)="", NA(), INDEX(Atha!$L:$L, 20))</f>
        <v>46258</v>
      </c>
      <c r="H470" t="str">
        <f t="shared" si="15"/>
        <v>Athallah (Technical Writer) - Integrasi TCES TICS - Melakukan meeting terkait progress review task yang sudah dikerjakan bersama tim dan stakeholder</v>
      </c>
    </row>
    <row r="471" spans="1:8" x14ac:dyDescent="0.2">
      <c r="A471" t="str">
        <f>IF(INDEX(Atha!$D:$D, 21)="", NA(), "Athallah (Technical Writer)")</f>
        <v>Athallah (Technical Writer)</v>
      </c>
      <c r="B471" t="str">
        <f>IF(INDEX(Atha!$D:$D, 21)="", NA(), INDEX(Atha!$B:$B, 21))</f>
        <v>Integrasi TCES TICS</v>
      </c>
      <c r="C471" t="str">
        <f>IF(INDEX(Atha!$D:$D, 21)="", NA(), INDEX(Atha!$D:$D, 21))</f>
        <v>Membuat Dokumen FSD - Update Diagram Flow Proses (Enkripsi Api dan Data Mapping)</v>
      </c>
      <c r="D471" t="str">
        <f>IF(INDEX(Atha!$D:$D, 21)="", NA(), INDEX(Atha!$E:$E, 21))</f>
        <v>DONE</v>
      </c>
      <c r="E471" s="13">
        <f>IF(INDEX(Atha!$D:$D, 21)="", NA(), INDEX(Atha!$K:$K, 21))</f>
        <v>46260</v>
      </c>
      <c r="F471">
        <f t="shared" si="14"/>
        <v>1</v>
      </c>
      <c r="G471" s="13">
        <f>IF(INDEX(Atha!$D:$D, 21)="", NA(), INDEX(Atha!$L:$L, 21))</f>
        <v>46260</v>
      </c>
      <c r="H471" t="str">
        <f t="shared" si="15"/>
        <v>Athallah (Technical Writer) - Integrasi TCES TICS - Membuat Dokumen FSD - Update Diagram Flow Proses (Enkripsi Api dan Data Mapping)</v>
      </c>
    </row>
    <row r="472" spans="1:8" x14ac:dyDescent="0.2">
      <c r="A472" t="str">
        <f>IF(INDEX(Atha!$D:$D, 22)="", NA(), "Athallah (Technical Writer)")</f>
        <v>Athallah (Technical Writer)</v>
      </c>
      <c r="B472" t="str">
        <f>IF(INDEX(Atha!$D:$D, 22)="", NA(), INDEX(Atha!$B:$B, 22))</f>
        <v>Integrasi TCES TICS</v>
      </c>
      <c r="C472" t="str">
        <f>IF(INDEX(Atha!$D:$D, 22)="", NA(), INDEX(Atha!$D:$D, 22))</f>
        <v>Membuat Dokumen FSD - Menambahkan Audit dan Pencatatan Log</v>
      </c>
      <c r="D472" t="str">
        <f>IF(INDEX(Atha!$D:$D, 22)="", NA(), INDEX(Atha!$E:$E, 22))</f>
        <v>DONE</v>
      </c>
      <c r="E472" s="13">
        <f>IF(INDEX(Atha!$D:$D, 22)="", NA(), INDEX(Atha!$K:$K, 22))</f>
        <v>46260</v>
      </c>
      <c r="F472">
        <f t="shared" si="14"/>
        <v>1</v>
      </c>
      <c r="G472" s="13">
        <f>IF(INDEX(Atha!$D:$D, 22)="", NA(), INDEX(Atha!$L:$L, 22))</f>
        <v>46261</v>
      </c>
      <c r="H472" t="str">
        <f t="shared" si="15"/>
        <v>Athallah (Technical Writer) - Integrasi TCES TICS - Membuat Dokumen FSD - Menambahkan Audit dan Pencatatan Log</v>
      </c>
    </row>
    <row r="473" spans="1:8" x14ac:dyDescent="0.2">
      <c r="A473" t="str">
        <f>IF(INDEX(Atha!$D:$D, 23)="", NA(), "Athallah (Technical Writer)")</f>
        <v>Athallah (Technical Writer)</v>
      </c>
      <c r="B473" t="str">
        <f>IF(INDEX(Atha!$D:$D, 23)="", NA(), INDEX(Atha!$B:$B, 23))</f>
        <v>Integrasi TCES TICS</v>
      </c>
      <c r="C473" t="str">
        <f>IF(INDEX(Atha!$D:$D, 23)="", NA(), INDEX(Atha!$D:$D, 23))</f>
        <v>Membuat Dokumen TSD - Update Skema Pencatatan Tabel Database</v>
      </c>
      <c r="D473" t="str">
        <f>IF(INDEX(Atha!$D:$D, 23)="", NA(), INDEX(Atha!$E:$E, 23))</f>
        <v>DONE</v>
      </c>
      <c r="E473" s="13">
        <f>IF(INDEX(Atha!$D:$D, 23)="", NA(), INDEX(Atha!$K:$K, 23))</f>
        <v>46260</v>
      </c>
      <c r="F473">
        <f t="shared" si="14"/>
        <v>5</v>
      </c>
      <c r="G473" s="13">
        <f>IF(INDEX(Atha!$D:$D, 23)="", NA(), INDEX(Atha!$L:$L, 23))</f>
        <v>46265</v>
      </c>
      <c r="H473" t="str">
        <f t="shared" si="15"/>
        <v>Athallah (Technical Writer) - Integrasi TCES TICS - Membuat Dokumen TSD - Update Skema Pencatatan Tabel Database</v>
      </c>
    </row>
    <row r="474" spans="1:8" x14ac:dyDescent="0.2">
      <c r="A474" t="str">
        <f>IF(INDEX(Atha!$D:$D, 24)="", NA(), "Athallah (Technical Writer)")</f>
        <v>Athallah (Technical Writer)</v>
      </c>
      <c r="B474" t="str">
        <f>IF(INDEX(Atha!$D:$D, 24)="", NA(), INDEX(Atha!$B:$B, 24))</f>
        <v>Integrasi TCES TICS</v>
      </c>
      <c r="C474" t="str">
        <f>IF(INDEX(Atha!$D:$D, 24)="", NA(), INDEX(Atha!$D:$D, 24))</f>
        <v>Membuat Dokumen TSD - Menambahkan Informasi Error Handling - Klasifikasi dan Kode Kesalahan</v>
      </c>
      <c r="D474" t="str">
        <f>IF(INDEX(Atha!$D:$D, 24)="", NA(), INDEX(Atha!$E:$E, 24))</f>
        <v>DONE</v>
      </c>
      <c r="E474" s="13">
        <f>IF(INDEX(Atha!$D:$D, 24)="", NA(), INDEX(Atha!$K:$K, 24))</f>
        <v>46261</v>
      </c>
      <c r="F474">
        <f t="shared" si="14"/>
        <v>1</v>
      </c>
      <c r="G474" s="13">
        <f>IF(INDEX(Atha!$D:$D, 24)="", NA(), INDEX(Atha!$L:$L, 24))</f>
        <v>46261</v>
      </c>
      <c r="H474" t="str">
        <f t="shared" si="15"/>
        <v>Athallah (Technical Writer) - Integrasi TCES TICS - Membuat Dokumen TSD - Menambahkan Informasi Error Handling - Klasifikasi dan Kode Kesalahan</v>
      </c>
    </row>
    <row r="475" spans="1:8" x14ac:dyDescent="0.2">
      <c r="A475" t="str">
        <f>IF(INDEX(Atha!$D:$D, 25)="", NA(), "Athallah (Technical Writer)")</f>
        <v>Athallah (Technical Writer)</v>
      </c>
      <c r="B475" t="str">
        <f>IF(INDEX(Atha!$D:$D, 25)="", NA(), INDEX(Atha!$B:$B, 25))</f>
        <v>Integrasi TCES TICS</v>
      </c>
      <c r="C475" t="str">
        <f>IF(INDEX(Atha!$D:$D, 25)="", NA(), INDEX(Atha!$D:$D, 25))</f>
        <v>Membuat Dokumen FSD - Menambahkan Informasi Sequence Diagram</v>
      </c>
      <c r="D475" t="str">
        <f>IF(INDEX(Atha!$D:$D, 25)="", NA(), INDEX(Atha!$E:$E, 25))</f>
        <v>DONE</v>
      </c>
      <c r="E475" s="13">
        <f>IF(INDEX(Atha!$D:$D, 25)="", NA(), INDEX(Atha!$K:$K, 25))</f>
        <v>46261</v>
      </c>
      <c r="F475">
        <f t="shared" si="14"/>
        <v>4</v>
      </c>
      <c r="G475" s="13">
        <f>IF(INDEX(Atha!$D:$D, 25)="", NA(), INDEX(Atha!$L:$L, 25))</f>
        <v>46265</v>
      </c>
      <c r="H475" t="str">
        <f t="shared" si="15"/>
        <v>Athallah (Technical Writer) - Integrasi TCES TICS - Membuat Dokumen FSD - Menambahkan Informasi Sequence Diagram</v>
      </c>
    </row>
    <row r="476" spans="1:8" x14ac:dyDescent="0.2">
      <c r="A476" t="str">
        <f>IF(INDEX(Atha!$D:$D, 26)="", NA(), "Athallah (Technical Writer)")</f>
        <v>Athallah (Technical Writer)</v>
      </c>
      <c r="B476" t="str">
        <f>IF(INDEX(Atha!$D:$D, 26)="", NA(), INDEX(Atha!$B:$B, 26))</f>
        <v>Integrasi TCES TICS</v>
      </c>
      <c r="C476" t="str">
        <f>IF(INDEX(Atha!$D:$D, 26)="", NA(), INDEX(Atha!$D:$D, 26))</f>
        <v>Membuat Dokumen Testing End to End Integrasi TCES TICS - T- Drive</v>
      </c>
      <c r="D476" t="str">
        <f>IF(INDEX(Atha!$D:$D, 26)="", NA(), INDEX(Atha!$E:$E, 26))</f>
        <v>DONE</v>
      </c>
      <c r="E476" s="13">
        <f>IF(INDEX(Atha!$D:$D, 26)="", NA(), INDEX(Atha!$K:$K, 26))</f>
        <v>46266</v>
      </c>
      <c r="F476">
        <f t="shared" si="14"/>
        <v>1</v>
      </c>
      <c r="G476" s="13">
        <f>IF(INDEX(Atha!$D:$D, 26)="", NA(), INDEX(Atha!$L:$L, 26))</f>
        <v>46266</v>
      </c>
      <c r="H476" t="str">
        <f t="shared" si="15"/>
        <v>Athallah (Technical Writer) - Integrasi TCES TICS - Membuat Dokumen Testing End to End Integrasi TCES TICS - T- Drive</v>
      </c>
    </row>
    <row r="477" spans="1:8" x14ac:dyDescent="0.2">
      <c r="A477" t="str">
        <f>IF(INDEX(Atha!$D:$D, 27)="", NA(), "Athallah (Technical Writer)")</f>
        <v>Athallah (Technical Writer)</v>
      </c>
      <c r="B477" t="str">
        <f>IF(INDEX(Atha!$D:$D, 27)="", NA(), INDEX(Atha!$B:$B, 27))</f>
        <v>Integrasi TCES TICS</v>
      </c>
      <c r="C477" t="str">
        <f>IF(INDEX(Atha!$D:$D, 27)="", NA(), INDEX(Atha!$D:$D, 27))</f>
        <v>Membuat Dokumen FAQ Integrasi TCES TICS</v>
      </c>
      <c r="D477" t="str">
        <f>IF(INDEX(Atha!$D:$D, 27)="", NA(), INDEX(Atha!$E:$E, 27))</f>
        <v>DONE</v>
      </c>
      <c r="E477" s="13">
        <f>IF(INDEX(Atha!$D:$D, 27)="", NA(), INDEX(Atha!$K:$K, 27))</f>
        <v>46266</v>
      </c>
      <c r="F477">
        <f t="shared" si="14"/>
        <v>1</v>
      </c>
      <c r="G477" s="13">
        <f>IF(INDEX(Atha!$D:$D, 27)="", NA(), INDEX(Atha!$L:$L, 27))</f>
        <v>46266</v>
      </c>
      <c r="H477" t="str">
        <f t="shared" si="15"/>
        <v>Athallah (Technical Writer) - Integrasi TCES TICS - Membuat Dokumen FAQ Integrasi TCES TICS</v>
      </c>
    </row>
    <row r="478" spans="1:8" x14ac:dyDescent="0.2">
      <c r="A478" t="str">
        <f>IF(INDEX(Atha!$D:$D, 28)="", NA(), "Athallah (Technical Writer)")</f>
        <v>Athallah (Technical Writer)</v>
      </c>
      <c r="B478" t="str">
        <f>IF(INDEX(Atha!$D:$D, 28)="", NA(), INDEX(Atha!$B:$B, 28))</f>
        <v>Integrasi TCES TICS</v>
      </c>
      <c r="C478" t="str">
        <f>IF(INDEX(Atha!$D:$D, 28)="", NA(), INDEX(Atha!$D:$D, 28))</f>
        <v>Membuat Dokumen FSD - Mengisi Penjelasan Point Flow Proses Keseluruhan</v>
      </c>
      <c r="D478" t="str">
        <f>IF(INDEX(Atha!$D:$D, 28)="", NA(), INDEX(Atha!$E:$E, 28))</f>
        <v>DONE</v>
      </c>
      <c r="E478" s="13">
        <f>IF(INDEX(Atha!$D:$D, 28)="", NA(), INDEX(Atha!$K:$K, 28))</f>
        <v>46267</v>
      </c>
      <c r="F478">
        <f t="shared" si="14"/>
        <v>1</v>
      </c>
      <c r="G478" s="13">
        <f>IF(INDEX(Atha!$D:$D, 28)="", NA(), INDEX(Atha!$L:$L, 28))</f>
        <v>46267</v>
      </c>
      <c r="H478" t="str">
        <f t="shared" si="15"/>
        <v>Athallah (Technical Writer) - Integrasi TCES TICS - Membuat Dokumen FSD - Mengisi Penjelasan Point Flow Proses Keseluruhan</v>
      </c>
    </row>
    <row r="479" spans="1:8" x14ac:dyDescent="0.2">
      <c r="A479" t="str">
        <f>IF(INDEX(Atha!$D:$D, 29)="", NA(), "Athallah (Technical Writer)")</f>
        <v>Athallah (Technical Writer)</v>
      </c>
      <c r="B479" t="str">
        <f>IF(INDEX(Atha!$D:$D, 29)="", NA(), INDEX(Atha!$B:$B, 29))</f>
        <v>Integrasi TCES TICS</v>
      </c>
      <c r="C479" t="str">
        <f>IF(INDEX(Atha!$D:$D, 29)="", NA(), INDEX(Atha!$D:$D, 29))</f>
        <v>Membuat Dokumen Testing End to End Integrasi TCES TICS - T-Travella</v>
      </c>
      <c r="D479" t="str">
        <f>IF(INDEX(Atha!$D:$D, 29)="", NA(), INDEX(Atha!$E:$E, 29))</f>
        <v>DONE</v>
      </c>
      <c r="E479" s="13">
        <f>IF(INDEX(Atha!$D:$D, 29)="", NA(), INDEX(Atha!$K:$K, 29))</f>
        <v>46267</v>
      </c>
      <c r="F479">
        <f t="shared" si="14"/>
        <v>2</v>
      </c>
      <c r="G479" s="13">
        <f>IF(INDEX(Atha!$D:$D, 29)="", NA(), INDEX(Atha!$L:$L, 29))</f>
        <v>46269</v>
      </c>
      <c r="H479" t="str">
        <f t="shared" si="15"/>
        <v>Athallah (Technical Writer) - Integrasi TCES TICS - Membuat Dokumen Testing End to End Integrasi TCES TICS - T-Travella</v>
      </c>
    </row>
    <row r="480" spans="1:8" x14ac:dyDescent="0.2">
      <c r="A480" t="str">
        <f>IF(INDEX(Atha!$D:$D, 30)="", NA(), "Athallah (Technical Writer)")</f>
        <v>Athallah (Technical Writer)</v>
      </c>
      <c r="B480" t="str">
        <f>IF(INDEX(Atha!$D:$D, 30)="", NA(), INDEX(Atha!$B:$B, 30))</f>
        <v>Integrasi TCES TICS</v>
      </c>
      <c r="C480" t="str">
        <f>IF(INDEX(Atha!$D:$D, 30)="", NA(), INDEX(Atha!$D:$D, 30))</f>
        <v>Membuat Dokumen Testing End to End Integrasi TCES TICS - T-Property</v>
      </c>
      <c r="D480" t="str">
        <f>IF(INDEX(Atha!$D:$D, 30)="", NA(), INDEX(Atha!$E:$E, 30))</f>
        <v>DONE</v>
      </c>
      <c r="E480" s="13">
        <f>IF(INDEX(Atha!$D:$D, 30)="", NA(), INDEX(Atha!$K:$K, 30))</f>
        <v>46268</v>
      </c>
      <c r="F480">
        <f t="shared" si="14"/>
        <v>4</v>
      </c>
      <c r="G480" s="13">
        <f>IF(INDEX(Atha!$D:$D, 30)="", NA(), INDEX(Atha!$L:$L, 30))</f>
        <v>46272</v>
      </c>
      <c r="H480" t="str">
        <f t="shared" si="15"/>
        <v>Athallah (Technical Writer) - Integrasi TCES TICS - Membuat Dokumen Testing End to End Integrasi TCES TICS - T-Property</v>
      </c>
    </row>
    <row r="481" spans="1:8" x14ac:dyDescent="0.2">
      <c r="A481" t="str">
        <f>IF(INDEX(Atha!$D:$D, 31)="", NA(), "Athallah (Technical Writer)")</f>
        <v>Athallah (Technical Writer)</v>
      </c>
      <c r="B481" t="str">
        <f>IF(INDEX(Atha!$D:$D, 31)="", NA(), INDEX(Atha!$B:$B, 31))</f>
        <v>Integrasi TCES TICS</v>
      </c>
      <c r="C481" t="str">
        <f>IF(INDEX(Atha!$D:$D, 31)="", NA(), INDEX(Atha!$D:$D, 31))</f>
        <v>Meeting dan Sharing Knowledge Terkait CMS TCES</v>
      </c>
      <c r="D481" t="str">
        <f>IF(INDEX(Atha!$D:$D, 31)="", NA(), INDEX(Atha!$E:$E, 31))</f>
        <v>DONE</v>
      </c>
      <c r="E481" s="13">
        <f>IF(INDEX(Atha!$D:$D, 31)="", NA(), INDEX(Atha!$K:$K, 31))</f>
        <v>46269</v>
      </c>
      <c r="F481">
        <f t="shared" si="14"/>
        <v>1</v>
      </c>
      <c r="G481" s="13">
        <f>IF(INDEX(Atha!$D:$D, 31)="", NA(), INDEX(Atha!$L:$L, 31))</f>
        <v>46269</v>
      </c>
      <c r="H481" t="str">
        <f t="shared" si="15"/>
        <v>Athallah (Technical Writer) - Integrasi TCES TICS - Meeting dan Sharing Knowledge Terkait CMS TCES</v>
      </c>
    </row>
    <row r="482" spans="1:8" x14ac:dyDescent="0.2">
      <c r="A482" t="str">
        <f>IF(INDEX(Atha!$D:$D, 32)="", NA(), "Athallah (Technical Writer)")</f>
        <v>Athallah (Technical Writer)</v>
      </c>
      <c r="B482" t="str">
        <f>IF(INDEX(Atha!$D:$D, 32)="", NA(), INDEX(Atha!$B:$B, 32))</f>
        <v>Integrasi TCES TICS</v>
      </c>
      <c r="C482" t="str">
        <f>IF(INDEX(Atha!$D:$D, 32)="", NA(), INDEX(Atha!$D:$D, 32))</f>
        <v>Meeting Review Progress Bersama Seluruh Tim ERP Tugu</v>
      </c>
      <c r="D482" t="str">
        <f>IF(INDEX(Atha!$D:$D, 32)="", NA(), INDEX(Atha!$E:$E, 32))</f>
        <v>DONE</v>
      </c>
      <c r="E482" s="13">
        <f>IF(INDEX(Atha!$D:$D, 32)="", NA(), INDEX(Atha!$K:$K, 32))</f>
        <v>46272</v>
      </c>
      <c r="F482">
        <f t="shared" si="14"/>
        <v>1</v>
      </c>
      <c r="G482" s="13">
        <f>IF(INDEX(Atha!$D:$D, 32)="", NA(), INDEX(Atha!$L:$L, 32))</f>
        <v>46272</v>
      </c>
      <c r="H482" t="str">
        <f t="shared" si="15"/>
        <v>Athallah (Technical Writer) - Integrasi TCES TICS - Meeting Review Progress Bersama Seluruh Tim ERP Tugu</v>
      </c>
    </row>
    <row r="483" spans="1:8" x14ac:dyDescent="0.2">
      <c r="A483" t="str">
        <f>IF(INDEX(Atha!$D:$D, 33)="", NA(), "Athallah (Technical Writer)")</f>
        <v>Athallah (Technical Writer)</v>
      </c>
      <c r="B483" t="str">
        <f>IF(INDEX(Atha!$D:$D, 33)="", NA(), INDEX(Atha!$B:$B, 33))</f>
        <v>Integrasi TCES TICS</v>
      </c>
      <c r="C483" t="str">
        <f>IF(INDEX(Atha!$D:$D, 33)="", NA(), INDEX(Atha!$D:$D, 33))</f>
        <v>Membantu dan memvalidasi QA untuk Testing End to End Integrasi TCES - TICS Motor Vehicle</v>
      </c>
      <c r="D483" t="str">
        <f>IF(INDEX(Atha!$D:$D, 33)="", NA(), INDEX(Atha!$E:$E, 33))</f>
        <v>DONE</v>
      </c>
      <c r="E483" s="13">
        <f>IF(INDEX(Atha!$D:$D, 33)="", NA(), INDEX(Atha!$K:$K, 33))</f>
        <v>46273</v>
      </c>
      <c r="F483">
        <f t="shared" si="14"/>
        <v>1</v>
      </c>
      <c r="G483" s="13">
        <f>IF(INDEX(Atha!$D:$D, 33)="", NA(), INDEX(Atha!$L:$L, 33))</f>
        <v>46273</v>
      </c>
      <c r="H483" t="str">
        <f t="shared" si="15"/>
        <v>Athallah (Technical Writer) - Integrasi TCES TICS - Membantu dan memvalidasi QA untuk Testing End to End Integrasi TCES - TICS Motor Vehicle</v>
      </c>
    </row>
    <row r="484" spans="1:8" x14ac:dyDescent="0.2">
      <c r="A484" t="str">
        <f>IF(INDEX(Atha!$D:$D, 34)="", NA(), "Athallah (Technical Writer)")</f>
        <v>Athallah (Technical Writer)</v>
      </c>
      <c r="B484" t="str">
        <f>IF(INDEX(Atha!$D:$D, 34)="", NA(), INDEX(Atha!$B:$B, 34))</f>
        <v>Integrasi TCES TICS</v>
      </c>
      <c r="C484" t="str">
        <f>IF(INDEX(Atha!$D:$D, 34)="", NA(), INDEX(Atha!$D:$D, 34))</f>
        <v>Membantu Pembuatan Update Untuk Test Case Testing TCES - TICS Motor Vehicle</v>
      </c>
      <c r="D484" t="str">
        <f>IF(INDEX(Atha!$D:$D, 34)="", NA(), INDEX(Atha!$E:$E, 34))</f>
        <v>DONE</v>
      </c>
      <c r="E484" s="13">
        <f>IF(INDEX(Atha!$D:$D, 34)="", NA(), INDEX(Atha!$K:$K, 34))</f>
        <v>46273</v>
      </c>
      <c r="F484">
        <f t="shared" si="14"/>
        <v>1</v>
      </c>
      <c r="G484" s="13">
        <f>IF(INDEX(Atha!$D:$D, 34)="", NA(), INDEX(Atha!$L:$L, 34))</f>
        <v>46273</v>
      </c>
      <c r="H484" t="str">
        <f t="shared" si="15"/>
        <v>Athallah (Technical Writer) - Integrasi TCES TICS - Membantu Pembuatan Update Untuk Test Case Testing TCES - TICS Motor Vehicle</v>
      </c>
    </row>
    <row r="485" spans="1:8" x14ac:dyDescent="0.2">
      <c r="A485" t="str">
        <f>IF(INDEX(Atha!$D:$D, 35)="", NA(), "Athallah (Technical Writer)")</f>
        <v>Athallah (Technical Writer)</v>
      </c>
      <c r="B485" t="str">
        <f>IF(INDEX(Atha!$D:$D, 35)="", NA(), INDEX(Atha!$B:$B, 35))</f>
        <v>Integrasi TCES TICS</v>
      </c>
      <c r="C485" t="str">
        <f>IF(INDEX(Atha!$D:$D, 35)="", NA(), INDEX(Atha!$D:$D, 35))</f>
        <v>Membuat Dokumen Test Tracker dan Summary Untuk Integrasi TCES - TICS Motor Vehicle</v>
      </c>
      <c r="D485" t="str">
        <f>IF(INDEX(Atha!$D:$D, 35)="", NA(), INDEX(Atha!$E:$E, 35))</f>
        <v>DONE</v>
      </c>
      <c r="E485" s="13">
        <f>IF(INDEX(Atha!$D:$D, 35)="", NA(), INDEX(Atha!$K:$K, 35))</f>
        <v>46273</v>
      </c>
      <c r="F485">
        <f t="shared" si="14"/>
        <v>1</v>
      </c>
      <c r="G485" s="13">
        <f>IF(INDEX(Atha!$D:$D, 35)="", NA(), INDEX(Atha!$L:$L, 35))</f>
        <v>46273</v>
      </c>
      <c r="H485" t="str">
        <f t="shared" si="15"/>
        <v>Athallah (Technical Writer) - Integrasi TCES TICS - Membuat Dokumen Test Tracker dan Summary Untuk Integrasi TCES - TICS Motor Vehicle</v>
      </c>
    </row>
    <row r="486" spans="1:8" x14ac:dyDescent="0.2">
      <c r="A486" t="str">
        <f>IF(INDEX(Atha!$D:$D, 36)="", NA(), "Athallah (Technical Writer)")</f>
        <v>Athallah (Technical Writer)</v>
      </c>
      <c r="B486" t="str">
        <f>IF(INDEX(Atha!$D:$D, 36)="", NA(), INDEX(Atha!$B:$B, 36))</f>
        <v>Integrasi TCES TICS</v>
      </c>
      <c r="C486" t="str">
        <f>IF(INDEX(Atha!$D:$D, 36)="", NA(), INDEX(Atha!$D:$D, 36))</f>
        <v>Membuat Dokumen FSD - Update Diagram Flow Proses Keseluruhan dan Lampiran</v>
      </c>
      <c r="D486" t="str">
        <f>IF(INDEX(Atha!$D:$D, 36)="", NA(), INDEX(Atha!$E:$E, 36))</f>
        <v>DONE</v>
      </c>
      <c r="E486" s="13">
        <f>IF(INDEX(Atha!$D:$D, 36)="", NA(), INDEX(Atha!$K:$K, 36))</f>
        <v>46274</v>
      </c>
      <c r="F486">
        <f t="shared" si="14"/>
        <v>1</v>
      </c>
      <c r="G486" s="13">
        <f>IF(INDEX(Atha!$D:$D, 36)="", NA(), INDEX(Atha!$L:$L, 36))</f>
        <v>46275</v>
      </c>
      <c r="H486" t="str">
        <f t="shared" si="15"/>
        <v>Athallah (Technical Writer) - Integrasi TCES TICS - Membuat Dokumen FSD - Update Diagram Flow Proses Keseluruhan dan Lampiran</v>
      </c>
    </row>
    <row r="487" spans="1:8" x14ac:dyDescent="0.2">
      <c r="A487" t="str">
        <f>IF(INDEX(Atha!$D:$D, 37)="", NA(), "Athallah (Technical Writer)")</f>
        <v>Athallah (Technical Writer)</v>
      </c>
      <c r="B487" t="str">
        <f>IF(INDEX(Atha!$D:$D, 37)="", NA(), INDEX(Atha!$B:$B, 37))</f>
        <v>Integrasi TCES TICS</v>
      </c>
      <c r="C487" t="str">
        <f>IF(INDEX(Atha!$D:$D, 37)="", NA(), INDEX(Atha!$D:$D, 37))</f>
        <v>Finalisasi Dokumen FSD</v>
      </c>
      <c r="D487" t="str">
        <f>IF(INDEX(Atha!$D:$D, 37)="", NA(), INDEX(Atha!$E:$E, 37))</f>
        <v>DONE</v>
      </c>
      <c r="E487" s="13">
        <f>IF(INDEX(Atha!$D:$D, 37)="", NA(), INDEX(Atha!$K:$K, 37))</f>
        <v>46275</v>
      </c>
      <c r="F487">
        <f t="shared" si="14"/>
        <v>1</v>
      </c>
      <c r="G487" s="13">
        <f>IF(INDEX(Atha!$D:$D, 37)="", NA(), INDEX(Atha!$L:$L, 37))</f>
        <v>46275</v>
      </c>
      <c r="H487" t="str">
        <f t="shared" si="15"/>
        <v>Athallah (Technical Writer) - Integrasi TCES TICS - Finalisasi Dokumen FSD</v>
      </c>
    </row>
    <row r="488" spans="1:8" x14ac:dyDescent="0.2">
      <c r="A488" t="str">
        <f>IF(INDEX(Atha!$D:$D, 38)="", NA(), "Athallah (Technical Writer)")</f>
        <v>Athallah (Technical Writer)</v>
      </c>
      <c r="B488" t="str">
        <f>IF(INDEX(Atha!$D:$D, 38)="", NA(), INDEX(Atha!$B:$B, 38))</f>
        <v>Integrasi TCES TICS</v>
      </c>
      <c r="C488" t="str">
        <f>IF(INDEX(Atha!$D:$D, 38)="", NA(), INDEX(Atha!$D:$D, 38))</f>
        <v>Finalisasi Dokumen TSD</v>
      </c>
      <c r="D488" t="str">
        <f>IF(INDEX(Atha!$D:$D, 38)="", NA(), INDEX(Atha!$E:$E, 38))</f>
        <v>DONE</v>
      </c>
      <c r="E488" s="13">
        <f>IF(INDEX(Atha!$D:$D, 38)="", NA(), INDEX(Atha!$K:$K, 38))</f>
        <v>46276</v>
      </c>
      <c r="F488">
        <f t="shared" si="14"/>
        <v>1</v>
      </c>
      <c r="G488" s="13">
        <f>IF(INDEX(Atha!$D:$D, 38)="", NA(), INDEX(Atha!$L:$L, 38))</f>
        <v>46276</v>
      </c>
      <c r="H488" t="str">
        <f t="shared" si="15"/>
        <v>Athallah (Technical Writer) - Integrasi TCES TICS - Finalisasi Dokumen TSD</v>
      </c>
    </row>
    <row r="489" spans="1:8" x14ac:dyDescent="0.2">
      <c r="A489" t="str">
        <f>IF(INDEX(Atha!$D:$D, 39)="", NA(), "Athallah (Technical Writer)")</f>
        <v>Athallah (Technical Writer)</v>
      </c>
      <c r="B489" t="str">
        <f>IF(INDEX(Atha!$D:$D, 39)="", NA(), INDEX(Atha!$B:$B, 39))</f>
        <v>Integrasi TCES TICS</v>
      </c>
      <c r="C489" t="str">
        <f>IF(INDEX(Atha!$D:$D, 39)="", NA(), INDEX(Atha!$D:$D, 39))</f>
        <v>Melakukan pengecekan dan validasi dokumen FSD dan TSD</v>
      </c>
      <c r="D489" t="str">
        <f>IF(INDEX(Atha!$D:$D, 39)="", NA(), INDEX(Atha!$E:$E, 39))</f>
        <v>DONE</v>
      </c>
      <c r="E489" s="13">
        <f>IF(INDEX(Atha!$D:$D, 39)="", NA(), INDEX(Atha!$K:$K, 39))</f>
        <v>46279</v>
      </c>
      <c r="F489">
        <f t="shared" si="14"/>
        <v>1</v>
      </c>
      <c r="G489" s="13">
        <f>IF(INDEX(Atha!$D:$D, 39)="", NA(), INDEX(Atha!$L:$L, 39))</f>
        <v>46279</v>
      </c>
      <c r="H489" t="str">
        <f t="shared" si="15"/>
        <v>Athallah (Technical Writer) - Integrasi TCES TICS - Melakukan pengecekan dan validasi dokumen FSD dan TSD</v>
      </c>
    </row>
    <row r="490" spans="1:8" x14ac:dyDescent="0.2">
      <c r="A490" t="str">
        <f>IF(INDEX(Atha!$D:$D, 40)="", NA(), "Athallah (Technical Writer)")</f>
        <v>Athallah (Technical Writer)</v>
      </c>
      <c r="B490" t="str">
        <f>IF(INDEX(Atha!$D:$D, 40)="", NA(), INDEX(Atha!$B:$B, 40))</f>
        <v>Integrasi TCES TICS</v>
      </c>
      <c r="C490" t="str">
        <f>IF(INDEX(Atha!$D:$D, 40)="", NA(), INDEX(Atha!$D:$D, 40))</f>
        <v>Melakukan follow up terkait review dokumen FSD dan TSD</v>
      </c>
      <c r="D490" t="str">
        <f>IF(INDEX(Atha!$D:$D, 40)="", NA(), INDEX(Atha!$E:$E, 40))</f>
        <v>DONE</v>
      </c>
      <c r="E490" s="13">
        <f>IF(INDEX(Atha!$D:$D, 40)="", NA(), INDEX(Atha!$K:$K, 40))</f>
        <v>46280</v>
      </c>
      <c r="F490">
        <f t="shared" si="14"/>
        <v>1</v>
      </c>
      <c r="G490" s="13">
        <f>IF(INDEX(Atha!$D:$D, 40)="", NA(), INDEX(Atha!$L:$L, 40))</f>
        <v>46280</v>
      </c>
      <c r="H490" t="str">
        <f t="shared" si="15"/>
        <v>Athallah (Technical Writer) - Integrasi TCES TICS - Melakukan follow up terkait review dokumen FSD dan TSD</v>
      </c>
    </row>
    <row r="491" spans="1:8" x14ac:dyDescent="0.2">
      <c r="A491" t="str">
        <f>IF(INDEX(Atha!$D:$D, 41)="", NA(), "Athallah (Technical Writer)")</f>
        <v>Athallah (Technical Writer)</v>
      </c>
      <c r="B491" t="str">
        <f>IF(INDEX(Atha!$D:$D, 41)="", NA(), INDEX(Atha!$B:$B, 41))</f>
        <v>API Settlement Payment</v>
      </c>
      <c r="C491" t="str">
        <f>IF(INDEX(Atha!$D:$D, 41)="", NA(), INDEX(Atha!$D:$D, 41))</f>
        <v>Melakukan meeting terkait Espay settlement payment dengan developer TCES</v>
      </c>
      <c r="D491" t="str">
        <f>IF(INDEX(Atha!$D:$D, 41)="", NA(), INDEX(Atha!$E:$E, 41))</f>
        <v>DONE</v>
      </c>
      <c r="E491" s="13">
        <f>IF(INDEX(Atha!$D:$D, 41)="", NA(), INDEX(Atha!$K:$K, 41))</f>
        <v>46280</v>
      </c>
      <c r="F491">
        <f t="shared" si="14"/>
        <v>1</v>
      </c>
      <c r="G491" s="13">
        <f>IF(INDEX(Atha!$D:$D, 41)="", NA(), INDEX(Atha!$L:$L, 41))</f>
        <v>46280</v>
      </c>
      <c r="H491" t="str">
        <f t="shared" si="15"/>
        <v>Athallah (Technical Writer) - API Settlement Payment - Melakukan meeting terkait Espay settlement payment dengan developer TCES</v>
      </c>
    </row>
    <row r="492" spans="1:8" x14ac:dyDescent="0.2">
      <c r="A492" t="str">
        <f>IF(INDEX(Atha!$D:$D, 42)="", NA(), "Athallah (Technical Writer)")</f>
        <v>Athallah (Technical Writer)</v>
      </c>
      <c r="B492" t="str">
        <f>IF(INDEX(Atha!$D:$D, 42)="", NA(), INDEX(Atha!$B:$B, 42))</f>
        <v>API Settlement Payment</v>
      </c>
      <c r="C492" t="str">
        <f>IF(INDEX(Atha!$D:$D, 42)="", NA(), INDEX(Atha!$D:$D, 42))</f>
        <v>Membuat Template FSD - Payment Settlement TCES</v>
      </c>
      <c r="D492" t="str">
        <f>IF(INDEX(Atha!$D:$D, 42)="", NA(), INDEX(Atha!$E:$E, 42))</f>
        <v>DONE</v>
      </c>
      <c r="E492" s="13">
        <f>IF(INDEX(Atha!$D:$D, 42)="", NA(), INDEX(Atha!$K:$K, 42))</f>
        <v>46281</v>
      </c>
      <c r="F492">
        <f t="shared" si="14"/>
        <v>1</v>
      </c>
      <c r="G492" s="13">
        <f>IF(INDEX(Atha!$D:$D, 42)="", NA(), INDEX(Atha!$L:$L, 42))</f>
        <v>46281</v>
      </c>
      <c r="H492" t="str">
        <f t="shared" si="15"/>
        <v>Athallah (Technical Writer) - API Settlement Payment - Membuat Template FSD - Payment Settlement TCES</v>
      </c>
    </row>
    <row r="493" spans="1:8" x14ac:dyDescent="0.2">
      <c r="A493" t="str">
        <f>IF(INDEX(Atha!$D:$D, 43)="", NA(), "Athallah (Technical Writer)")</f>
        <v>Athallah (Technical Writer)</v>
      </c>
      <c r="B493" t="str">
        <f>IF(INDEX(Atha!$D:$D, 43)="", NA(), INDEX(Atha!$B:$B, 43))</f>
        <v>API Settlement Payment</v>
      </c>
      <c r="C493" t="str">
        <f>IF(INDEX(Atha!$D:$D, 43)="", NA(), INDEX(Atha!$D:$D, 43))</f>
        <v>Membuat Template TSD - Payment Settlement TCES</v>
      </c>
      <c r="D493" t="str">
        <f>IF(INDEX(Atha!$D:$D, 43)="", NA(), INDEX(Atha!$E:$E, 43))</f>
        <v>DONE</v>
      </c>
      <c r="E493" s="13">
        <f>IF(INDEX(Atha!$D:$D, 43)="", NA(), INDEX(Atha!$K:$K, 43))</f>
        <v>46281</v>
      </c>
      <c r="F493">
        <f t="shared" si="14"/>
        <v>1</v>
      </c>
      <c r="G493" s="13">
        <f>IF(INDEX(Atha!$D:$D, 43)="", NA(), INDEX(Atha!$L:$L, 43))</f>
        <v>46281</v>
      </c>
      <c r="H493" t="str">
        <f t="shared" si="15"/>
        <v>Athallah (Technical Writer) - API Settlement Payment - Membuat Template TSD - Payment Settlement TCES</v>
      </c>
    </row>
    <row r="494" spans="1:8" x14ac:dyDescent="0.2">
      <c r="A494" t="str">
        <f>IF(INDEX(Atha!$D:$D, 44)="", NA(), "Athallah (Technical Writer)")</f>
        <v>Athallah (Technical Writer)</v>
      </c>
      <c r="B494" t="str">
        <f>IF(INDEX(Atha!$D:$D, 44)="", NA(), INDEX(Atha!$B:$B, 44))</f>
        <v>Integrasi TCES TICS</v>
      </c>
      <c r="C494" t="str">
        <f>IF(INDEX(Atha!$D:$D, 44)="", NA(), INDEX(Atha!$D:$D, 44))</f>
        <v>Meeting Integrasi Claim TCES (Tim IT Tugu, Tim Claim Tugu, Tim IT Elistec)</v>
      </c>
      <c r="D494" t="str">
        <f>IF(INDEX(Atha!$D:$D, 44)="", NA(), INDEX(Atha!$E:$E, 44))</f>
        <v>DONE</v>
      </c>
      <c r="E494" s="13">
        <f>IF(INDEX(Atha!$D:$D, 44)="", NA(), INDEX(Atha!$K:$K, 44))</f>
        <v>46281</v>
      </c>
      <c r="F494">
        <f t="shared" si="14"/>
        <v>1</v>
      </c>
      <c r="G494" s="13">
        <f>IF(INDEX(Atha!$D:$D, 44)="", NA(), INDEX(Atha!$L:$L, 44))</f>
        <v>46281</v>
      </c>
      <c r="H494" t="str">
        <f t="shared" si="15"/>
        <v>Athallah (Technical Writer) - Integrasi TCES TICS - Meeting Integrasi Claim TCES (Tim IT Tugu, Tim Claim Tugu, Tim IT Elistec)</v>
      </c>
    </row>
    <row r="495" spans="1:8" x14ac:dyDescent="0.2">
      <c r="A495" t="str">
        <f>IF(INDEX(Atha!$D:$D, 45)="", NA(), "Athallah (Technical Writer)")</f>
        <v>Athallah (Technical Writer)</v>
      </c>
      <c r="B495" t="str">
        <f>IF(INDEX(Atha!$D:$D, 45)="", NA(), INDEX(Atha!$B:$B, 45))</f>
        <v>Integrasi TCES TICS</v>
      </c>
      <c r="C495" t="str">
        <f>IF(INDEX(Atha!$D:$D, 45)="", NA(), INDEX(Atha!$D:$D, 45))</f>
        <v>Update lampiran payload MV (t-ride dan t-drive), T-Property, T-Travella sebelum dan setelah terenkripsi pada dokumen FSD</v>
      </c>
      <c r="D495" t="str">
        <f>IF(INDEX(Atha!$D:$D, 45)="", NA(), INDEX(Atha!$E:$E, 45))</f>
        <v>DONE</v>
      </c>
      <c r="E495" s="13">
        <f>IF(INDEX(Atha!$D:$D, 45)="", NA(), INDEX(Atha!$K:$K, 45))</f>
        <v>46282</v>
      </c>
      <c r="F495">
        <f t="shared" si="14"/>
        <v>1</v>
      </c>
      <c r="G495" s="13">
        <f>IF(INDEX(Atha!$D:$D, 45)="", NA(), INDEX(Atha!$L:$L, 45))</f>
        <v>46282</v>
      </c>
      <c r="H495" t="str">
        <f t="shared" si="15"/>
        <v>Athallah (Technical Writer) - Integrasi TCES TICS - Update lampiran payload MV (t-ride dan t-drive), T-Property, T-Travella sebelum dan setelah terenkripsi pada dokumen FSD</v>
      </c>
    </row>
    <row r="496" spans="1:8" x14ac:dyDescent="0.2">
      <c r="A496" t="str">
        <f>IF(INDEX(Atha!$D:$D, 46)="", NA(), "Athallah (Technical Writer)")</f>
        <v>Athallah (Technical Writer)</v>
      </c>
      <c r="B496" t="str">
        <f>IF(INDEX(Atha!$D:$D, 46)="", NA(), INDEX(Atha!$B:$B, 46))</f>
        <v>Integrasi TCES TICS</v>
      </c>
      <c r="C496" t="str">
        <f>IF(INDEX(Atha!$D:$D, 46)="", NA(), INDEX(Atha!$D:$D, 46))</f>
        <v>Membuat dokumen summary integrasi TCES TICS testing end to end MV (Motor Vehicle)</v>
      </c>
      <c r="D496" t="str">
        <f>IF(INDEX(Atha!$D:$D, 46)="", NA(), INDEX(Atha!$E:$E, 46))</f>
        <v>DONE</v>
      </c>
      <c r="E496" s="13">
        <f>IF(INDEX(Atha!$D:$D, 46)="", NA(), INDEX(Atha!$K:$K, 46))</f>
        <v>46282</v>
      </c>
      <c r="F496">
        <f t="shared" si="14"/>
        <v>1</v>
      </c>
      <c r="G496" s="13">
        <f>IF(INDEX(Atha!$D:$D, 46)="", NA(), INDEX(Atha!$L:$L, 46))</f>
        <v>46282</v>
      </c>
      <c r="H496" t="str">
        <f t="shared" si="15"/>
        <v>Athallah (Technical Writer) - Integrasi TCES TICS - Membuat dokumen summary integrasi TCES TICS testing end to end MV (Motor Vehicle)</v>
      </c>
    </row>
    <row r="497" spans="1:8" x14ac:dyDescent="0.2">
      <c r="A497" t="str">
        <f>IF(INDEX(Atha!$D:$D, 47)="", NA(), "Athallah (Technical Writer)")</f>
        <v>Athallah (Technical Writer)</v>
      </c>
      <c r="B497" t="str">
        <f>IF(INDEX(Atha!$D:$D, 47)="", NA(), INDEX(Atha!$B:$B, 47))</f>
        <v>Integrasi TCES TICS</v>
      </c>
      <c r="C497" t="str">
        <f>IF(INDEX(Atha!$D:$D, 47)="", NA(), INDEX(Atha!$D:$D, 47))</f>
        <v>Meeting Sharing Knowledge TCES oleh tim Elistec dan Tugu</v>
      </c>
      <c r="D497" t="str">
        <f>IF(INDEX(Atha!$D:$D, 47)="", NA(), INDEX(Atha!$E:$E, 47))</f>
        <v>DONE</v>
      </c>
      <c r="E497" s="13">
        <f>IF(INDEX(Atha!$D:$D, 47)="", NA(), INDEX(Atha!$K:$K, 47))</f>
        <v>46283</v>
      </c>
      <c r="F497">
        <f t="shared" si="14"/>
        <v>1</v>
      </c>
      <c r="G497" s="13">
        <f>IF(INDEX(Atha!$D:$D, 47)="", NA(), INDEX(Atha!$L:$L, 47))</f>
        <v>46283</v>
      </c>
      <c r="H497" t="str">
        <f t="shared" si="15"/>
        <v>Athallah (Technical Writer) - Integrasi TCES TICS - Meeting Sharing Knowledge TCES oleh tim Elistec dan Tugu</v>
      </c>
    </row>
    <row r="498" spans="1:8" x14ac:dyDescent="0.2">
      <c r="A498" t="str">
        <f>IF(INDEX(Atha!$D:$D, 48)="", NA(), "Athallah (Technical Writer)")</f>
        <v>Athallah (Technical Writer)</v>
      </c>
      <c r="B498" t="str">
        <f>IF(INDEX(Atha!$D:$D, 48)="", NA(), INDEX(Atha!$B:$B, 48))</f>
        <v>API Settlement Payment</v>
      </c>
      <c r="C498" t="str">
        <f>IF(INDEX(Atha!$D:$D, 48)="", NA(), INDEX(Atha!$D:$D, 48))</f>
        <v xml:space="preserve">Melengkapi Dokumen TSD  </v>
      </c>
      <c r="D498" t="str">
        <f>IF(INDEX(Atha!$D:$D, 48)="", NA(), INDEX(Atha!$E:$E, 48))</f>
        <v>IN_PROGRESS</v>
      </c>
      <c r="E498" s="13">
        <f>IF(INDEX(Atha!$D:$D, 48)="", NA(), INDEX(Atha!$K:$K, 48))</f>
        <v>46283</v>
      </c>
      <c r="F498">
        <f t="shared" si="14"/>
        <v>17</v>
      </c>
      <c r="G498" s="13">
        <f>IF(INDEX(Atha!$D:$D, 48)="", NA(), INDEX(Atha!$L:$L, 48))</f>
        <v>46300</v>
      </c>
      <c r="H498" t="str">
        <f t="shared" si="15"/>
        <v xml:space="preserve">Athallah (Technical Writer) - API Settlement Payment - Melengkapi Dokumen TSD  </v>
      </c>
    </row>
    <row r="499" spans="1:8" x14ac:dyDescent="0.2">
      <c r="A499" t="str">
        <f>IF(INDEX(Atha!$D:$D, 49)="", NA(), "Athallah (Technical Writer)")</f>
        <v>Athallah (Technical Writer)</v>
      </c>
      <c r="B499" t="str">
        <f>IF(INDEX(Atha!$D:$D, 49)="", NA(), INDEX(Atha!$B:$B, 49))</f>
        <v>API Settlement Payment</v>
      </c>
      <c r="C499" t="str">
        <f>IF(INDEX(Atha!$D:$D, 49)="", NA(), INDEX(Atha!$D:$D, 49))</f>
        <v xml:space="preserve">Melengkapi Dokumen FSD </v>
      </c>
      <c r="D499" t="str">
        <f>IF(INDEX(Atha!$D:$D, 49)="", NA(), INDEX(Atha!$E:$E, 49))</f>
        <v>DONE</v>
      </c>
      <c r="E499" s="13">
        <f>IF(INDEX(Atha!$D:$D, 49)="", NA(), INDEX(Atha!$K:$K, 49))</f>
        <v>46283</v>
      </c>
      <c r="F499">
        <f t="shared" si="14"/>
        <v>17</v>
      </c>
      <c r="G499" s="13">
        <f>IF(INDEX(Atha!$D:$D, 49)="", NA(), INDEX(Atha!$L:$L, 49))</f>
        <v>46300</v>
      </c>
      <c r="H499" t="str">
        <f t="shared" si="15"/>
        <v xml:space="preserve">Athallah (Technical Writer) - API Settlement Payment - Melengkapi Dokumen FSD </v>
      </c>
    </row>
    <row r="500" spans="1:8" x14ac:dyDescent="0.2">
      <c r="A500" t="str">
        <f>IF(INDEX(Atha!$D:$D, 50)="", NA(), "Athallah (Technical Writer)")</f>
        <v>Athallah (Technical Writer)</v>
      </c>
      <c r="B500" t="str">
        <f>IF(INDEX(Atha!$D:$D, 50)="", NA(), INDEX(Atha!$B:$B, 50))</f>
        <v>API Settlement Payment</v>
      </c>
      <c r="C500" t="str">
        <f>IF(INDEX(Atha!$D:$D, 50)="", NA(), INDEX(Atha!$D:$D, 50))</f>
        <v>Melakukan beautify dokumen BRD - API Settlement Payment</v>
      </c>
      <c r="D500" t="str">
        <f>IF(INDEX(Atha!$D:$D, 50)="", NA(), INDEX(Atha!$E:$E, 50))</f>
        <v>DONE</v>
      </c>
      <c r="E500" s="13">
        <f>IF(INDEX(Atha!$D:$D, 50)="", NA(), INDEX(Atha!$K:$K, 50))</f>
        <v>46283</v>
      </c>
      <c r="F500">
        <f t="shared" si="14"/>
        <v>3</v>
      </c>
      <c r="G500" s="13">
        <f>IF(INDEX(Atha!$D:$D, 50)="", NA(), INDEX(Atha!$L:$L, 50))</f>
        <v>46286</v>
      </c>
      <c r="H500" t="str">
        <f t="shared" si="15"/>
        <v>Athallah (Technical Writer) - API Settlement Payment - Melakukan beautify dokumen BRD - API Settlement Payment</v>
      </c>
    </row>
    <row r="501" spans="1:8" x14ac:dyDescent="0.2">
      <c r="A501" t="str">
        <f>IF(INDEX(Atha!$D:$D, 51)="", NA(), "Athallah (Technical Writer)")</f>
        <v>Athallah (Technical Writer)</v>
      </c>
      <c r="B501" t="str">
        <f>IF(INDEX(Atha!$D:$D, 51)="", NA(), INDEX(Atha!$B:$B, 51))</f>
        <v>API Settlement Payment</v>
      </c>
      <c r="C501" t="str">
        <f>IF(INDEX(Atha!$D:$D, 51)="", NA(), INDEX(Atha!$D:$D, 51))</f>
        <v>Membuat dokumentasi spesifikasi API</v>
      </c>
      <c r="D501" t="str">
        <f>IF(INDEX(Atha!$D:$D, 51)="", NA(), INDEX(Atha!$E:$E, 51))</f>
        <v>DONE</v>
      </c>
      <c r="E501" s="13">
        <f>IF(INDEX(Atha!$D:$D, 51)="", NA(), INDEX(Atha!$K:$K, 51))</f>
        <v>46286</v>
      </c>
      <c r="F501">
        <f t="shared" si="14"/>
        <v>1</v>
      </c>
      <c r="G501" s="13">
        <f>IF(INDEX(Atha!$D:$D, 51)="", NA(), INDEX(Atha!$L:$L, 51))</f>
        <v>46286</v>
      </c>
      <c r="H501" t="str">
        <f t="shared" si="15"/>
        <v>Athallah (Technical Writer) - API Settlement Payment - Membuat dokumentasi spesifikasi API</v>
      </c>
    </row>
    <row r="502" spans="1:8" x14ac:dyDescent="0.2">
      <c r="A502" t="str">
        <f>IF(INDEX(Atha!$D:$D, 52)="", NA(), "Athallah (Technical Writer)")</f>
        <v>Athallah (Technical Writer)</v>
      </c>
      <c r="B502" t="str">
        <f>IF(INDEX(Atha!$D:$D, 52)="", NA(), INDEX(Atha!$B:$B, 52))</f>
        <v>API Settlement Payment</v>
      </c>
      <c r="C502" t="str">
        <f>IF(INDEX(Atha!$D:$D, 52)="", NA(), INDEX(Atha!$D:$D, 52))</f>
        <v>Meeting API Settlement Payment - Kelanjutan Data Stagging</v>
      </c>
      <c r="D502" t="str">
        <f>IF(INDEX(Atha!$D:$D, 52)="", NA(), INDEX(Atha!$E:$E, 52))</f>
        <v>DONE</v>
      </c>
      <c r="E502" s="13">
        <f>IF(INDEX(Atha!$D:$D, 52)="", NA(), INDEX(Atha!$K:$K, 52))</f>
        <v>46293</v>
      </c>
      <c r="F502">
        <f t="shared" si="14"/>
        <v>1</v>
      </c>
      <c r="G502" s="13">
        <f>IF(INDEX(Atha!$D:$D, 52)="", NA(), INDEX(Atha!$L:$L, 52))</f>
        <v>46293</v>
      </c>
      <c r="H502" t="str">
        <f t="shared" si="15"/>
        <v>Athallah (Technical Writer) - API Settlement Payment - Meeting API Settlement Payment - Kelanjutan Data Stagging</v>
      </c>
    </row>
    <row r="503" spans="1:8" x14ac:dyDescent="0.2">
      <c r="A503" t="str">
        <f>IF(INDEX(Atha!$D:$D, 53)="", NA(), "Athallah (Technical Writer)")</f>
        <v>Athallah (Technical Writer)</v>
      </c>
      <c r="B503" t="str">
        <f>IF(INDEX(Atha!$D:$D, 53)="", NA(), INDEX(Atha!$B:$B, 53))</f>
        <v>API Settlement Payment</v>
      </c>
      <c r="C503" t="str">
        <f>IF(INDEX(Atha!$D:$D, 53)="", NA(), INDEX(Atha!$D:$D, 53))</f>
        <v>Melakukan Update Penyesuaian Bahasa Dalam Dokumen FSD dan TSD</v>
      </c>
      <c r="D503" t="str">
        <f>IF(INDEX(Atha!$D:$D, 53)="", NA(), INDEX(Atha!$E:$E, 53))</f>
        <v>DONE</v>
      </c>
      <c r="E503" s="13">
        <f>IF(INDEX(Atha!$D:$D, 53)="", NA(), INDEX(Atha!$K:$K, 53))</f>
        <v>46300</v>
      </c>
      <c r="F503">
        <f t="shared" si="14"/>
        <v>2</v>
      </c>
      <c r="G503" s="13">
        <f>IF(INDEX(Atha!$D:$D, 53)="", NA(), INDEX(Atha!$L:$L, 53))</f>
        <v>46302</v>
      </c>
      <c r="H503" t="str">
        <f t="shared" si="15"/>
        <v>Athallah (Technical Writer) - API Settlement Payment - Melakukan Update Penyesuaian Bahasa Dalam Dokumen FSD dan TSD</v>
      </c>
    </row>
    <row r="504" spans="1:8" x14ac:dyDescent="0.2">
      <c r="A504" t="str">
        <f>IF(INDEX(Atha!$D:$D, 54)="", NA(), "Athallah (Technical Writer)")</f>
        <v>Athallah (Technical Writer)</v>
      </c>
      <c r="B504" t="str">
        <f>IF(INDEX(Atha!$D:$D, 54)="", NA(), INDEX(Atha!$B:$B, 54))</f>
        <v>API Settlement Payment</v>
      </c>
      <c r="C504" t="str">
        <f>IF(INDEX(Atha!$D:$D, 54)="", NA(), INDEX(Atha!$D:$D, 54))</f>
        <v>Membantu Enforce Data API Settlement</v>
      </c>
      <c r="D504" t="str">
        <f>IF(INDEX(Atha!$D:$D, 54)="", NA(), INDEX(Atha!$E:$E, 54))</f>
        <v>DONE</v>
      </c>
      <c r="E504" s="13">
        <f>IF(INDEX(Atha!$D:$D, 54)="", NA(), INDEX(Atha!$K:$K, 54))</f>
        <v>46300</v>
      </c>
      <c r="F504">
        <f t="shared" si="14"/>
        <v>2</v>
      </c>
      <c r="G504" s="13">
        <f>IF(INDEX(Atha!$D:$D, 54)="", NA(), INDEX(Atha!$L:$L, 54))</f>
        <v>46302</v>
      </c>
      <c r="H504" t="str">
        <f t="shared" si="15"/>
        <v>Athallah (Technical Writer) - API Settlement Payment - Membantu Enforce Data API Settlement</v>
      </c>
    </row>
    <row r="505" spans="1:8" x14ac:dyDescent="0.2">
      <c r="A505" t="str">
        <f>IF(INDEX(Atha!$D:$D, 55)="", NA(), "Athallah (Technical Writer)")</f>
        <v>Athallah (Technical Writer)</v>
      </c>
      <c r="B505" t="str">
        <f>IF(INDEX(Atha!$D:$D, 55)="", NA(), INDEX(Atha!$B:$B, 55))</f>
        <v>Integrasi TCES Claim - BengkelNet</v>
      </c>
      <c r="C505" t="str">
        <f>IF(INDEX(Atha!$D:$D, 55)="", NA(), INDEX(Atha!$D:$D, 55))</f>
        <v>Melakukan Meeting terkait Settlement TCES - TICS - Bengkel Net</v>
      </c>
      <c r="D505" t="str">
        <f>IF(INDEX(Atha!$D:$D, 55)="", NA(), INDEX(Atha!$E:$E, 55))</f>
        <v>DONE</v>
      </c>
      <c r="E505" s="13">
        <f>IF(INDEX(Atha!$D:$D, 55)="", NA(), INDEX(Atha!$K:$K, 55))</f>
        <v>46301</v>
      </c>
      <c r="F505">
        <f t="shared" si="14"/>
        <v>1</v>
      </c>
      <c r="G505" s="13">
        <f>IF(INDEX(Atha!$D:$D, 55)="", NA(), INDEX(Atha!$L:$L, 55))</f>
        <v>46301</v>
      </c>
      <c r="H505" t="str">
        <f t="shared" si="15"/>
        <v>Athallah (Technical Writer) - Integrasi TCES Claim - BengkelNet - Melakukan Meeting terkait Settlement TCES - TICS - Bengkel Net</v>
      </c>
    </row>
    <row r="506" spans="1:8" x14ac:dyDescent="0.2">
      <c r="A506" t="str">
        <f>IF(INDEX(Atha!$D:$D, 56)="", NA(), "Athallah (Technical Writer)")</f>
        <v>Athallah (Technical Writer)</v>
      </c>
      <c r="B506" t="str">
        <f>IF(INDEX(Atha!$D:$D, 56)="", NA(), INDEX(Atha!$B:$B, 56))</f>
        <v>API Settlement Payment</v>
      </c>
      <c r="C506" t="str">
        <f>IF(INDEX(Atha!$D:$D, 56)="", NA(), INDEX(Atha!$D:$D, 56))</f>
        <v>Melakukan follow up terkait review dokumen FSD</v>
      </c>
      <c r="D506" t="str">
        <f>IF(INDEX(Atha!$D:$D, 56)="", NA(), INDEX(Atha!$E:$E, 56))</f>
        <v>DONE</v>
      </c>
      <c r="E506" s="13">
        <f>IF(INDEX(Atha!$D:$D, 56)="", NA(), INDEX(Atha!$K:$K, 56))</f>
        <v>46302</v>
      </c>
      <c r="F506">
        <f t="shared" si="14"/>
        <v>1</v>
      </c>
      <c r="G506" s="13">
        <f>IF(INDEX(Atha!$D:$D, 56)="", NA(), INDEX(Atha!$L:$L, 56))</f>
        <v>46302</v>
      </c>
      <c r="H506" t="str">
        <f t="shared" si="15"/>
        <v>Athallah (Technical Writer) - API Settlement Payment - Melakukan follow up terkait review dokumen FSD</v>
      </c>
    </row>
    <row r="507" spans="1:8" x14ac:dyDescent="0.2">
      <c r="A507" t="str">
        <f>IF(INDEX(Atha!$D:$D, 57)="", NA(), "Athallah (Technical Writer)")</f>
        <v>Athallah (Technical Writer)</v>
      </c>
      <c r="B507" t="str">
        <f>IF(INDEX(Atha!$D:$D, 57)="", NA(), INDEX(Atha!$B:$B, 57))</f>
        <v>Integrasi TCES Claim - BengkelNet</v>
      </c>
      <c r="C507" t="str">
        <f>IF(INDEX(Atha!$D:$D, 57)="", NA(), INDEX(Atha!$D:$D, 57))</f>
        <v>Mengirimkan dokumen MoM terkait pembahasan bengkel net TICS untuk pihak internal IT Tugu</v>
      </c>
      <c r="D507" t="str">
        <f>IF(INDEX(Atha!$D:$D, 57)="", NA(), INDEX(Atha!$E:$E, 57))</f>
        <v>DONE</v>
      </c>
      <c r="E507" s="13">
        <f>IF(INDEX(Atha!$D:$D, 57)="", NA(), INDEX(Atha!$K:$K, 57))</f>
        <v>46302</v>
      </c>
      <c r="F507">
        <f t="shared" si="14"/>
        <v>1</v>
      </c>
      <c r="G507" s="13">
        <f>IF(INDEX(Atha!$D:$D, 57)="", NA(), INDEX(Atha!$L:$L, 57))</f>
        <v>46302</v>
      </c>
      <c r="H507" t="str">
        <f t="shared" si="15"/>
        <v>Athallah (Technical Writer) - Integrasi TCES Claim - BengkelNet - Mengirimkan dokumen MoM terkait pembahasan bengkel net TICS untuk pihak internal IT Tugu</v>
      </c>
    </row>
    <row r="508" spans="1:8" x14ac:dyDescent="0.2">
      <c r="A508" t="str">
        <f>IF(INDEX(Atha!$D:$D, 58)="", NA(), "Athallah (Technical Writer)")</f>
        <v>Athallah (Technical Writer)</v>
      </c>
      <c r="B508" t="str">
        <f>IF(INDEX(Atha!$D:$D, 58)="", NA(), INDEX(Atha!$B:$B, 58))</f>
        <v>API Settlement Payment</v>
      </c>
      <c r="C508" t="str">
        <f>IF(INDEX(Atha!$D:$D, 58)="", NA(), INDEX(Atha!$D:$D, 58))</f>
        <v>Membuat dokumen summary terkait hasil pengujian settlement yang data nya sudah valid</v>
      </c>
      <c r="D508" t="str">
        <f>IF(INDEX(Atha!$D:$D, 58)="", NA(), INDEX(Atha!$E:$E, 58))</f>
        <v>DONE</v>
      </c>
      <c r="E508" s="13">
        <f>IF(INDEX(Atha!$D:$D, 58)="", NA(), INDEX(Atha!$K:$K, 58))</f>
        <v>46302</v>
      </c>
      <c r="F508">
        <f t="shared" si="14"/>
        <v>1</v>
      </c>
      <c r="G508" s="13">
        <f>IF(INDEX(Atha!$D:$D, 58)="", NA(), INDEX(Atha!$L:$L, 58))</f>
        <v>46302</v>
      </c>
      <c r="H508" t="str">
        <f t="shared" si="15"/>
        <v>Athallah (Technical Writer) - API Settlement Payment - Membuat dokumen summary terkait hasil pengujian settlement yang data nya sudah valid</v>
      </c>
    </row>
    <row r="509" spans="1:8" x14ac:dyDescent="0.2">
      <c r="A509" t="str">
        <f>IF(INDEX(Atha!$D:$D, 59)="", NA(), "Athallah (Technical Writer)")</f>
        <v>Athallah (Technical Writer)</v>
      </c>
      <c r="B509" t="str">
        <f>IF(INDEX(Atha!$D:$D, 59)="", NA(), INDEX(Atha!$B:$B, 59))</f>
        <v>API Settlement Payment</v>
      </c>
      <c r="C509" t="str">
        <f>IF(INDEX(Atha!$D:$D, 59)="", NA(), INDEX(Atha!$D:$D, 59))</f>
        <v>Update dan sinkronisasi dokumen TSD dengan codebase yang berjalan, termasuk penyesuaian update terkait scheduler</v>
      </c>
      <c r="D509" t="str">
        <f>IF(INDEX(Atha!$D:$D, 59)="", NA(), INDEX(Atha!$E:$E, 59))</f>
        <v>DONE</v>
      </c>
      <c r="E509" s="13">
        <f>IF(INDEX(Atha!$D:$D, 59)="", NA(), INDEX(Atha!$K:$K, 59))</f>
        <v>46303</v>
      </c>
      <c r="F509">
        <f t="shared" si="14"/>
        <v>1</v>
      </c>
      <c r="G509" s="13">
        <f>IF(INDEX(Atha!$D:$D, 59)="", NA(), INDEX(Atha!$L:$L, 59))</f>
        <v>46303</v>
      </c>
      <c r="H509" t="str">
        <f t="shared" si="15"/>
        <v>Athallah (Technical Writer) - API Settlement Payment - Update dan sinkronisasi dokumen TSD dengan codebase yang berjalan, termasuk penyesuaian update terkait scheduler</v>
      </c>
    </row>
    <row r="510" spans="1:8" x14ac:dyDescent="0.2">
      <c r="A510" t="str">
        <f>IF(INDEX(Atha!$D:$D, 60)="", NA(), "Athallah (Technical Writer)")</f>
        <v>Athallah (Technical Writer)</v>
      </c>
      <c r="B510" t="str">
        <f>IF(INDEX(Atha!$D:$D, 60)="", NA(), INDEX(Atha!$B:$B, 60))</f>
        <v>API Settlement Payment</v>
      </c>
      <c r="C510" t="str">
        <f>IF(INDEX(Atha!$D:$D, 60)="", NA(), INDEX(Atha!$D:$D, 60))</f>
        <v>Melakukan merge dokumen FSD dan TSD terkait service Integrasi TCES TICS pada modul Transaksi Polis dan Settlement Payment</v>
      </c>
      <c r="D510" t="str">
        <f>IF(INDEX(Atha!$D:$D, 60)="", NA(), INDEX(Atha!$E:$E, 60))</f>
        <v>DONE</v>
      </c>
      <c r="E510" s="13">
        <f>IF(INDEX(Atha!$D:$D, 60)="", NA(), INDEX(Atha!$K:$K, 60))</f>
        <v>46304</v>
      </c>
      <c r="F510">
        <f t="shared" si="14"/>
        <v>4</v>
      </c>
      <c r="G510" s="13">
        <f>IF(INDEX(Atha!$D:$D, 60)="", NA(), INDEX(Atha!$L:$L, 60))</f>
        <v>46308</v>
      </c>
      <c r="H510" t="str">
        <f t="shared" si="15"/>
        <v>Athallah (Technical Writer) - API Settlement Payment - Melakukan merge dokumen FSD dan TSD terkait service Integrasi TCES TICS pada modul Transaksi Polis dan Settlement Payment</v>
      </c>
    </row>
    <row r="511" spans="1:8" x14ac:dyDescent="0.2">
      <c r="A511" t="str">
        <f>IF(INDEX(Atha!$D:$D, 61)="", NA(), "Athallah (Technical Writer)")</f>
        <v>Athallah (Technical Writer)</v>
      </c>
      <c r="B511" t="str">
        <f>IF(INDEX(Atha!$D:$D, 61)="", NA(), INDEX(Atha!$B:$B, 61))</f>
        <v>Integrasi TCES TICS</v>
      </c>
      <c r="C511" t="str">
        <f>IF(INDEX(Atha!$D:$D, 61)="", NA(), INDEX(Atha!$D:$D, 61))</f>
        <v>Transfer Knowledge terkait alur dan pengoperasian TCES  ke QA</v>
      </c>
      <c r="D511" t="str">
        <f>IF(INDEX(Atha!$D:$D, 61)="", NA(), INDEX(Atha!$E:$E, 61))</f>
        <v>DONE</v>
      </c>
      <c r="E511" s="13">
        <f>IF(INDEX(Atha!$D:$D, 61)="", NA(), INDEX(Atha!$K:$K, 61))</f>
        <v>46307</v>
      </c>
      <c r="F511">
        <f t="shared" si="14"/>
        <v>1</v>
      </c>
      <c r="G511" s="13">
        <f>IF(INDEX(Atha!$D:$D, 61)="", NA(), INDEX(Atha!$L:$L, 61))</f>
        <v>46307</v>
      </c>
      <c r="H511" t="str">
        <f t="shared" si="15"/>
        <v>Athallah (Technical Writer) - Integrasi TCES TICS - Transfer Knowledge terkait alur dan pengoperasian TCES  ke QA</v>
      </c>
    </row>
    <row r="512" spans="1:8" x14ac:dyDescent="0.2">
      <c r="A512" t="str">
        <f>IF(INDEX(Atha!$D:$D, 62)="", NA(), "Athallah (Technical Writer)")</f>
        <v>Athallah (Technical Writer)</v>
      </c>
      <c r="B512" t="str">
        <f>IF(INDEX(Atha!$D:$D, 62)="", NA(), INDEX(Atha!$B:$B, 62))</f>
        <v>Integrasi TCES TICS</v>
      </c>
      <c r="C512" t="str">
        <f>IF(INDEX(Atha!$D:$D, 62)="", NA(), INDEX(Atha!$D:$D, 62))</f>
        <v>Transfer Knowledge terkait alur Integrasi TCES - TICS  ke QA</v>
      </c>
      <c r="D512" t="str">
        <f>IF(INDEX(Atha!$D:$D, 62)="", NA(), INDEX(Atha!$E:$E, 62))</f>
        <v>DONE</v>
      </c>
      <c r="E512" s="13">
        <f>IF(INDEX(Atha!$D:$D, 62)="", NA(), INDEX(Atha!$K:$K, 62))</f>
        <v>46308</v>
      </c>
      <c r="F512">
        <f t="shared" si="14"/>
        <v>1</v>
      </c>
      <c r="G512" s="13">
        <f>IF(INDEX(Atha!$D:$D, 62)="", NA(), INDEX(Atha!$L:$L, 62))</f>
        <v>46308</v>
      </c>
      <c r="H512" t="str">
        <f t="shared" si="15"/>
        <v>Athallah (Technical Writer) - Integrasi TCES TICS - Transfer Knowledge terkait alur Integrasi TCES - TICS  ke QA</v>
      </c>
    </row>
    <row r="513" spans="1:8" x14ac:dyDescent="0.2">
      <c r="A513" t="str">
        <f>IF(INDEX(Atha!$D:$D, 63)="", NA(), "Athallah (Technical Writer)")</f>
        <v>Athallah (Technical Writer)</v>
      </c>
      <c r="B513" t="str">
        <f>IF(INDEX(Atha!$D:$D, 63)="", NA(), INDEX(Atha!$B:$B, 63))</f>
        <v>Integrasi TCES TICS</v>
      </c>
      <c r="C513" t="str">
        <f>IF(INDEX(Atha!$D:$D, 63)="", NA(), INDEX(Atha!$D:$D, 63))</f>
        <v>Transfer Knowledge terkait pengujian dan validasi pada TICS  ke QA</v>
      </c>
      <c r="D513" t="str">
        <f>IF(INDEX(Atha!$D:$D, 63)="", NA(), INDEX(Atha!$E:$E, 63))</f>
        <v>DONE</v>
      </c>
      <c r="E513" s="13">
        <f>IF(INDEX(Atha!$D:$D, 63)="", NA(), INDEX(Atha!$K:$K, 63))</f>
        <v>46309</v>
      </c>
      <c r="F513">
        <f t="shared" si="14"/>
        <v>1</v>
      </c>
      <c r="G513" s="13">
        <f>IF(INDEX(Atha!$D:$D, 63)="", NA(), INDEX(Atha!$L:$L, 63))</f>
        <v>46309</v>
      </c>
      <c r="H513" t="str">
        <f t="shared" si="15"/>
        <v>Athallah (Technical Writer) - Integrasi TCES TICS - Transfer Knowledge terkait pengujian dan validasi pada TICS  ke QA</v>
      </c>
    </row>
    <row r="514" spans="1:8" x14ac:dyDescent="0.2">
      <c r="A514" t="str">
        <f>IF(INDEX(Atha!$D:$D, 64)="", NA(), "Athallah (Technical Writer)")</f>
        <v>Athallah (Technical Writer)</v>
      </c>
      <c r="B514" t="str">
        <f>IF(INDEX(Atha!$D:$D, 64)="", NA(), INDEX(Atha!$B:$B, 64))</f>
        <v>Integrasi TCES TICS</v>
      </c>
      <c r="C514" t="str">
        <f>IF(INDEX(Atha!$D:$D, 64)="", NA(), INDEX(Atha!$D:$D, 64))</f>
        <v>Update penyesuaian diagram pada dokumen FSD dan TSD agar lebih sesuai dengan sistem yang berlaku</v>
      </c>
      <c r="D514" t="str">
        <f>IF(INDEX(Atha!$D:$D, 64)="", NA(), INDEX(Atha!$E:$E, 64))</f>
        <v>DONE</v>
      </c>
      <c r="E514" s="13">
        <f>IF(INDEX(Atha!$D:$D, 64)="", NA(), INDEX(Atha!$K:$K, 64))</f>
        <v>46309</v>
      </c>
      <c r="F514">
        <f t="shared" ref="F514:F577" si="16">IF(OR(E514="", ISNA(E514), ISNA(G514)), 0, MAX(1, G514-E514))</f>
        <v>2</v>
      </c>
      <c r="G514" s="13">
        <f>IF(INDEX(Atha!$D:$D, 64)="", NA(), INDEX(Atha!$L:$L, 64))</f>
        <v>46311</v>
      </c>
      <c r="H514" t="str">
        <f t="shared" ref="H514:H577" si="17">IF(ISNA(C514), NA(), A514 &amp; " - " &amp; B514 &amp; " - " &amp; C514)</f>
        <v>Athallah (Technical Writer) - Integrasi TCES TICS - Update penyesuaian diagram pada dokumen FSD dan TSD agar lebih sesuai dengan sistem yang berlaku</v>
      </c>
    </row>
    <row r="515" spans="1:8" x14ac:dyDescent="0.2">
      <c r="A515" t="str">
        <f>IF(INDEX(Atha!$D:$D, 65)="", NA(), "Athallah (Technical Writer)")</f>
        <v>Athallah (Technical Writer)</v>
      </c>
      <c r="B515" t="str">
        <f>IF(INDEX(Atha!$D:$D, 65)="", NA(), INDEX(Atha!$B:$B, 65))</f>
        <v>Integrasi TCES TICS</v>
      </c>
      <c r="C515" t="str">
        <f>IF(INDEX(Atha!$D:$D, 65)="", NA(), INDEX(Atha!$D:$D, 65))</f>
        <v>Transfer Knowledge terkait settlement dan enforcement testing TCES TICS ke QA</v>
      </c>
      <c r="D515" t="str">
        <f>IF(INDEX(Atha!$D:$D, 65)="", NA(), INDEX(Atha!$E:$E, 65))</f>
        <v>DONE</v>
      </c>
      <c r="E515" s="13">
        <f>IF(INDEX(Atha!$D:$D, 65)="", NA(), INDEX(Atha!$K:$K, 65))</f>
        <v>46310</v>
      </c>
      <c r="F515">
        <f t="shared" si="16"/>
        <v>1</v>
      </c>
      <c r="G515" s="13">
        <f>IF(INDEX(Atha!$D:$D, 65)="", NA(), INDEX(Atha!$L:$L, 65))</f>
        <v>46310</v>
      </c>
      <c r="H515" t="str">
        <f t="shared" si="17"/>
        <v>Athallah (Technical Writer) - Integrasi TCES TICS - Transfer Knowledge terkait settlement dan enforcement testing TCES TICS ke QA</v>
      </c>
    </row>
    <row r="516" spans="1:8" x14ac:dyDescent="0.2">
      <c r="A516" t="str">
        <f>IF(INDEX(Atha!$D:$D, 66)="", NA(), "Athallah (Technical Writer)")</f>
        <v>Athallah (Technical Writer)</v>
      </c>
      <c r="B516" t="str">
        <f>IF(INDEX(Atha!$D:$D, 66)="", NA(), INDEX(Atha!$B:$B, 66))</f>
        <v>Integrasi TCES TICS</v>
      </c>
      <c r="C516" t="str">
        <f>IF(INDEX(Atha!$D:$D, 66)="", NA(), INDEX(Atha!$D:$D, 66))</f>
        <v>Finalisasi Dokumen TSD dan FSD yang teleh dimerge per service Integrasi TCES TICS</v>
      </c>
      <c r="D516" t="str">
        <f>IF(INDEX(Atha!$D:$D, 66)="", NA(), INDEX(Atha!$E:$E, 66))</f>
        <v>DONE</v>
      </c>
      <c r="E516" s="13">
        <f>IF(INDEX(Atha!$D:$D, 66)="", NA(), INDEX(Atha!$K:$K, 66))</f>
        <v>46311</v>
      </c>
      <c r="F516">
        <f t="shared" si="16"/>
        <v>1</v>
      </c>
      <c r="G516" s="13">
        <f>IF(INDEX(Atha!$D:$D, 66)="", NA(), INDEX(Atha!$L:$L, 66))</f>
        <v>46311</v>
      </c>
      <c r="H516" t="str">
        <f t="shared" si="17"/>
        <v>Athallah (Technical Writer) - Integrasi TCES TICS - Finalisasi Dokumen TSD dan FSD yang teleh dimerge per service Integrasi TCES TICS</v>
      </c>
    </row>
    <row r="517" spans="1:8" x14ac:dyDescent="0.2">
      <c r="A517" t="str">
        <f>IF(INDEX(Atha!$D:$D, 67)="", NA(), "Athallah (Technical Writer)")</f>
        <v>Athallah (Technical Writer)</v>
      </c>
      <c r="B517" t="str">
        <f>IF(INDEX(Atha!$D:$D, 67)="", NA(), INDEX(Atha!$B:$B, 67))</f>
        <v>Integrasi TCES TICS</v>
      </c>
      <c r="C517" t="str">
        <f>IF(INDEX(Atha!$D:$D, 67)="", NA(), INDEX(Atha!$D:$D, 67))</f>
        <v xml:space="preserve">Penambahan terkait alur pada dokumen oleh developer mengenai Two-Stage Batch Lookup &amp; Toleransi Transaksi Belum Terbit (Unmatched Payment ID) </v>
      </c>
      <c r="D517" t="str">
        <f>IF(INDEX(Atha!$D:$D, 67)="", NA(), INDEX(Atha!$E:$E, 67))</f>
        <v>DONE</v>
      </c>
      <c r="E517" s="13">
        <f>IF(INDEX(Atha!$D:$D, 67)="", NA(), INDEX(Atha!$K:$K, 67))</f>
        <v>46314</v>
      </c>
      <c r="F517">
        <f t="shared" si="16"/>
        <v>1</v>
      </c>
      <c r="G517" s="13">
        <f>IF(INDEX(Atha!$D:$D, 67)="", NA(), INDEX(Atha!$L:$L, 67))</f>
        <v>46314</v>
      </c>
      <c r="H517" t="str">
        <f t="shared" si="17"/>
        <v xml:space="preserve">Athallah (Technical Writer) - Integrasi TCES TICS - Penambahan terkait alur pada dokumen oleh developer mengenai Two-Stage Batch Lookup &amp; Toleransi Transaksi Belum Terbit (Unmatched Payment ID) </v>
      </c>
    </row>
    <row r="518" spans="1:8" x14ac:dyDescent="0.2">
      <c r="A518" t="str">
        <f>IF(INDEX(Atha!$D:$D, 68)="", NA(), "Athallah (Technical Writer)")</f>
        <v>Athallah (Technical Writer)</v>
      </c>
      <c r="B518" t="str">
        <f>IF(INDEX(Atha!$D:$D, 68)="", NA(), INDEX(Atha!$B:$B, 68))</f>
        <v>Staging Cloud</v>
      </c>
      <c r="C518" t="str">
        <f>IF(INDEX(Atha!$D:$D, 68)="", NA(), INDEX(Atha!$D:$D, 68))</f>
        <v>Transfer Knowledge Mengenai Alur dan Modul pada Staging Cloud</v>
      </c>
      <c r="D518" t="str">
        <f>IF(INDEX(Atha!$D:$D, 68)="", NA(), INDEX(Atha!$E:$E, 68))</f>
        <v>DONE</v>
      </c>
      <c r="E518" s="13">
        <f>IF(INDEX(Atha!$D:$D, 68)="", NA(), INDEX(Atha!$K:$K, 68))</f>
        <v>46314</v>
      </c>
      <c r="F518">
        <f t="shared" si="16"/>
        <v>1</v>
      </c>
      <c r="G518" s="13">
        <f>IF(INDEX(Atha!$D:$D, 68)="", NA(), INDEX(Atha!$L:$L, 68))</f>
        <v>46314</v>
      </c>
      <c r="H518" t="str">
        <f t="shared" si="17"/>
        <v>Athallah (Technical Writer) - Staging Cloud - Transfer Knowledge Mengenai Alur dan Modul pada Staging Cloud</v>
      </c>
    </row>
    <row r="519" spans="1:8" x14ac:dyDescent="0.2">
      <c r="A519" t="str">
        <f>IF(INDEX(Atha!$D:$D, 69)="", NA(), "Athallah (Technical Writer)")</f>
        <v>Athallah (Technical Writer)</v>
      </c>
      <c r="B519" t="str">
        <f>IF(INDEX(Atha!$D:$D, 69)="", NA(), INDEX(Atha!$B:$B, 69))</f>
        <v>TTS - ARMS</v>
      </c>
      <c r="C519" t="str">
        <f>IF(INDEX(Atha!$D:$D, 69)="", NA(), INDEX(Atha!$D:$D, 69))</f>
        <v xml:space="preserve">Transfer Knowledge Mengenai Alur terkait Tugu Ticketing System </v>
      </c>
      <c r="D519" t="str">
        <f>IF(INDEX(Atha!$D:$D, 69)="", NA(), INDEX(Atha!$E:$E, 69))</f>
        <v>DONE</v>
      </c>
      <c r="E519" s="13">
        <f>IF(INDEX(Atha!$D:$D, 69)="", NA(), INDEX(Atha!$K:$K, 69))</f>
        <v>46315</v>
      </c>
      <c r="F519">
        <f t="shared" si="16"/>
        <v>1</v>
      </c>
      <c r="G519" s="13">
        <f>IF(INDEX(Atha!$D:$D, 69)="", NA(), INDEX(Atha!$L:$L, 69))</f>
        <v>46315</v>
      </c>
      <c r="H519" t="str">
        <f t="shared" si="17"/>
        <v xml:space="preserve">Athallah (Technical Writer) - TTS - ARMS - Transfer Knowledge Mengenai Alur terkait Tugu Ticketing System </v>
      </c>
    </row>
    <row r="520" spans="1:8" x14ac:dyDescent="0.2">
      <c r="A520" t="str">
        <f>IF(INDEX(Atha!$D:$D, 70)="", NA(), "Athallah (Technical Writer)")</f>
        <v>Athallah (Technical Writer)</v>
      </c>
      <c r="B520" t="str">
        <f>IF(INDEX(Atha!$D:$D, 70)="", NA(), INDEX(Atha!$B:$B, 70))</f>
        <v>TTS - ARMS</v>
      </c>
      <c r="C520" t="str">
        <f>IF(INDEX(Atha!$D:$D, 70)="", NA(), INDEX(Atha!$D:$D, 70))</f>
        <v>Melakukan Analisa Terkait Alur TTS -ARMS dan Membuat Template Dokumen User Manual TTS - ARMS</v>
      </c>
      <c r="D520" t="str">
        <f>IF(INDEX(Atha!$D:$D, 70)="", NA(), INDEX(Atha!$E:$E, 70))</f>
        <v>DONE</v>
      </c>
      <c r="E520" s="13">
        <f>IF(INDEX(Atha!$D:$D, 70)="", NA(), INDEX(Atha!$K:$K, 70))</f>
        <v>46316</v>
      </c>
      <c r="F520">
        <f t="shared" si="16"/>
        <v>1</v>
      </c>
      <c r="G520" s="13">
        <f>IF(INDEX(Atha!$D:$D, 70)="", NA(), INDEX(Atha!$L:$L, 70))</f>
        <v>46316</v>
      </c>
      <c r="H520" t="str">
        <f t="shared" si="17"/>
        <v>Athallah (Technical Writer) - TTS - ARMS - Melakukan Analisa Terkait Alur TTS -ARMS dan Membuat Template Dokumen User Manual TTS - ARMS</v>
      </c>
    </row>
    <row r="521" spans="1:8" x14ac:dyDescent="0.2">
      <c r="A521" t="str">
        <f>IF(INDEX(Atha!$D:$D, 71)="", NA(), "Athallah (Technical Writer)")</f>
        <v>Athallah (Technical Writer)</v>
      </c>
      <c r="B521" t="str">
        <f>IF(INDEX(Atha!$D:$D, 71)="", NA(), INDEX(Atha!$B:$B, 71))</f>
        <v>Integrasi TCES Claim - BengkelNet</v>
      </c>
      <c r="C521" t="str">
        <f>IF(INDEX(Atha!$D:$D, 71)="", NA(), INDEX(Atha!$D:$D, 71))</f>
        <v>Membuat Dokumen Spesifikasi API - Check Policy untuk panduan developer</v>
      </c>
      <c r="D521" t="str">
        <f>IF(INDEX(Atha!$D:$D, 71)="", NA(), INDEX(Atha!$E:$E, 71))</f>
        <v>DONE</v>
      </c>
      <c r="E521" s="13">
        <f>IF(INDEX(Atha!$D:$D, 71)="", NA(), INDEX(Atha!$K:$K, 71))</f>
        <v>46317</v>
      </c>
      <c r="F521">
        <f t="shared" si="16"/>
        <v>1</v>
      </c>
      <c r="G521" s="13">
        <f>IF(INDEX(Atha!$D:$D, 71)="", NA(), INDEX(Atha!$L:$L, 71))</f>
        <v>46317</v>
      </c>
      <c r="H521" t="str">
        <f t="shared" si="17"/>
        <v>Athallah (Technical Writer) - Integrasi TCES Claim - BengkelNet - Membuat Dokumen Spesifikasi API - Check Policy untuk panduan developer</v>
      </c>
    </row>
    <row r="522" spans="1:8" x14ac:dyDescent="0.2">
      <c r="A522" t="str">
        <f>IF(INDEX(Atha!$D:$D, 72)="", NA(), "Athallah (Technical Writer)")</f>
        <v>Athallah (Technical Writer)</v>
      </c>
      <c r="B522" t="str">
        <f>IF(INDEX(Atha!$D:$D, 72)="", NA(), INDEX(Atha!$B:$B, 72))</f>
        <v>TTS - ARMS</v>
      </c>
      <c r="C522" t="str">
        <f>IF(INDEX(Atha!$D:$D, 72)="", NA(), INDEX(Atha!$D:$D, 72))</f>
        <v>Menganalisa dan menambahkan list temuan terkait permasalahan/kebutuhan pada TTS -ARMS</v>
      </c>
      <c r="D522" t="str">
        <f>IF(INDEX(Atha!$D:$D, 72)="", NA(), INDEX(Atha!$E:$E, 72))</f>
        <v>IN_PROGRESS</v>
      </c>
      <c r="E522" s="13">
        <f>IF(INDEX(Atha!$D:$D, 72)="", NA(), INDEX(Atha!$K:$K, 72))</f>
        <v>46317</v>
      </c>
      <c r="F522">
        <f t="shared" si="16"/>
        <v>8</v>
      </c>
      <c r="G522" s="13">
        <f>IF(INDEX(Atha!$D:$D, 72)="", NA(), INDEX(Atha!$L:$L, 72))</f>
        <v>46325</v>
      </c>
      <c r="H522" t="str">
        <f t="shared" si="17"/>
        <v>Athallah (Technical Writer) - TTS - ARMS - Menganalisa dan menambahkan list temuan terkait permasalahan/kebutuhan pada TTS -ARMS</v>
      </c>
    </row>
    <row r="523" spans="1:8" x14ac:dyDescent="0.2">
      <c r="A523" t="str">
        <f>IF(INDEX(Atha!$D:$D, 73)="", NA(), "Athallah (Technical Writer)")</f>
        <v>Athallah (Technical Writer)</v>
      </c>
      <c r="B523" t="str">
        <f>IF(INDEX(Atha!$D:$D, 73)="", NA(), INDEX(Atha!$B:$B, 73))</f>
        <v>TTS - ARMS</v>
      </c>
      <c r="C523" t="str">
        <f>IF(INDEX(Atha!$D:$D, 73)="", NA(), INDEX(Atha!$D:$D, 73))</f>
        <v>Membuat Template User Manual TTS - ARMS</v>
      </c>
      <c r="D523" t="str">
        <f>IF(INDEX(Atha!$D:$D, 73)="", NA(), INDEX(Atha!$E:$E, 73))</f>
        <v>DONE</v>
      </c>
      <c r="E523" s="13">
        <f>IF(INDEX(Atha!$D:$D, 73)="", NA(), INDEX(Atha!$K:$K, 73))</f>
        <v>46317</v>
      </c>
      <c r="F523">
        <f t="shared" si="16"/>
        <v>1</v>
      </c>
      <c r="G523" s="13">
        <f>IF(INDEX(Atha!$D:$D, 73)="", NA(), INDEX(Atha!$L:$L, 73))</f>
        <v>46317</v>
      </c>
      <c r="H523" t="str">
        <f t="shared" si="17"/>
        <v>Athallah (Technical Writer) - TTS - ARMS - Membuat Template User Manual TTS - ARMS</v>
      </c>
    </row>
    <row r="524" spans="1:8" x14ac:dyDescent="0.2">
      <c r="A524" t="str">
        <f>IF(INDEX(Atha!$D:$D, 74)="", NA(), "Athallah (Technical Writer)")</f>
        <v>Athallah (Technical Writer)</v>
      </c>
      <c r="B524" t="str">
        <f>IF(INDEX(Atha!$D:$D, 74)="", NA(), INDEX(Atha!$B:$B, 74))</f>
        <v>TTS - ARMS</v>
      </c>
      <c r="C524" t="str">
        <f>IF(INDEX(Atha!$D:$D, 74)="", NA(), INDEX(Atha!$D:$D, 74))</f>
        <v>Melakukan Meeting Progress dan Penjelasan Mengenai Project TTS - ARMS bersama stakeholder</v>
      </c>
      <c r="D524" t="str">
        <f>IF(INDEX(Atha!$D:$D, 74)="", NA(), INDEX(Atha!$E:$E, 74))</f>
        <v>DONE</v>
      </c>
      <c r="E524" s="13">
        <f>IF(INDEX(Atha!$D:$D, 74)="", NA(), INDEX(Atha!$K:$K, 74))</f>
        <v>46318</v>
      </c>
      <c r="F524">
        <f t="shared" si="16"/>
        <v>1</v>
      </c>
      <c r="G524" s="13">
        <f>IF(INDEX(Atha!$D:$D, 74)="", NA(), INDEX(Atha!$L:$L, 74))</f>
        <v>46318</v>
      </c>
      <c r="H524" t="str">
        <f t="shared" si="17"/>
        <v>Athallah (Technical Writer) - TTS - ARMS - Melakukan Meeting Progress dan Penjelasan Mengenai Project TTS - ARMS bersama stakeholder</v>
      </c>
    </row>
    <row r="525" spans="1:8" x14ac:dyDescent="0.2">
      <c r="A525" t="e">
        <f>IF(INDEX(Atha!$D:$D, 75)="", NA(), "Athallah (Technical Writer)")</f>
        <v>#N/A</v>
      </c>
      <c r="B525" t="e">
        <f>IF(INDEX(Atha!$D:$D, 75)="", NA(), INDEX(Atha!$B:$B, 75))</f>
        <v>#N/A</v>
      </c>
      <c r="C525" t="e">
        <f>IF(INDEX(Atha!$D:$D, 75)="", NA(), INDEX(Atha!$D:$D, 75))</f>
        <v>#N/A</v>
      </c>
      <c r="D525" t="e">
        <f>IF(INDEX(Atha!$D:$D, 75)="", NA(), INDEX(Atha!$E:$E, 75))</f>
        <v>#N/A</v>
      </c>
      <c r="E525" s="13" t="e">
        <f>IF(INDEX(Atha!$D:$D, 75)="", NA(), INDEX(Atha!$K:$K, 75))</f>
        <v>#N/A</v>
      </c>
      <c r="F525" t="e">
        <f t="shared" si="16"/>
        <v>#N/A</v>
      </c>
      <c r="G525" s="13" t="e">
        <f>IF(INDEX(Atha!$D:$D, 75)="", NA(), INDEX(Atha!$L:$L, 75))</f>
        <v>#N/A</v>
      </c>
      <c r="H525" t="e">
        <f t="shared" si="17"/>
        <v>#N/A</v>
      </c>
    </row>
    <row r="526" spans="1:8" x14ac:dyDescent="0.2">
      <c r="A526" t="e">
        <f>IF(INDEX(Atha!$D:$D, 76)="", NA(), "Athallah (Technical Writer)")</f>
        <v>#N/A</v>
      </c>
      <c r="B526" t="e">
        <f>IF(INDEX(Atha!$D:$D, 76)="", NA(), INDEX(Atha!$B:$B, 76))</f>
        <v>#N/A</v>
      </c>
      <c r="C526" t="e">
        <f>IF(INDEX(Atha!$D:$D, 76)="", NA(), INDEX(Atha!$D:$D, 76))</f>
        <v>#N/A</v>
      </c>
      <c r="D526" t="e">
        <f>IF(INDEX(Atha!$D:$D, 76)="", NA(), INDEX(Atha!$E:$E, 76))</f>
        <v>#N/A</v>
      </c>
      <c r="E526" s="13" t="e">
        <f>IF(INDEX(Atha!$D:$D, 76)="", NA(), INDEX(Atha!$K:$K, 76))</f>
        <v>#N/A</v>
      </c>
      <c r="F526" t="e">
        <f t="shared" si="16"/>
        <v>#N/A</v>
      </c>
      <c r="G526" s="13" t="e">
        <f>IF(INDEX(Atha!$D:$D, 76)="", NA(), INDEX(Atha!$L:$L, 76))</f>
        <v>#N/A</v>
      </c>
      <c r="H526" t="e">
        <f t="shared" si="17"/>
        <v>#N/A</v>
      </c>
    </row>
    <row r="527" spans="1:8" x14ac:dyDescent="0.2">
      <c r="A527" t="e">
        <f>IF(INDEX(Atha!$D:$D, 77)="", NA(), "Athallah (Technical Writer)")</f>
        <v>#N/A</v>
      </c>
      <c r="B527" t="e">
        <f>IF(INDEX(Atha!$D:$D, 77)="", NA(), INDEX(Atha!$B:$B, 77))</f>
        <v>#N/A</v>
      </c>
      <c r="C527" t="e">
        <f>IF(INDEX(Atha!$D:$D, 77)="", NA(), INDEX(Atha!$D:$D, 77))</f>
        <v>#N/A</v>
      </c>
      <c r="D527" t="e">
        <f>IF(INDEX(Atha!$D:$D, 77)="", NA(), INDEX(Atha!$E:$E, 77))</f>
        <v>#N/A</v>
      </c>
      <c r="E527" s="13" t="e">
        <f>IF(INDEX(Atha!$D:$D, 77)="", NA(), INDEX(Atha!$K:$K, 77))</f>
        <v>#N/A</v>
      </c>
      <c r="F527" t="e">
        <f t="shared" si="16"/>
        <v>#N/A</v>
      </c>
      <c r="G527" s="13" t="e">
        <f>IF(INDEX(Atha!$D:$D, 77)="", NA(), INDEX(Atha!$L:$L, 77))</f>
        <v>#N/A</v>
      </c>
      <c r="H527" t="e">
        <f t="shared" si="17"/>
        <v>#N/A</v>
      </c>
    </row>
    <row r="528" spans="1:8" x14ac:dyDescent="0.2">
      <c r="A528" t="e">
        <f>IF(INDEX(Atha!$D:$D, 78)="", NA(), "Athallah (Technical Writer)")</f>
        <v>#N/A</v>
      </c>
      <c r="B528" t="e">
        <f>IF(INDEX(Atha!$D:$D, 78)="", NA(), INDEX(Atha!$B:$B, 78))</f>
        <v>#N/A</v>
      </c>
      <c r="C528" t="e">
        <f>IF(INDEX(Atha!$D:$D, 78)="", NA(), INDEX(Atha!$D:$D, 78))</f>
        <v>#N/A</v>
      </c>
      <c r="D528" t="e">
        <f>IF(INDEX(Atha!$D:$D, 78)="", NA(), INDEX(Atha!$E:$E, 78))</f>
        <v>#N/A</v>
      </c>
      <c r="E528" s="13" t="e">
        <f>IF(INDEX(Atha!$D:$D, 78)="", NA(), INDEX(Atha!$K:$K, 78))</f>
        <v>#N/A</v>
      </c>
      <c r="F528" t="e">
        <f t="shared" si="16"/>
        <v>#N/A</v>
      </c>
      <c r="G528" s="13" t="e">
        <f>IF(INDEX(Atha!$D:$D, 78)="", NA(), INDEX(Atha!$L:$L, 78))</f>
        <v>#N/A</v>
      </c>
      <c r="H528" t="e">
        <f t="shared" si="17"/>
        <v>#N/A</v>
      </c>
    </row>
    <row r="529" spans="1:8" x14ac:dyDescent="0.2">
      <c r="A529" t="e">
        <f>IF(INDEX(Atha!$D:$D, 79)="", NA(), "Athallah (Technical Writer)")</f>
        <v>#N/A</v>
      </c>
      <c r="B529" t="e">
        <f>IF(INDEX(Atha!$D:$D, 79)="", NA(), INDEX(Atha!$B:$B, 79))</f>
        <v>#N/A</v>
      </c>
      <c r="C529" t="e">
        <f>IF(INDEX(Atha!$D:$D, 79)="", NA(), INDEX(Atha!$D:$D, 79))</f>
        <v>#N/A</v>
      </c>
      <c r="D529" t="e">
        <f>IF(INDEX(Atha!$D:$D, 79)="", NA(), INDEX(Atha!$E:$E, 79))</f>
        <v>#N/A</v>
      </c>
      <c r="E529" s="13" t="e">
        <f>IF(INDEX(Atha!$D:$D, 79)="", NA(), INDEX(Atha!$K:$K, 79))</f>
        <v>#N/A</v>
      </c>
      <c r="F529" t="e">
        <f t="shared" si="16"/>
        <v>#N/A</v>
      </c>
      <c r="G529" s="13" t="e">
        <f>IF(INDEX(Atha!$D:$D, 79)="", NA(), INDEX(Atha!$L:$L, 79))</f>
        <v>#N/A</v>
      </c>
      <c r="H529" t="e">
        <f t="shared" si="17"/>
        <v>#N/A</v>
      </c>
    </row>
    <row r="530" spans="1:8" x14ac:dyDescent="0.2">
      <c r="A530" t="e">
        <f>IF(INDEX(Atha!$D:$D, 80)="", NA(), "Athallah (Technical Writer)")</f>
        <v>#N/A</v>
      </c>
      <c r="B530" t="e">
        <f>IF(INDEX(Atha!$D:$D, 80)="", NA(), INDEX(Atha!$B:$B, 80))</f>
        <v>#N/A</v>
      </c>
      <c r="C530" t="e">
        <f>IF(INDEX(Atha!$D:$D, 80)="", NA(), INDEX(Atha!$D:$D, 80))</f>
        <v>#N/A</v>
      </c>
      <c r="D530" t="e">
        <f>IF(INDEX(Atha!$D:$D, 80)="", NA(), INDEX(Atha!$E:$E, 80))</f>
        <v>#N/A</v>
      </c>
      <c r="E530" s="13" t="e">
        <f>IF(INDEX(Atha!$D:$D, 80)="", NA(), INDEX(Atha!$K:$K, 80))</f>
        <v>#N/A</v>
      </c>
      <c r="F530" t="e">
        <f t="shared" si="16"/>
        <v>#N/A</v>
      </c>
      <c r="G530" s="13" t="e">
        <f>IF(INDEX(Atha!$D:$D, 80)="", NA(), INDEX(Atha!$L:$L, 80))</f>
        <v>#N/A</v>
      </c>
      <c r="H530" t="e">
        <f t="shared" si="17"/>
        <v>#N/A</v>
      </c>
    </row>
    <row r="531" spans="1:8" x14ac:dyDescent="0.2">
      <c r="A531" t="e">
        <f>IF(INDEX(Atha!$D:$D, 81)="", NA(), "Athallah (Technical Writer)")</f>
        <v>#N/A</v>
      </c>
      <c r="B531" t="e">
        <f>IF(INDEX(Atha!$D:$D, 81)="", NA(), INDEX(Atha!$B:$B, 81))</f>
        <v>#N/A</v>
      </c>
      <c r="C531" t="e">
        <f>IF(INDEX(Atha!$D:$D, 81)="", NA(), INDEX(Atha!$D:$D, 81))</f>
        <v>#N/A</v>
      </c>
      <c r="D531" t="e">
        <f>IF(INDEX(Atha!$D:$D, 81)="", NA(), INDEX(Atha!$E:$E, 81))</f>
        <v>#N/A</v>
      </c>
      <c r="E531" s="13" t="e">
        <f>IF(INDEX(Atha!$D:$D, 81)="", NA(), INDEX(Atha!$K:$K, 81))</f>
        <v>#N/A</v>
      </c>
      <c r="F531" t="e">
        <f t="shared" si="16"/>
        <v>#N/A</v>
      </c>
      <c r="G531" s="13" t="e">
        <f>IF(INDEX(Atha!$D:$D, 81)="", NA(), INDEX(Atha!$L:$L, 81))</f>
        <v>#N/A</v>
      </c>
      <c r="H531" t="e">
        <f t="shared" si="17"/>
        <v>#N/A</v>
      </c>
    </row>
    <row r="532" spans="1:8" x14ac:dyDescent="0.2">
      <c r="A532" t="e">
        <f>IF(INDEX(Atha!$D:$D, 82)="", NA(), "Athallah (Technical Writer)")</f>
        <v>#N/A</v>
      </c>
      <c r="B532" t="e">
        <f>IF(INDEX(Atha!$D:$D, 82)="", NA(), INDEX(Atha!$B:$B, 82))</f>
        <v>#N/A</v>
      </c>
      <c r="C532" t="e">
        <f>IF(INDEX(Atha!$D:$D, 82)="", NA(), INDEX(Atha!$D:$D, 82))</f>
        <v>#N/A</v>
      </c>
      <c r="D532" t="e">
        <f>IF(INDEX(Atha!$D:$D, 82)="", NA(), INDEX(Atha!$E:$E, 82))</f>
        <v>#N/A</v>
      </c>
      <c r="E532" s="13" t="e">
        <f>IF(INDEX(Atha!$D:$D, 82)="", NA(), INDEX(Atha!$K:$K, 82))</f>
        <v>#N/A</v>
      </c>
      <c r="F532" t="e">
        <f t="shared" si="16"/>
        <v>#N/A</v>
      </c>
      <c r="G532" s="13" t="e">
        <f>IF(INDEX(Atha!$D:$D, 82)="", NA(), INDEX(Atha!$L:$L, 82))</f>
        <v>#N/A</v>
      </c>
      <c r="H532" t="e">
        <f t="shared" si="17"/>
        <v>#N/A</v>
      </c>
    </row>
    <row r="533" spans="1:8" x14ac:dyDescent="0.2">
      <c r="A533" t="e">
        <f>IF(INDEX(Atha!$D:$D, 83)="", NA(), "Athallah (Technical Writer)")</f>
        <v>#N/A</v>
      </c>
      <c r="B533" t="e">
        <f>IF(INDEX(Atha!$D:$D, 83)="", NA(), INDEX(Atha!$B:$B, 83))</f>
        <v>#N/A</v>
      </c>
      <c r="C533" t="e">
        <f>IF(INDEX(Atha!$D:$D, 83)="", NA(), INDEX(Atha!$D:$D, 83))</f>
        <v>#N/A</v>
      </c>
      <c r="D533" t="e">
        <f>IF(INDEX(Atha!$D:$D, 83)="", NA(), INDEX(Atha!$E:$E, 83))</f>
        <v>#N/A</v>
      </c>
      <c r="E533" s="13" t="e">
        <f>IF(INDEX(Atha!$D:$D, 83)="", NA(), INDEX(Atha!$K:$K, 83))</f>
        <v>#N/A</v>
      </c>
      <c r="F533" t="e">
        <f t="shared" si="16"/>
        <v>#N/A</v>
      </c>
      <c r="G533" s="13" t="e">
        <f>IF(INDEX(Atha!$D:$D, 83)="", NA(), INDEX(Atha!$L:$L, 83))</f>
        <v>#N/A</v>
      </c>
      <c r="H533" t="e">
        <f t="shared" si="17"/>
        <v>#N/A</v>
      </c>
    </row>
    <row r="534" spans="1:8" x14ac:dyDescent="0.2">
      <c r="A534" t="e">
        <f>IF(INDEX(Atha!$D:$D, 84)="", NA(), "Athallah (Technical Writer)")</f>
        <v>#N/A</v>
      </c>
      <c r="B534" t="e">
        <f>IF(INDEX(Atha!$D:$D, 84)="", NA(), INDEX(Atha!$B:$B, 84))</f>
        <v>#N/A</v>
      </c>
      <c r="C534" t="e">
        <f>IF(INDEX(Atha!$D:$D, 84)="", NA(), INDEX(Atha!$D:$D, 84))</f>
        <v>#N/A</v>
      </c>
      <c r="D534" t="e">
        <f>IF(INDEX(Atha!$D:$D, 84)="", NA(), INDEX(Atha!$E:$E, 84))</f>
        <v>#N/A</v>
      </c>
      <c r="E534" s="13" t="e">
        <f>IF(INDEX(Atha!$D:$D, 84)="", NA(), INDEX(Atha!$K:$K, 84))</f>
        <v>#N/A</v>
      </c>
      <c r="F534" t="e">
        <f t="shared" si="16"/>
        <v>#N/A</v>
      </c>
      <c r="G534" s="13" t="e">
        <f>IF(INDEX(Atha!$D:$D, 84)="", NA(), INDEX(Atha!$L:$L, 84))</f>
        <v>#N/A</v>
      </c>
      <c r="H534" t="e">
        <f t="shared" si="17"/>
        <v>#N/A</v>
      </c>
    </row>
    <row r="535" spans="1:8" x14ac:dyDescent="0.2">
      <c r="A535" t="e">
        <f>IF(INDEX(Atha!$D:$D, 85)="", NA(), "Athallah (Technical Writer)")</f>
        <v>#N/A</v>
      </c>
      <c r="B535" t="e">
        <f>IF(INDEX(Atha!$D:$D, 85)="", NA(), INDEX(Atha!$B:$B, 85))</f>
        <v>#N/A</v>
      </c>
      <c r="C535" t="e">
        <f>IF(INDEX(Atha!$D:$D, 85)="", NA(), INDEX(Atha!$D:$D, 85))</f>
        <v>#N/A</v>
      </c>
      <c r="D535" t="e">
        <f>IF(INDEX(Atha!$D:$D, 85)="", NA(), INDEX(Atha!$E:$E, 85))</f>
        <v>#N/A</v>
      </c>
      <c r="E535" s="13" t="e">
        <f>IF(INDEX(Atha!$D:$D, 85)="", NA(), INDEX(Atha!$K:$K, 85))</f>
        <v>#N/A</v>
      </c>
      <c r="F535" t="e">
        <f t="shared" si="16"/>
        <v>#N/A</v>
      </c>
      <c r="G535" s="13" t="e">
        <f>IF(INDEX(Atha!$D:$D, 85)="", NA(), INDEX(Atha!$L:$L, 85))</f>
        <v>#N/A</v>
      </c>
      <c r="H535" t="e">
        <f t="shared" si="17"/>
        <v>#N/A</v>
      </c>
    </row>
    <row r="536" spans="1:8" x14ac:dyDescent="0.2">
      <c r="A536" t="e">
        <f>IF(INDEX(Atha!$D:$D, 86)="", NA(), "Athallah (Technical Writer)")</f>
        <v>#N/A</v>
      </c>
      <c r="B536" t="e">
        <f>IF(INDEX(Atha!$D:$D, 86)="", NA(), INDEX(Atha!$B:$B, 86))</f>
        <v>#N/A</v>
      </c>
      <c r="C536" t="e">
        <f>IF(INDEX(Atha!$D:$D, 86)="", NA(), INDEX(Atha!$D:$D, 86))</f>
        <v>#N/A</v>
      </c>
      <c r="D536" t="e">
        <f>IF(INDEX(Atha!$D:$D, 86)="", NA(), INDEX(Atha!$E:$E, 86))</f>
        <v>#N/A</v>
      </c>
      <c r="E536" s="13" t="e">
        <f>IF(INDEX(Atha!$D:$D, 86)="", NA(), INDEX(Atha!$K:$K, 86))</f>
        <v>#N/A</v>
      </c>
      <c r="F536" t="e">
        <f t="shared" si="16"/>
        <v>#N/A</v>
      </c>
      <c r="G536" s="13" t="e">
        <f>IF(INDEX(Atha!$D:$D, 86)="", NA(), INDEX(Atha!$L:$L, 86))</f>
        <v>#N/A</v>
      </c>
      <c r="H536" t="e">
        <f t="shared" si="17"/>
        <v>#N/A</v>
      </c>
    </row>
    <row r="537" spans="1:8" x14ac:dyDescent="0.2">
      <c r="A537" t="e">
        <f>IF(INDEX(Atha!$D:$D, 87)="", NA(), "Athallah (Technical Writer)")</f>
        <v>#N/A</v>
      </c>
      <c r="B537" t="e">
        <f>IF(INDEX(Atha!$D:$D, 87)="", NA(), INDEX(Atha!$B:$B, 87))</f>
        <v>#N/A</v>
      </c>
      <c r="C537" t="e">
        <f>IF(INDEX(Atha!$D:$D, 87)="", NA(), INDEX(Atha!$D:$D, 87))</f>
        <v>#N/A</v>
      </c>
      <c r="D537" t="e">
        <f>IF(INDEX(Atha!$D:$D, 87)="", NA(), INDEX(Atha!$E:$E, 87))</f>
        <v>#N/A</v>
      </c>
      <c r="E537" s="13" t="e">
        <f>IF(INDEX(Atha!$D:$D, 87)="", NA(), INDEX(Atha!$K:$K, 87))</f>
        <v>#N/A</v>
      </c>
      <c r="F537" t="e">
        <f t="shared" si="16"/>
        <v>#N/A</v>
      </c>
      <c r="G537" s="13" t="e">
        <f>IF(INDEX(Atha!$D:$D, 87)="", NA(), INDEX(Atha!$L:$L, 87))</f>
        <v>#N/A</v>
      </c>
      <c r="H537" t="e">
        <f t="shared" si="17"/>
        <v>#N/A</v>
      </c>
    </row>
    <row r="538" spans="1:8" x14ac:dyDescent="0.2">
      <c r="A538" t="e">
        <f>IF(INDEX(Atha!$D:$D, 88)="", NA(), "Athallah (Technical Writer)")</f>
        <v>#N/A</v>
      </c>
      <c r="B538" t="e">
        <f>IF(INDEX(Atha!$D:$D, 88)="", NA(), INDEX(Atha!$B:$B, 88))</f>
        <v>#N/A</v>
      </c>
      <c r="C538" t="e">
        <f>IF(INDEX(Atha!$D:$D, 88)="", NA(), INDEX(Atha!$D:$D, 88))</f>
        <v>#N/A</v>
      </c>
      <c r="D538" t="e">
        <f>IF(INDEX(Atha!$D:$D, 88)="", NA(), INDEX(Atha!$E:$E, 88))</f>
        <v>#N/A</v>
      </c>
      <c r="E538" s="13" t="e">
        <f>IF(INDEX(Atha!$D:$D, 88)="", NA(), INDEX(Atha!$K:$K, 88))</f>
        <v>#N/A</v>
      </c>
      <c r="F538" t="e">
        <f t="shared" si="16"/>
        <v>#N/A</v>
      </c>
      <c r="G538" s="13" t="e">
        <f>IF(INDEX(Atha!$D:$D, 88)="", NA(), INDEX(Atha!$L:$L, 88))</f>
        <v>#N/A</v>
      </c>
      <c r="H538" t="e">
        <f t="shared" si="17"/>
        <v>#N/A</v>
      </c>
    </row>
    <row r="539" spans="1:8" x14ac:dyDescent="0.2">
      <c r="A539" t="e">
        <f>IF(INDEX(Atha!$D:$D, 89)="", NA(), "Athallah (Technical Writer)")</f>
        <v>#N/A</v>
      </c>
      <c r="B539" t="e">
        <f>IF(INDEX(Atha!$D:$D, 89)="", NA(), INDEX(Atha!$B:$B, 89))</f>
        <v>#N/A</v>
      </c>
      <c r="C539" t="e">
        <f>IF(INDEX(Atha!$D:$D, 89)="", NA(), INDEX(Atha!$D:$D, 89))</f>
        <v>#N/A</v>
      </c>
      <c r="D539" t="e">
        <f>IF(INDEX(Atha!$D:$D, 89)="", NA(), INDEX(Atha!$E:$E, 89))</f>
        <v>#N/A</v>
      </c>
      <c r="E539" s="13" t="e">
        <f>IF(INDEX(Atha!$D:$D, 89)="", NA(), INDEX(Atha!$K:$K, 89))</f>
        <v>#N/A</v>
      </c>
      <c r="F539" t="e">
        <f t="shared" si="16"/>
        <v>#N/A</v>
      </c>
      <c r="G539" s="13" t="e">
        <f>IF(INDEX(Atha!$D:$D, 89)="", NA(), INDEX(Atha!$L:$L, 89))</f>
        <v>#N/A</v>
      </c>
      <c r="H539" t="e">
        <f t="shared" si="17"/>
        <v>#N/A</v>
      </c>
    </row>
    <row r="540" spans="1:8" x14ac:dyDescent="0.2">
      <c r="A540" t="e">
        <f>IF(INDEX(Atha!$D:$D, 90)="", NA(), "Athallah (Technical Writer)")</f>
        <v>#N/A</v>
      </c>
      <c r="B540" t="e">
        <f>IF(INDEX(Atha!$D:$D, 90)="", NA(), INDEX(Atha!$B:$B, 90))</f>
        <v>#N/A</v>
      </c>
      <c r="C540" t="e">
        <f>IF(INDEX(Atha!$D:$D, 90)="", NA(), INDEX(Atha!$D:$D, 90))</f>
        <v>#N/A</v>
      </c>
      <c r="D540" t="e">
        <f>IF(INDEX(Atha!$D:$D, 90)="", NA(), INDEX(Atha!$E:$E, 90))</f>
        <v>#N/A</v>
      </c>
      <c r="E540" s="13" t="e">
        <f>IF(INDEX(Atha!$D:$D, 90)="", NA(), INDEX(Atha!$K:$K, 90))</f>
        <v>#N/A</v>
      </c>
      <c r="F540" t="e">
        <f t="shared" si="16"/>
        <v>#N/A</v>
      </c>
      <c r="G540" s="13" t="e">
        <f>IF(INDEX(Atha!$D:$D, 90)="", NA(), INDEX(Atha!$L:$L, 90))</f>
        <v>#N/A</v>
      </c>
      <c r="H540" t="e">
        <f t="shared" si="17"/>
        <v>#N/A</v>
      </c>
    </row>
    <row r="541" spans="1:8" x14ac:dyDescent="0.2">
      <c r="A541" t="e">
        <f>IF(INDEX(Atha!$D:$D, 91)="", NA(), "Athallah (Technical Writer)")</f>
        <v>#N/A</v>
      </c>
      <c r="B541" t="e">
        <f>IF(INDEX(Atha!$D:$D, 91)="", NA(), INDEX(Atha!$B:$B, 91))</f>
        <v>#N/A</v>
      </c>
      <c r="C541" t="e">
        <f>IF(INDEX(Atha!$D:$D, 91)="", NA(), INDEX(Atha!$D:$D, 91))</f>
        <v>#N/A</v>
      </c>
      <c r="D541" t="e">
        <f>IF(INDEX(Atha!$D:$D, 91)="", NA(), INDEX(Atha!$E:$E, 91))</f>
        <v>#N/A</v>
      </c>
      <c r="E541" s="13" t="e">
        <f>IF(INDEX(Atha!$D:$D, 91)="", NA(), INDEX(Atha!$K:$K, 91))</f>
        <v>#N/A</v>
      </c>
      <c r="F541" t="e">
        <f t="shared" si="16"/>
        <v>#N/A</v>
      </c>
      <c r="G541" s="13" t="e">
        <f>IF(INDEX(Atha!$D:$D, 91)="", NA(), INDEX(Atha!$L:$L, 91))</f>
        <v>#N/A</v>
      </c>
      <c r="H541" t="e">
        <f t="shared" si="17"/>
        <v>#N/A</v>
      </c>
    </row>
    <row r="542" spans="1:8" x14ac:dyDescent="0.2">
      <c r="A542" t="e">
        <f>IF(INDEX(Atha!$D:$D, 92)="", NA(), "Athallah (Technical Writer)")</f>
        <v>#N/A</v>
      </c>
      <c r="B542" t="e">
        <f>IF(INDEX(Atha!$D:$D, 92)="", NA(), INDEX(Atha!$B:$B, 92))</f>
        <v>#N/A</v>
      </c>
      <c r="C542" t="e">
        <f>IF(INDEX(Atha!$D:$D, 92)="", NA(), INDEX(Atha!$D:$D, 92))</f>
        <v>#N/A</v>
      </c>
      <c r="D542" t="e">
        <f>IF(INDEX(Atha!$D:$D, 92)="", NA(), INDEX(Atha!$E:$E, 92))</f>
        <v>#N/A</v>
      </c>
      <c r="E542" s="13" t="e">
        <f>IF(INDEX(Atha!$D:$D, 92)="", NA(), INDEX(Atha!$K:$K, 92))</f>
        <v>#N/A</v>
      </c>
      <c r="F542" t="e">
        <f t="shared" si="16"/>
        <v>#N/A</v>
      </c>
      <c r="G542" s="13" t="e">
        <f>IF(INDEX(Atha!$D:$D, 92)="", NA(), INDEX(Atha!$L:$L, 92))</f>
        <v>#N/A</v>
      </c>
      <c r="H542" t="e">
        <f t="shared" si="17"/>
        <v>#N/A</v>
      </c>
    </row>
    <row r="543" spans="1:8" x14ac:dyDescent="0.2">
      <c r="A543" t="e">
        <f>IF(INDEX(Atha!$D:$D, 93)="", NA(), "Athallah (Technical Writer)")</f>
        <v>#N/A</v>
      </c>
      <c r="B543" t="e">
        <f>IF(INDEX(Atha!$D:$D, 93)="", NA(), INDEX(Atha!$B:$B, 93))</f>
        <v>#N/A</v>
      </c>
      <c r="C543" t="e">
        <f>IF(INDEX(Atha!$D:$D, 93)="", NA(), INDEX(Atha!$D:$D, 93))</f>
        <v>#N/A</v>
      </c>
      <c r="D543" t="e">
        <f>IF(INDEX(Atha!$D:$D, 93)="", NA(), INDEX(Atha!$E:$E, 93))</f>
        <v>#N/A</v>
      </c>
      <c r="E543" s="13" t="e">
        <f>IF(INDEX(Atha!$D:$D, 93)="", NA(), INDEX(Atha!$K:$K, 93))</f>
        <v>#N/A</v>
      </c>
      <c r="F543" t="e">
        <f t="shared" si="16"/>
        <v>#N/A</v>
      </c>
      <c r="G543" s="13" t="e">
        <f>IF(INDEX(Atha!$D:$D, 93)="", NA(), INDEX(Atha!$L:$L, 93))</f>
        <v>#N/A</v>
      </c>
      <c r="H543" t="e">
        <f t="shared" si="17"/>
        <v>#N/A</v>
      </c>
    </row>
    <row r="544" spans="1:8" x14ac:dyDescent="0.2">
      <c r="A544" t="e">
        <f>IF(INDEX(Atha!$D:$D, 94)="", NA(), "Athallah (Technical Writer)")</f>
        <v>#N/A</v>
      </c>
      <c r="B544" t="e">
        <f>IF(INDEX(Atha!$D:$D, 94)="", NA(), INDEX(Atha!$B:$B, 94))</f>
        <v>#N/A</v>
      </c>
      <c r="C544" t="e">
        <f>IF(INDEX(Atha!$D:$D, 94)="", NA(), INDEX(Atha!$D:$D, 94))</f>
        <v>#N/A</v>
      </c>
      <c r="D544" t="e">
        <f>IF(INDEX(Atha!$D:$D, 94)="", NA(), INDEX(Atha!$E:$E, 94))</f>
        <v>#N/A</v>
      </c>
      <c r="E544" s="13" t="e">
        <f>IF(INDEX(Atha!$D:$D, 94)="", NA(), INDEX(Atha!$K:$K, 94))</f>
        <v>#N/A</v>
      </c>
      <c r="F544" t="e">
        <f t="shared" si="16"/>
        <v>#N/A</v>
      </c>
      <c r="G544" s="13" t="e">
        <f>IF(INDEX(Atha!$D:$D, 94)="", NA(), INDEX(Atha!$L:$L, 94))</f>
        <v>#N/A</v>
      </c>
      <c r="H544" t="e">
        <f t="shared" si="17"/>
        <v>#N/A</v>
      </c>
    </row>
    <row r="545" spans="1:8" x14ac:dyDescent="0.2">
      <c r="A545" t="e">
        <f>IF(INDEX(Atha!$D:$D, 95)="", NA(), "Athallah (Technical Writer)")</f>
        <v>#N/A</v>
      </c>
      <c r="B545" t="e">
        <f>IF(INDEX(Atha!$D:$D, 95)="", NA(), INDEX(Atha!$B:$B, 95))</f>
        <v>#N/A</v>
      </c>
      <c r="C545" t="e">
        <f>IF(INDEX(Atha!$D:$D, 95)="", NA(), INDEX(Atha!$D:$D, 95))</f>
        <v>#N/A</v>
      </c>
      <c r="D545" t="e">
        <f>IF(INDEX(Atha!$D:$D, 95)="", NA(), INDEX(Atha!$E:$E, 95))</f>
        <v>#N/A</v>
      </c>
      <c r="E545" s="13" t="e">
        <f>IF(INDEX(Atha!$D:$D, 95)="", NA(), INDEX(Atha!$K:$K, 95))</f>
        <v>#N/A</v>
      </c>
      <c r="F545" t="e">
        <f t="shared" si="16"/>
        <v>#N/A</v>
      </c>
      <c r="G545" s="13" t="e">
        <f>IF(INDEX(Atha!$D:$D, 95)="", NA(), INDEX(Atha!$L:$L, 95))</f>
        <v>#N/A</v>
      </c>
      <c r="H545" t="e">
        <f t="shared" si="17"/>
        <v>#N/A</v>
      </c>
    </row>
    <row r="546" spans="1:8" x14ac:dyDescent="0.2">
      <c r="A546" t="e">
        <f>IF(INDEX(Atha!$D:$D, 96)="", NA(), "Athallah (Technical Writer)")</f>
        <v>#N/A</v>
      </c>
      <c r="B546" t="e">
        <f>IF(INDEX(Atha!$D:$D, 96)="", NA(), INDEX(Atha!$B:$B, 96))</f>
        <v>#N/A</v>
      </c>
      <c r="C546" t="e">
        <f>IF(INDEX(Atha!$D:$D, 96)="", NA(), INDEX(Atha!$D:$D, 96))</f>
        <v>#N/A</v>
      </c>
      <c r="D546" t="e">
        <f>IF(INDEX(Atha!$D:$D, 96)="", NA(), INDEX(Atha!$E:$E, 96))</f>
        <v>#N/A</v>
      </c>
      <c r="E546" s="13" t="e">
        <f>IF(INDEX(Atha!$D:$D, 96)="", NA(), INDEX(Atha!$K:$K, 96))</f>
        <v>#N/A</v>
      </c>
      <c r="F546" t="e">
        <f t="shared" si="16"/>
        <v>#N/A</v>
      </c>
      <c r="G546" s="13" t="e">
        <f>IF(INDEX(Atha!$D:$D, 96)="", NA(), INDEX(Atha!$L:$L, 96))</f>
        <v>#N/A</v>
      </c>
      <c r="H546" t="e">
        <f t="shared" si="17"/>
        <v>#N/A</v>
      </c>
    </row>
    <row r="547" spans="1:8" x14ac:dyDescent="0.2">
      <c r="A547" t="e">
        <f>IF(INDEX(Atha!$D:$D, 97)="", NA(), "Athallah (Technical Writer)")</f>
        <v>#N/A</v>
      </c>
      <c r="B547" t="e">
        <f>IF(INDEX(Atha!$D:$D, 97)="", NA(), INDEX(Atha!$B:$B, 97))</f>
        <v>#N/A</v>
      </c>
      <c r="C547" t="e">
        <f>IF(INDEX(Atha!$D:$D, 97)="", NA(), INDEX(Atha!$D:$D, 97))</f>
        <v>#N/A</v>
      </c>
      <c r="D547" t="e">
        <f>IF(INDEX(Atha!$D:$D, 97)="", NA(), INDEX(Atha!$E:$E, 97))</f>
        <v>#N/A</v>
      </c>
      <c r="E547" s="13" t="e">
        <f>IF(INDEX(Atha!$D:$D, 97)="", NA(), INDEX(Atha!$K:$K, 97))</f>
        <v>#N/A</v>
      </c>
      <c r="F547" t="e">
        <f t="shared" si="16"/>
        <v>#N/A</v>
      </c>
      <c r="G547" s="13" t="e">
        <f>IF(INDEX(Atha!$D:$D, 97)="", NA(), INDEX(Atha!$L:$L, 97))</f>
        <v>#N/A</v>
      </c>
      <c r="H547" t="e">
        <f t="shared" si="17"/>
        <v>#N/A</v>
      </c>
    </row>
    <row r="548" spans="1:8" x14ac:dyDescent="0.2">
      <c r="A548" t="e">
        <f>IF(INDEX(Atha!$D:$D, 98)="", NA(), "Athallah (Technical Writer)")</f>
        <v>#N/A</v>
      </c>
      <c r="B548" t="e">
        <f>IF(INDEX(Atha!$D:$D, 98)="", NA(), INDEX(Atha!$B:$B, 98))</f>
        <v>#N/A</v>
      </c>
      <c r="C548" t="e">
        <f>IF(INDEX(Atha!$D:$D, 98)="", NA(), INDEX(Atha!$D:$D, 98))</f>
        <v>#N/A</v>
      </c>
      <c r="D548" t="e">
        <f>IF(INDEX(Atha!$D:$D, 98)="", NA(), INDEX(Atha!$E:$E, 98))</f>
        <v>#N/A</v>
      </c>
      <c r="E548" s="13" t="e">
        <f>IF(INDEX(Atha!$D:$D, 98)="", NA(), INDEX(Atha!$K:$K, 98))</f>
        <v>#N/A</v>
      </c>
      <c r="F548" t="e">
        <f t="shared" si="16"/>
        <v>#N/A</v>
      </c>
      <c r="G548" s="13" t="e">
        <f>IF(INDEX(Atha!$D:$D, 98)="", NA(), INDEX(Atha!$L:$L, 98))</f>
        <v>#N/A</v>
      </c>
      <c r="H548" t="e">
        <f t="shared" si="17"/>
        <v>#N/A</v>
      </c>
    </row>
    <row r="549" spans="1:8" x14ac:dyDescent="0.2">
      <c r="A549" t="e">
        <f>IF(INDEX(Atha!$D:$D, 99)="", NA(), "Athallah (Technical Writer)")</f>
        <v>#N/A</v>
      </c>
      <c r="B549" t="e">
        <f>IF(INDEX(Atha!$D:$D, 99)="", NA(), INDEX(Atha!$B:$B, 99))</f>
        <v>#N/A</v>
      </c>
      <c r="C549" t="e">
        <f>IF(INDEX(Atha!$D:$D, 99)="", NA(), INDEX(Atha!$D:$D, 99))</f>
        <v>#N/A</v>
      </c>
      <c r="D549" t="e">
        <f>IF(INDEX(Atha!$D:$D, 99)="", NA(), INDEX(Atha!$E:$E, 99))</f>
        <v>#N/A</v>
      </c>
      <c r="E549" s="13" t="e">
        <f>IF(INDEX(Atha!$D:$D, 99)="", NA(), INDEX(Atha!$K:$K, 99))</f>
        <v>#N/A</v>
      </c>
      <c r="F549" t="e">
        <f t="shared" si="16"/>
        <v>#N/A</v>
      </c>
      <c r="G549" s="13" t="e">
        <f>IF(INDEX(Atha!$D:$D, 99)="", NA(), INDEX(Atha!$L:$L, 99))</f>
        <v>#N/A</v>
      </c>
      <c r="H549" t="e">
        <f t="shared" si="17"/>
        <v>#N/A</v>
      </c>
    </row>
    <row r="550" spans="1:8" x14ac:dyDescent="0.2">
      <c r="A550" t="e">
        <f>IF(INDEX(Atha!$D:$D, 100)="", NA(), "Athallah (Technical Writer)")</f>
        <v>#N/A</v>
      </c>
      <c r="B550" t="e">
        <f>IF(INDEX(Atha!$D:$D, 100)="", NA(), INDEX(Atha!$B:$B, 100))</f>
        <v>#N/A</v>
      </c>
      <c r="C550" t="e">
        <f>IF(INDEX(Atha!$D:$D, 100)="", NA(), INDEX(Atha!$D:$D, 100))</f>
        <v>#N/A</v>
      </c>
      <c r="D550" t="e">
        <f>IF(INDEX(Atha!$D:$D, 100)="", NA(), INDEX(Atha!$E:$E, 100))</f>
        <v>#N/A</v>
      </c>
      <c r="E550" s="13" t="e">
        <f>IF(INDEX(Atha!$D:$D, 100)="", NA(), INDEX(Atha!$K:$K, 100))</f>
        <v>#N/A</v>
      </c>
      <c r="F550" t="e">
        <f t="shared" si="16"/>
        <v>#N/A</v>
      </c>
      <c r="G550" s="13" t="e">
        <f>IF(INDEX(Atha!$D:$D, 100)="", NA(), INDEX(Atha!$L:$L, 100))</f>
        <v>#N/A</v>
      </c>
      <c r="H550" t="e">
        <f t="shared" si="17"/>
        <v>#N/A</v>
      </c>
    </row>
    <row r="551" spans="1:8" x14ac:dyDescent="0.2">
      <c r="A551" t="e">
        <f>IF(INDEX(Atha!$D:$D, 101)="", NA(), "Athallah (Technical Writer)")</f>
        <v>#N/A</v>
      </c>
      <c r="B551" t="e">
        <f>IF(INDEX(Atha!$D:$D, 101)="", NA(), INDEX(Atha!$B:$B, 101))</f>
        <v>#N/A</v>
      </c>
      <c r="C551" t="e">
        <f>IF(INDEX(Atha!$D:$D, 101)="", NA(), INDEX(Atha!$D:$D, 101))</f>
        <v>#N/A</v>
      </c>
      <c r="D551" t="e">
        <f>IF(INDEX(Atha!$D:$D, 101)="", NA(), INDEX(Atha!$E:$E, 101))</f>
        <v>#N/A</v>
      </c>
      <c r="E551" s="13" t="e">
        <f>IF(INDEX(Atha!$D:$D, 101)="", NA(), INDEX(Atha!$K:$K, 101))</f>
        <v>#N/A</v>
      </c>
      <c r="F551" t="e">
        <f t="shared" si="16"/>
        <v>#N/A</v>
      </c>
      <c r="G551" s="13" t="e">
        <f>IF(INDEX(Atha!$D:$D, 101)="", NA(), INDEX(Atha!$L:$L, 101))</f>
        <v>#N/A</v>
      </c>
      <c r="H551" t="e">
        <f t="shared" si="17"/>
        <v>#N/A</v>
      </c>
    </row>
    <row r="552" spans="1:8" x14ac:dyDescent="0.2">
      <c r="A552" t="e">
        <f>IF(INDEX(Atha!$D:$D, 102)="", NA(), "Athallah (Technical Writer)")</f>
        <v>#N/A</v>
      </c>
      <c r="B552" t="e">
        <f>IF(INDEX(Atha!$D:$D, 102)="", NA(), INDEX(Atha!$B:$B, 102))</f>
        <v>#N/A</v>
      </c>
      <c r="C552" t="e">
        <f>IF(INDEX(Atha!$D:$D, 102)="", NA(), INDEX(Atha!$D:$D, 102))</f>
        <v>#N/A</v>
      </c>
      <c r="D552" t="e">
        <f>IF(INDEX(Atha!$D:$D, 102)="", NA(), INDEX(Atha!$E:$E, 102))</f>
        <v>#N/A</v>
      </c>
      <c r="E552" s="13" t="e">
        <f>IF(INDEX(Atha!$D:$D, 102)="", NA(), INDEX(Atha!$K:$K, 102))</f>
        <v>#N/A</v>
      </c>
      <c r="F552" t="e">
        <f t="shared" si="16"/>
        <v>#N/A</v>
      </c>
      <c r="G552" s="13" t="e">
        <f>IF(INDEX(Atha!$D:$D, 102)="", NA(), INDEX(Atha!$L:$L, 102))</f>
        <v>#N/A</v>
      </c>
      <c r="H552" t="e">
        <f t="shared" si="17"/>
        <v>#N/A</v>
      </c>
    </row>
    <row r="553" spans="1:8" x14ac:dyDescent="0.2">
      <c r="A553" t="e">
        <f>IF(INDEX(Atha!$D:$D, 103)="", NA(), "Athallah (Technical Writer)")</f>
        <v>#N/A</v>
      </c>
      <c r="B553" t="e">
        <f>IF(INDEX(Atha!$D:$D, 103)="", NA(), INDEX(Atha!$B:$B, 103))</f>
        <v>#N/A</v>
      </c>
      <c r="C553" t="e">
        <f>IF(INDEX(Atha!$D:$D, 103)="", NA(), INDEX(Atha!$D:$D, 103))</f>
        <v>#N/A</v>
      </c>
      <c r="D553" t="e">
        <f>IF(INDEX(Atha!$D:$D, 103)="", NA(), INDEX(Atha!$E:$E, 103))</f>
        <v>#N/A</v>
      </c>
      <c r="E553" s="13" t="e">
        <f>IF(INDEX(Atha!$D:$D, 103)="", NA(), INDEX(Atha!$K:$K, 103))</f>
        <v>#N/A</v>
      </c>
      <c r="F553" t="e">
        <f t="shared" si="16"/>
        <v>#N/A</v>
      </c>
      <c r="G553" s="13" t="e">
        <f>IF(INDEX(Atha!$D:$D, 103)="", NA(), INDEX(Atha!$L:$L, 103))</f>
        <v>#N/A</v>
      </c>
      <c r="H553" t="e">
        <f t="shared" si="17"/>
        <v>#N/A</v>
      </c>
    </row>
    <row r="554" spans="1:8" x14ac:dyDescent="0.2">
      <c r="A554" t="e">
        <f>IF(INDEX(Atha!$D:$D, 104)="", NA(), "Athallah (Technical Writer)")</f>
        <v>#N/A</v>
      </c>
      <c r="B554" t="e">
        <f>IF(INDEX(Atha!$D:$D, 104)="", NA(), INDEX(Atha!$B:$B, 104))</f>
        <v>#N/A</v>
      </c>
      <c r="C554" t="e">
        <f>IF(INDEX(Atha!$D:$D, 104)="", NA(), INDEX(Atha!$D:$D, 104))</f>
        <v>#N/A</v>
      </c>
      <c r="D554" t="e">
        <f>IF(INDEX(Atha!$D:$D, 104)="", NA(), INDEX(Atha!$E:$E, 104))</f>
        <v>#N/A</v>
      </c>
      <c r="E554" s="13" t="e">
        <f>IF(INDEX(Atha!$D:$D, 104)="", NA(), INDEX(Atha!$K:$K, 104))</f>
        <v>#N/A</v>
      </c>
      <c r="F554" t="e">
        <f t="shared" si="16"/>
        <v>#N/A</v>
      </c>
      <c r="G554" s="13" t="e">
        <f>IF(INDEX(Atha!$D:$D, 104)="", NA(), INDEX(Atha!$L:$L, 104))</f>
        <v>#N/A</v>
      </c>
      <c r="H554" t="e">
        <f t="shared" si="17"/>
        <v>#N/A</v>
      </c>
    </row>
    <row r="555" spans="1:8" x14ac:dyDescent="0.2">
      <c r="A555" t="e">
        <f>IF(INDEX(Atha!$D:$D, 105)="", NA(), "Athallah (Technical Writer)")</f>
        <v>#N/A</v>
      </c>
      <c r="B555" t="e">
        <f>IF(INDEX(Atha!$D:$D, 105)="", NA(), INDEX(Atha!$B:$B, 105))</f>
        <v>#N/A</v>
      </c>
      <c r="C555" t="e">
        <f>IF(INDEX(Atha!$D:$D, 105)="", NA(), INDEX(Atha!$D:$D, 105))</f>
        <v>#N/A</v>
      </c>
      <c r="D555" t="e">
        <f>IF(INDEX(Atha!$D:$D, 105)="", NA(), INDEX(Atha!$E:$E, 105))</f>
        <v>#N/A</v>
      </c>
      <c r="E555" s="13" t="e">
        <f>IF(INDEX(Atha!$D:$D, 105)="", NA(), INDEX(Atha!$K:$K, 105))</f>
        <v>#N/A</v>
      </c>
      <c r="F555" t="e">
        <f t="shared" si="16"/>
        <v>#N/A</v>
      </c>
      <c r="G555" s="13" t="e">
        <f>IF(INDEX(Atha!$D:$D, 105)="", NA(), INDEX(Atha!$L:$L, 105))</f>
        <v>#N/A</v>
      </c>
      <c r="H555" t="e">
        <f t="shared" si="17"/>
        <v>#N/A</v>
      </c>
    </row>
    <row r="556" spans="1:8" x14ac:dyDescent="0.2">
      <c r="A556" t="e">
        <f>IF(INDEX(Atha!$D:$D, 106)="", NA(), "Athallah (Technical Writer)")</f>
        <v>#N/A</v>
      </c>
      <c r="B556" t="e">
        <f>IF(INDEX(Atha!$D:$D, 106)="", NA(), INDEX(Atha!$B:$B, 106))</f>
        <v>#N/A</v>
      </c>
      <c r="C556" t="e">
        <f>IF(INDEX(Atha!$D:$D, 106)="", NA(), INDEX(Atha!$D:$D, 106))</f>
        <v>#N/A</v>
      </c>
      <c r="D556" t="e">
        <f>IF(INDEX(Atha!$D:$D, 106)="", NA(), INDEX(Atha!$E:$E, 106))</f>
        <v>#N/A</v>
      </c>
      <c r="E556" s="13" t="e">
        <f>IF(INDEX(Atha!$D:$D, 106)="", NA(), INDEX(Atha!$K:$K, 106))</f>
        <v>#N/A</v>
      </c>
      <c r="F556" t="e">
        <f t="shared" si="16"/>
        <v>#N/A</v>
      </c>
      <c r="G556" s="13" t="e">
        <f>IF(INDEX(Atha!$D:$D, 106)="", NA(), INDEX(Atha!$L:$L, 106))</f>
        <v>#N/A</v>
      </c>
      <c r="H556" t="e">
        <f t="shared" si="17"/>
        <v>#N/A</v>
      </c>
    </row>
    <row r="557" spans="1:8" x14ac:dyDescent="0.2">
      <c r="A557" t="e">
        <f>IF(INDEX(Atha!$D:$D, 107)="", NA(), "Athallah (Technical Writer)")</f>
        <v>#N/A</v>
      </c>
      <c r="B557" t="e">
        <f>IF(INDEX(Atha!$D:$D, 107)="", NA(), INDEX(Atha!$B:$B, 107))</f>
        <v>#N/A</v>
      </c>
      <c r="C557" t="e">
        <f>IF(INDEX(Atha!$D:$D, 107)="", NA(), INDEX(Atha!$D:$D, 107))</f>
        <v>#N/A</v>
      </c>
      <c r="D557" t="e">
        <f>IF(INDEX(Atha!$D:$D, 107)="", NA(), INDEX(Atha!$E:$E, 107))</f>
        <v>#N/A</v>
      </c>
      <c r="E557" s="13" t="e">
        <f>IF(INDEX(Atha!$D:$D, 107)="", NA(), INDEX(Atha!$K:$K, 107))</f>
        <v>#N/A</v>
      </c>
      <c r="F557" t="e">
        <f t="shared" si="16"/>
        <v>#N/A</v>
      </c>
      <c r="G557" s="13" t="e">
        <f>IF(INDEX(Atha!$D:$D, 107)="", NA(), INDEX(Atha!$L:$L, 107))</f>
        <v>#N/A</v>
      </c>
      <c r="H557" t="e">
        <f t="shared" si="17"/>
        <v>#N/A</v>
      </c>
    </row>
    <row r="558" spans="1:8" x14ac:dyDescent="0.2">
      <c r="A558" t="e">
        <f>IF(INDEX(Atha!$D:$D, 108)="", NA(), "Athallah (Technical Writer)")</f>
        <v>#N/A</v>
      </c>
      <c r="B558" t="e">
        <f>IF(INDEX(Atha!$D:$D, 108)="", NA(), INDEX(Atha!$B:$B, 108))</f>
        <v>#N/A</v>
      </c>
      <c r="C558" t="e">
        <f>IF(INDEX(Atha!$D:$D, 108)="", NA(), INDEX(Atha!$D:$D, 108))</f>
        <v>#N/A</v>
      </c>
      <c r="D558" t="e">
        <f>IF(INDEX(Atha!$D:$D, 108)="", NA(), INDEX(Atha!$E:$E, 108))</f>
        <v>#N/A</v>
      </c>
      <c r="E558" s="13" t="e">
        <f>IF(INDEX(Atha!$D:$D, 108)="", NA(), INDEX(Atha!$K:$K, 108))</f>
        <v>#N/A</v>
      </c>
      <c r="F558" t="e">
        <f t="shared" si="16"/>
        <v>#N/A</v>
      </c>
      <c r="G558" s="13" t="e">
        <f>IF(INDEX(Atha!$D:$D, 108)="", NA(), INDEX(Atha!$L:$L, 108))</f>
        <v>#N/A</v>
      </c>
      <c r="H558" t="e">
        <f t="shared" si="17"/>
        <v>#N/A</v>
      </c>
    </row>
    <row r="559" spans="1:8" x14ac:dyDescent="0.2">
      <c r="A559" t="e">
        <f>IF(INDEX(Atha!$D:$D, 109)="", NA(), "Athallah (Technical Writer)")</f>
        <v>#N/A</v>
      </c>
      <c r="B559" t="e">
        <f>IF(INDEX(Atha!$D:$D, 109)="", NA(), INDEX(Atha!$B:$B, 109))</f>
        <v>#N/A</v>
      </c>
      <c r="C559" t="e">
        <f>IF(INDEX(Atha!$D:$D, 109)="", NA(), INDEX(Atha!$D:$D, 109))</f>
        <v>#N/A</v>
      </c>
      <c r="D559" t="e">
        <f>IF(INDEX(Atha!$D:$D, 109)="", NA(), INDEX(Atha!$E:$E, 109))</f>
        <v>#N/A</v>
      </c>
      <c r="E559" s="13" t="e">
        <f>IF(INDEX(Atha!$D:$D, 109)="", NA(), INDEX(Atha!$K:$K, 109))</f>
        <v>#N/A</v>
      </c>
      <c r="F559" t="e">
        <f t="shared" si="16"/>
        <v>#N/A</v>
      </c>
      <c r="G559" s="13" t="e">
        <f>IF(INDEX(Atha!$D:$D, 109)="", NA(), INDEX(Atha!$L:$L, 109))</f>
        <v>#N/A</v>
      </c>
      <c r="H559" t="e">
        <f t="shared" si="17"/>
        <v>#N/A</v>
      </c>
    </row>
    <row r="560" spans="1:8" x14ac:dyDescent="0.2">
      <c r="A560" t="e">
        <f>IF(INDEX(Atha!$D:$D, 110)="", NA(), "Athallah (Technical Writer)")</f>
        <v>#N/A</v>
      </c>
      <c r="B560" t="e">
        <f>IF(INDEX(Atha!$D:$D, 110)="", NA(), INDEX(Atha!$B:$B, 110))</f>
        <v>#N/A</v>
      </c>
      <c r="C560" t="e">
        <f>IF(INDEX(Atha!$D:$D, 110)="", NA(), INDEX(Atha!$D:$D, 110))</f>
        <v>#N/A</v>
      </c>
      <c r="D560" t="e">
        <f>IF(INDEX(Atha!$D:$D, 110)="", NA(), INDEX(Atha!$E:$E, 110))</f>
        <v>#N/A</v>
      </c>
      <c r="E560" s="13" t="e">
        <f>IF(INDEX(Atha!$D:$D, 110)="", NA(), INDEX(Atha!$K:$K, 110))</f>
        <v>#N/A</v>
      </c>
      <c r="F560" t="e">
        <f t="shared" si="16"/>
        <v>#N/A</v>
      </c>
      <c r="G560" s="13" t="e">
        <f>IF(INDEX(Atha!$D:$D, 110)="", NA(), INDEX(Atha!$L:$L, 110))</f>
        <v>#N/A</v>
      </c>
      <c r="H560" t="e">
        <f t="shared" si="17"/>
        <v>#N/A</v>
      </c>
    </row>
    <row r="561" spans="1:8" x14ac:dyDescent="0.2">
      <c r="A561" t="e">
        <f>IF(INDEX(Atha!$D:$D, 111)="", NA(), "Athallah (Technical Writer)")</f>
        <v>#N/A</v>
      </c>
      <c r="B561" t="e">
        <f>IF(INDEX(Atha!$D:$D, 111)="", NA(), INDEX(Atha!$B:$B, 111))</f>
        <v>#N/A</v>
      </c>
      <c r="C561" t="e">
        <f>IF(INDEX(Atha!$D:$D, 111)="", NA(), INDEX(Atha!$D:$D, 111))</f>
        <v>#N/A</v>
      </c>
      <c r="D561" t="e">
        <f>IF(INDEX(Atha!$D:$D, 111)="", NA(), INDEX(Atha!$E:$E, 111))</f>
        <v>#N/A</v>
      </c>
      <c r="E561" s="13" t="e">
        <f>IF(INDEX(Atha!$D:$D, 111)="", NA(), INDEX(Atha!$K:$K, 111))</f>
        <v>#N/A</v>
      </c>
      <c r="F561" t="e">
        <f t="shared" si="16"/>
        <v>#N/A</v>
      </c>
      <c r="G561" s="13" t="e">
        <f>IF(INDEX(Atha!$D:$D, 111)="", NA(), INDEX(Atha!$L:$L, 111))</f>
        <v>#N/A</v>
      </c>
      <c r="H561" t="e">
        <f t="shared" si="17"/>
        <v>#N/A</v>
      </c>
    </row>
    <row r="562" spans="1:8" x14ac:dyDescent="0.2">
      <c r="A562" t="e">
        <f>IF(INDEX(Atha!$D:$D, 112)="", NA(), "Athallah (Technical Writer)")</f>
        <v>#N/A</v>
      </c>
      <c r="B562" t="e">
        <f>IF(INDEX(Atha!$D:$D, 112)="", NA(), INDEX(Atha!$B:$B, 112))</f>
        <v>#N/A</v>
      </c>
      <c r="C562" t="e">
        <f>IF(INDEX(Atha!$D:$D, 112)="", NA(), INDEX(Atha!$D:$D, 112))</f>
        <v>#N/A</v>
      </c>
      <c r="D562" t="e">
        <f>IF(INDEX(Atha!$D:$D, 112)="", NA(), INDEX(Atha!$E:$E, 112))</f>
        <v>#N/A</v>
      </c>
      <c r="E562" s="13" t="e">
        <f>IF(INDEX(Atha!$D:$D, 112)="", NA(), INDEX(Atha!$K:$K, 112))</f>
        <v>#N/A</v>
      </c>
      <c r="F562" t="e">
        <f t="shared" si="16"/>
        <v>#N/A</v>
      </c>
      <c r="G562" s="13" t="e">
        <f>IF(INDEX(Atha!$D:$D, 112)="", NA(), INDEX(Atha!$L:$L, 112))</f>
        <v>#N/A</v>
      </c>
      <c r="H562" t="e">
        <f t="shared" si="17"/>
        <v>#N/A</v>
      </c>
    </row>
    <row r="563" spans="1:8" x14ac:dyDescent="0.2">
      <c r="A563" t="e">
        <f>IF(INDEX(Atha!$D:$D, 113)="", NA(), "Athallah (Technical Writer)")</f>
        <v>#N/A</v>
      </c>
      <c r="B563" t="e">
        <f>IF(INDEX(Atha!$D:$D, 113)="", NA(), INDEX(Atha!$B:$B, 113))</f>
        <v>#N/A</v>
      </c>
      <c r="C563" t="e">
        <f>IF(INDEX(Atha!$D:$D, 113)="", NA(), INDEX(Atha!$D:$D, 113))</f>
        <v>#N/A</v>
      </c>
      <c r="D563" t="e">
        <f>IF(INDEX(Atha!$D:$D, 113)="", NA(), INDEX(Atha!$E:$E, 113))</f>
        <v>#N/A</v>
      </c>
      <c r="E563" s="13" t="e">
        <f>IF(INDEX(Atha!$D:$D, 113)="", NA(), INDEX(Atha!$K:$K, 113))</f>
        <v>#N/A</v>
      </c>
      <c r="F563" t="e">
        <f t="shared" si="16"/>
        <v>#N/A</v>
      </c>
      <c r="G563" s="13" t="e">
        <f>IF(INDEX(Atha!$D:$D, 113)="", NA(), INDEX(Atha!$L:$L, 113))</f>
        <v>#N/A</v>
      </c>
      <c r="H563" t="e">
        <f t="shared" si="17"/>
        <v>#N/A</v>
      </c>
    </row>
    <row r="564" spans="1:8" x14ac:dyDescent="0.2">
      <c r="A564" t="e">
        <f>IF(INDEX(Atha!$D:$D, 114)="", NA(), "Athallah (Technical Writer)")</f>
        <v>#N/A</v>
      </c>
      <c r="B564" t="e">
        <f>IF(INDEX(Atha!$D:$D, 114)="", NA(), INDEX(Atha!$B:$B, 114))</f>
        <v>#N/A</v>
      </c>
      <c r="C564" t="e">
        <f>IF(INDEX(Atha!$D:$D, 114)="", NA(), INDEX(Atha!$D:$D, 114))</f>
        <v>#N/A</v>
      </c>
      <c r="D564" t="e">
        <f>IF(INDEX(Atha!$D:$D, 114)="", NA(), INDEX(Atha!$E:$E, 114))</f>
        <v>#N/A</v>
      </c>
      <c r="E564" s="13" t="e">
        <f>IF(INDEX(Atha!$D:$D, 114)="", NA(), INDEX(Atha!$K:$K, 114))</f>
        <v>#N/A</v>
      </c>
      <c r="F564" t="e">
        <f t="shared" si="16"/>
        <v>#N/A</v>
      </c>
      <c r="G564" s="13" t="e">
        <f>IF(INDEX(Atha!$D:$D, 114)="", NA(), INDEX(Atha!$L:$L, 114))</f>
        <v>#N/A</v>
      </c>
      <c r="H564" t="e">
        <f t="shared" si="17"/>
        <v>#N/A</v>
      </c>
    </row>
    <row r="565" spans="1:8" x14ac:dyDescent="0.2">
      <c r="A565" t="e">
        <f>IF(INDEX(Atha!$D:$D, 115)="", NA(), "Athallah (Technical Writer)")</f>
        <v>#N/A</v>
      </c>
      <c r="B565" t="e">
        <f>IF(INDEX(Atha!$D:$D, 115)="", NA(), INDEX(Atha!$B:$B, 115))</f>
        <v>#N/A</v>
      </c>
      <c r="C565" t="e">
        <f>IF(INDEX(Atha!$D:$D, 115)="", NA(), INDEX(Atha!$D:$D, 115))</f>
        <v>#N/A</v>
      </c>
      <c r="D565" t="e">
        <f>IF(INDEX(Atha!$D:$D, 115)="", NA(), INDEX(Atha!$E:$E, 115))</f>
        <v>#N/A</v>
      </c>
      <c r="E565" s="13" t="e">
        <f>IF(INDEX(Atha!$D:$D, 115)="", NA(), INDEX(Atha!$K:$K, 115))</f>
        <v>#N/A</v>
      </c>
      <c r="F565" t="e">
        <f t="shared" si="16"/>
        <v>#N/A</v>
      </c>
      <c r="G565" s="13" t="e">
        <f>IF(INDEX(Atha!$D:$D, 115)="", NA(), INDEX(Atha!$L:$L, 115))</f>
        <v>#N/A</v>
      </c>
      <c r="H565" t="e">
        <f t="shared" si="17"/>
        <v>#N/A</v>
      </c>
    </row>
    <row r="566" spans="1:8" x14ac:dyDescent="0.2">
      <c r="A566" t="e">
        <f>IF(INDEX(Atha!$D:$D, 116)="", NA(), "Athallah (Technical Writer)")</f>
        <v>#N/A</v>
      </c>
      <c r="B566" t="e">
        <f>IF(INDEX(Atha!$D:$D, 116)="", NA(), INDEX(Atha!$B:$B, 116))</f>
        <v>#N/A</v>
      </c>
      <c r="C566" t="e">
        <f>IF(INDEX(Atha!$D:$D, 116)="", NA(), INDEX(Atha!$D:$D, 116))</f>
        <v>#N/A</v>
      </c>
      <c r="D566" t="e">
        <f>IF(INDEX(Atha!$D:$D, 116)="", NA(), INDEX(Atha!$E:$E, 116))</f>
        <v>#N/A</v>
      </c>
      <c r="E566" s="13" t="e">
        <f>IF(INDEX(Atha!$D:$D, 116)="", NA(), INDEX(Atha!$K:$K, 116))</f>
        <v>#N/A</v>
      </c>
      <c r="F566" t="e">
        <f t="shared" si="16"/>
        <v>#N/A</v>
      </c>
      <c r="G566" s="13" t="e">
        <f>IF(INDEX(Atha!$D:$D, 116)="", NA(), INDEX(Atha!$L:$L, 116))</f>
        <v>#N/A</v>
      </c>
      <c r="H566" t="e">
        <f t="shared" si="17"/>
        <v>#N/A</v>
      </c>
    </row>
    <row r="567" spans="1:8" x14ac:dyDescent="0.2">
      <c r="A567" t="e">
        <f>IF(INDEX(Atha!$D:$D, 117)="", NA(), "Athallah (Technical Writer)")</f>
        <v>#N/A</v>
      </c>
      <c r="B567" t="e">
        <f>IF(INDEX(Atha!$D:$D, 117)="", NA(), INDEX(Atha!$B:$B, 117))</f>
        <v>#N/A</v>
      </c>
      <c r="C567" t="e">
        <f>IF(INDEX(Atha!$D:$D, 117)="", NA(), INDEX(Atha!$D:$D, 117))</f>
        <v>#N/A</v>
      </c>
      <c r="D567" t="e">
        <f>IF(INDEX(Atha!$D:$D, 117)="", NA(), INDEX(Atha!$E:$E, 117))</f>
        <v>#N/A</v>
      </c>
      <c r="E567" s="13" t="e">
        <f>IF(INDEX(Atha!$D:$D, 117)="", NA(), INDEX(Atha!$K:$K, 117))</f>
        <v>#N/A</v>
      </c>
      <c r="F567" t="e">
        <f t="shared" si="16"/>
        <v>#N/A</v>
      </c>
      <c r="G567" s="13" t="e">
        <f>IF(INDEX(Atha!$D:$D, 117)="", NA(), INDEX(Atha!$L:$L, 117))</f>
        <v>#N/A</v>
      </c>
      <c r="H567" t="e">
        <f t="shared" si="17"/>
        <v>#N/A</v>
      </c>
    </row>
    <row r="568" spans="1:8" x14ac:dyDescent="0.2">
      <c r="A568" t="e">
        <f>IF(INDEX(Atha!$D:$D, 118)="", NA(), "Athallah (Technical Writer)")</f>
        <v>#N/A</v>
      </c>
      <c r="B568" t="e">
        <f>IF(INDEX(Atha!$D:$D, 118)="", NA(), INDEX(Atha!$B:$B, 118))</f>
        <v>#N/A</v>
      </c>
      <c r="C568" t="e">
        <f>IF(INDEX(Atha!$D:$D, 118)="", NA(), INDEX(Atha!$D:$D, 118))</f>
        <v>#N/A</v>
      </c>
      <c r="D568" t="e">
        <f>IF(INDEX(Atha!$D:$D, 118)="", NA(), INDEX(Atha!$E:$E, 118))</f>
        <v>#N/A</v>
      </c>
      <c r="E568" s="13" t="e">
        <f>IF(INDEX(Atha!$D:$D, 118)="", NA(), INDEX(Atha!$K:$K, 118))</f>
        <v>#N/A</v>
      </c>
      <c r="F568" t="e">
        <f t="shared" si="16"/>
        <v>#N/A</v>
      </c>
      <c r="G568" s="13" t="e">
        <f>IF(INDEX(Atha!$D:$D, 118)="", NA(), INDEX(Atha!$L:$L, 118))</f>
        <v>#N/A</v>
      </c>
      <c r="H568" t="e">
        <f t="shared" si="17"/>
        <v>#N/A</v>
      </c>
    </row>
    <row r="569" spans="1:8" x14ac:dyDescent="0.2">
      <c r="A569" t="e">
        <f>IF(INDEX(Atha!$D:$D, 119)="", NA(), "Athallah (Technical Writer)")</f>
        <v>#N/A</v>
      </c>
      <c r="B569" t="e">
        <f>IF(INDEX(Atha!$D:$D, 119)="", NA(), INDEX(Atha!$B:$B, 119))</f>
        <v>#N/A</v>
      </c>
      <c r="C569" t="e">
        <f>IF(INDEX(Atha!$D:$D, 119)="", NA(), INDEX(Atha!$D:$D, 119))</f>
        <v>#N/A</v>
      </c>
      <c r="D569" t="e">
        <f>IF(INDEX(Atha!$D:$D, 119)="", NA(), INDEX(Atha!$E:$E, 119))</f>
        <v>#N/A</v>
      </c>
      <c r="E569" s="13" t="e">
        <f>IF(INDEX(Atha!$D:$D, 119)="", NA(), INDEX(Atha!$K:$K, 119))</f>
        <v>#N/A</v>
      </c>
      <c r="F569" t="e">
        <f t="shared" si="16"/>
        <v>#N/A</v>
      </c>
      <c r="G569" s="13" t="e">
        <f>IF(INDEX(Atha!$D:$D, 119)="", NA(), INDEX(Atha!$L:$L, 119))</f>
        <v>#N/A</v>
      </c>
      <c r="H569" t="e">
        <f t="shared" si="17"/>
        <v>#N/A</v>
      </c>
    </row>
    <row r="570" spans="1:8" x14ac:dyDescent="0.2">
      <c r="A570" t="e">
        <f>IF(INDEX(Atha!$D:$D, 120)="", NA(), "Athallah (Technical Writer)")</f>
        <v>#N/A</v>
      </c>
      <c r="B570" t="e">
        <f>IF(INDEX(Atha!$D:$D, 120)="", NA(), INDEX(Atha!$B:$B, 120))</f>
        <v>#N/A</v>
      </c>
      <c r="C570" t="e">
        <f>IF(INDEX(Atha!$D:$D, 120)="", NA(), INDEX(Atha!$D:$D, 120))</f>
        <v>#N/A</v>
      </c>
      <c r="D570" t="e">
        <f>IF(INDEX(Atha!$D:$D, 120)="", NA(), INDEX(Atha!$E:$E, 120))</f>
        <v>#N/A</v>
      </c>
      <c r="E570" s="13" t="e">
        <f>IF(INDEX(Atha!$D:$D, 120)="", NA(), INDEX(Atha!$K:$K, 120))</f>
        <v>#N/A</v>
      </c>
      <c r="F570" t="e">
        <f t="shared" si="16"/>
        <v>#N/A</v>
      </c>
      <c r="G570" s="13" t="e">
        <f>IF(INDEX(Atha!$D:$D, 120)="", NA(), INDEX(Atha!$L:$L, 120))</f>
        <v>#N/A</v>
      </c>
      <c r="H570" t="e">
        <f t="shared" si="17"/>
        <v>#N/A</v>
      </c>
    </row>
    <row r="571" spans="1:8" x14ac:dyDescent="0.2">
      <c r="A571" t="e">
        <f>IF(INDEX(Atha!$D:$D, 121)="", NA(), "Athallah (Technical Writer)")</f>
        <v>#N/A</v>
      </c>
      <c r="B571" t="e">
        <f>IF(INDEX(Atha!$D:$D, 121)="", NA(), INDEX(Atha!$B:$B, 121))</f>
        <v>#N/A</v>
      </c>
      <c r="C571" t="e">
        <f>IF(INDEX(Atha!$D:$D, 121)="", NA(), INDEX(Atha!$D:$D, 121))</f>
        <v>#N/A</v>
      </c>
      <c r="D571" t="e">
        <f>IF(INDEX(Atha!$D:$D, 121)="", NA(), INDEX(Atha!$E:$E, 121))</f>
        <v>#N/A</v>
      </c>
      <c r="E571" s="13" t="e">
        <f>IF(INDEX(Atha!$D:$D, 121)="", NA(), INDEX(Atha!$K:$K, 121))</f>
        <v>#N/A</v>
      </c>
      <c r="F571" t="e">
        <f t="shared" si="16"/>
        <v>#N/A</v>
      </c>
      <c r="G571" s="13" t="e">
        <f>IF(INDEX(Atha!$D:$D, 121)="", NA(), INDEX(Atha!$L:$L, 121))</f>
        <v>#N/A</v>
      </c>
      <c r="H571" t="e">
        <f t="shared" si="17"/>
        <v>#N/A</v>
      </c>
    </row>
    <row r="572" spans="1:8" x14ac:dyDescent="0.2">
      <c r="A572" t="e">
        <f>IF(INDEX(Atha!$D:$D, 122)="", NA(), "Athallah (Technical Writer)")</f>
        <v>#N/A</v>
      </c>
      <c r="B572" t="e">
        <f>IF(INDEX(Atha!$D:$D, 122)="", NA(), INDEX(Atha!$B:$B, 122))</f>
        <v>#N/A</v>
      </c>
      <c r="C572" t="e">
        <f>IF(INDEX(Atha!$D:$D, 122)="", NA(), INDEX(Atha!$D:$D, 122))</f>
        <v>#N/A</v>
      </c>
      <c r="D572" t="e">
        <f>IF(INDEX(Atha!$D:$D, 122)="", NA(), INDEX(Atha!$E:$E, 122))</f>
        <v>#N/A</v>
      </c>
      <c r="E572" s="13" t="e">
        <f>IF(INDEX(Atha!$D:$D, 122)="", NA(), INDEX(Atha!$K:$K, 122))</f>
        <v>#N/A</v>
      </c>
      <c r="F572" t="e">
        <f t="shared" si="16"/>
        <v>#N/A</v>
      </c>
      <c r="G572" s="13" t="e">
        <f>IF(INDEX(Atha!$D:$D, 122)="", NA(), INDEX(Atha!$L:$L, 122))</f>
        <v>#N/A</v>
      </c>
      <c r="H572" t="e">
        <f t="shared" si="17"/>
        <v>#N/A</v>
      </c>
    </row>
    <row r="573" spans="1:8" x14ac:dyDescent="0.2">
      <c r="A573" t="e">
        <f>IF(INDEX(Atha!$D:$D, 123)="", NA(), "Athallah (Technical Writer)")</f>
        <v>#N/A</v>
      </c>
      <c r="B573" t="e">
        <f>IF(INDEX(Atha!$D:$D, 123)="", NA(), INDEX(Atha!$B:$B, 123))</f>
        <v>#N/A</v>
      </c>
      <c r="C573" t="e">
        <f>IF(INDEX(Atha!$D:$D, 123)="", NA(), INDEX(Atha!$D:$D, 123))</f>
        <v>#N/A</v>
      </c>
      <c r="D573" t="e">
        <f>IF(INDEX(Atha!$D:$D, 123)="", NA(), INDEX(Atha!$E:$E, 123))</f>
        <v>#N/A</v>
      </c>
      <c r="E573" s="13" t="e">
        <f>IF(INDEX(Atha!$D:$D, 123)="", NA(), INDEX(Atha!$K:$K, 123))</f>
        <v>#N/A</v>
      </c>
      <c r="F573" t="e">
        <f t="shared" si="16"/>
        <v>#N/A</v>
      </c>
      <c r="G573" s="13" t="e">
        <f>IF(INDEX(Atha!$D:$D, 123)="", NA(), INDEX(Atha!$L:$L, 123))</f>
        <v>#N/A</v>
      </c>
      <c r="H573" t="e">
        <f t="shared" si="17"/>
        <v>#N/A</v>
      </c>
    </row>
    <row r="574" spans="1:8" x14ac:dyDescent="0.2">
      <c r="A574" t="e">
        <f>IF(INDEX(Atha!$D:$D, 124)="", NA(), "Athallah (Technical Writer)")</f>
        <v>#N/A</v>
      </c>
      <c r="B574" t="e">
        <f>IF(INDEX(Atha!$D:$D, 124)="", NA(), INDEX(Atha!$B:$B, 124))</f>
        <v>#N/A</v>
      </c>
      <c r="C574" t="e">
        <f>IF(INDEX(Atha!$D:$D, 124)="", NA(), INDEX(Atha!$D:$D, 124))</f>
        <v>#N/A</v>
      </c>
      <c r="D574" t="e">
        <f>IF(INDEX(Atha!$D:$D, 124)="", NA(), INDEX(Atha!$E:$E, 124))</f>
        <v>#N/A</v>
      </c>
      <c r="E574" s="13" t="e">
        <f>IF(INDEX(Atha!$D:$D, 124)="", NA(), INDEX(Atha!$K:$K, 124))</f>
        <v>#N/A</v>
      </c>
      <c r="F574" t="e">
        <f t="shared" si="16"/>
        <v>#N/A</v>
      </c>
      <c r="G574" s="13" t="e">
        <f>IF(INDEX(Atha!$D:$D, 124)="", NA(), INDEX(Atha!$L:$L, 124))</f>
        <v>#N/A</v>
      </c>
      <c r="H574" t="e">
        <f t="shared" si="17"/>
        <v>#N/A</v>
      </c>
    </row>
    <row r="575" spans="1:8" x14ac:dyDescent="0.2">
      <c r="A575" t="e">
        <f>IF(INDEX(Atha!$D:$D, 125)="", NA(), "Athallah (Technical Writer)")</f>
        <v>#N/A</v>
      </c>
      <c r="B575" t="e">
        <f>IF(INDEX(Atha!$D:$D, 125)="", NA(), INDEX(Atha!$B:$B, 125))</f>
        <v>#N/A</v>
      </c>
      <c r="C575" t="e">
        <f>IF(INDEX(Atha!$D:$D, 125)="", NA(), INDEX(Atha!$D:$D, 125))</f>
        <v>#N/A</v>
      </c>
      <c r="D575" t="e">
        <f>IF(INDEX(Atha!$D:$D, 125)="", NA(), INDEX(Atha!$E:$E, 125))</f>
        <v>#N/A</v>
      </c>
      <c r="E575" s="13" t="e">
        <f>IF(INDEX(Atha!$D:$D, 125)="", NA(), INDEX(Atha!$K:$K, 125))</f>
        <v>#N/A</v>
      </c>
      <c r="F575" t="e">
        <f t="shared" si="16"/>
        <v>#N/A</v>
      </c>
      <c r="G575" s="13" t="e">
        <f>IF(INDEX(Atha!$D:$D, 125)="", NA(), INDEX(Atha!$L:$L, 125))</f>
        <v>#N/A</v>
      </c>
      <c r="H575" t="e">
        <f t="shared" si="17"/>
        <v>#N/A</v>
      </c>
    </row>
    <row r="576" spans="1:8" x14ac:dyDescent="0.2">
      <c r="A576" t="e">
        <f>IF(INDEX(Atha!$D:$D, 126)="", NA(), "Athallah (Technical Writer)")</f>
        <v>#N/A</v>
      </c>
      <c r="B576" t="e">
        <f>IF(INDEX(Atha!$D:$D, 126)="", NA(), INDEX(Atha!$B:$B, 126))</f>
        <v>#N/A</v>
      </c>
      <c r="C576" t="e">
        <f>IF(INDEX(Atha!$D:$D, 126)="", NA(), INDEX(Atha!$D:$D, 126))</f>
        <v>#N/A</v>
      </c>
      <c r="D576" t="e">
        <f>IF(INDEX(Atha!$D:$D, 126)="", NA(), INDEX(Atha!$E:$E, 126))</f>
        <v>#N/A</v>
      </c>
      <c r="E576" s="13" t="e">
        <f>IF(INDEX(Atha!$D:$D, 126)="", NA(), INDEX(Atha!$K:$K, 126))</f>
        <v>#N/A</v>
      </c>
      <c r="F576" t="e">
        <f t="shared" si="16"/>
        <v>#N/A</v>
      </c>
      <c r="G576" s="13" t="e">
        <f>IF(INDEX(Atha!$D:$D, 126)="", NA(), INDEX(Atha!$L:$L, 126))</f>
        <v>#N/A</v>
      </c>
      <c r="H576" t="e">
        <f t="shared" si="17"/>
        <v>#N/A</v>
      </c>
    </row>
    <row r="577" spans="1:8" x14ac:dyDescent="0.2">
      <c r="A577" t="e">
        <f>IF(INDEX(Atha!$D:$D, 127)="", NA(), "Athallah (Technical Writer)")</f>
        <v>#N/A</v>
      </c>
      <c r="B577" t="e">
        <f>IF(INDEX(Atha!$D:$D, 127)="", NA(), INDEX(Atha!$B:$B, 127))</f>
        <v>#N/A</v>
      </c>
      <c r="C577" t="e">
        <f>IF(INDEX(Atha!$D:$D, 127)="", NA(), INDEX(Atha!$D:$D, 127))</f>
        <v>#N/A</v>
      </c>
      <c r="D577" t="e">
        <f>IF(INDEX(Atha!$D:$D, 127)="", NA(), INDEX(Atha!$E:$E, 127))</f>
        <v>#N/A</v>
      </c>
      <c r="E577" s="13" t="e">
        <f>IF(INDEX(Atha!$D:$D, 127)="", NA(), INDEX(Atha!$K:$K, 127))</f>
        <v>#N/A</v>
      </c>
      <c r="F577" t="e">
        <f t="shared" si="16"/>
        <v>#N/A</v>
      </c>
      <c r="G577" s="13" t="e">
        <f>IF(INDEX(Atha!$D:$D, 127)="", NA(), INDEX(Atha!$L:$L, 127))</f>
        <v>#N/A</v>
      </c>
      <c r="H577" t="e">
        <f t="shared" si="17"/>
        <v>#N/A</v>
      </c>
    </row>
    <row r="578" spans="1:8" x14ac:dyDescent="0.2">
      <c r="A578" t="e">
        <f>IF(INDEX(Atha!$D:$D, 128)="", NA(), "Athallah (Technical Writer)")</f>
        <v>#N/A</v>
      </c>
      <c r="B578" t="e">
        <f>IF(INDEX(Atha!$D:$D, 128)="", NA(), INDEX(Atha!$B:$B, 128))</f>
        <v>#N/A</v>
      </c>
      <c r="C578" t="e">
        <f>IF(INDEX(Atha!$D:$D, 128)="", NA(), INDEX(Atha!$D:$D, 128))</f>
        <v>#N/A</v>
      </c>
      <c r="D578" t="e">
        <f>IF(INDEX(Atha!$D:$D, 128)="", NA(), INDEX(Atha!$E:$E, 128))</f>
        <v>#N/A</v>
      </c>
      <c r="E578" s="13" t="e">
        <f>IF(INDEX(Atha!$D:$D, 128)="", NA(), INDEX(Atha!$K:$K, 128))</f>
        <v>#N/A</v>
      </c>
      <c r="F578" t="e">
        <f t="shared" ref="F578:F641" si="18">IF(OR(E578="", ISNA(E578), ISNA(G578)), 0, MAX(1, G578-E578))</f>
        <v>#N/A</v>
      </c>
      <c r="G578" s="13" t="e">
        <f>IF(INDEX(Atha!$D:$D, 128)="", NA(), INDEX(Atha!$L:$L, 128))</f>
        <v>#N/A</v>
      </c>
      <c r="H578" t="e">
        <f t="shared" ref="H578:H641" si="19">IF(ISNA(C578), NA(), A578 &amp; " - " &amp; B578 &amp; " - " &amp; C578)</f>
        <v>#N/A</v>
      </c>
    </row>
    <row r="579" spans="1:8" x14ac:dyDescent="0.2">
      <c r="A579" t="e">
        <f>IF(INDEX(Atha!$D:$D, 129)="", NA(), "Athallah (Technical Writer)")</f>
        <v>#N/A</v>
      </c>
      <c r="B579" t="e">
        <f>IF(INDEX(Atha!$D:$D, 129)="", NA(), INDEX(Atha!$B:$B, 129))</f>
        <v>#N/A</v>
      </c>
      <c r="C579" t="e">
        <f>IF(INDEX(Atha!$D:$D, 129)="", NA(), INDEX(Atha!$D:$D, 129))</f>
        <v>#N/A</v>
      </c>
      <c r="D579" t="e">
        <f>IF(INDEX(Atha!$D:$D, 129)="", NA(), INDEX(Atha!$E:$E, 129))</f>
        <v>#N/A</v>
      </c>
      <c r="E579" s="13" t="e">
        <f>IF(INDEX(Atha!$D:$D, 129)="", NA(), INDEX(Atha!$K:$K, 129))</f>
        <v>#N/A</v>
      </c>
      <c r="F579" t="e">
        <f t="shared" si="18"/>
        <v>#N/A</v>
      </c>
      <c r="G579" s="13" t="e">
        <f>IF(INDEX(Atha!$D:$D, 129)="", NA(), INDEX(Atha!$L:$L, 129))</f>
        <v>#N/A</v>
      </c>
      <c r="H579" t="e">
        <f t="shared" si="19"/>
        <v>#N/A</v>
      </c>
    </row>
    <row r="580" spans="1:8" x14ac:dyDescent="0.2">
      <c r="A580" t="e">
        <f>IF(INDEX(Atha!$D:$D, 130)="", NA(), "Athallah (Technical Writer)")</f>
        <v>#N/A</v>
      </c>
      <c r="B580" t="e">
        <f>IF(INDEX(Atha!$D:$D, 130)="", NA(), INDEX(Atha!$B:$B, 130))</f>
        <v>#N/A</v>
      </c>
      <c r="C580" t="e">
        <f>IF(INDEX(Atha!$D:$D, 130)="", NA(), INDEX(Atha!$D:$D, 130))</f>
        <v>#N/A</v>
      </c>
      <c r="D580" t="e">
        <f>IF(INDEX(Atha!$D:$D, 130)="", NA(), INDEX(Atha!$E:$E, 130))</f>
        <v>#N/A</v>
      </c>
      <c r="E580" s="13" t="e">
        <f>IF(INDEX(Atha!$D:$D, 130)="", NA(), INDEX(Atha!$K:$K, 130))</f>
        <v>#N/A</v>
      </c>
      <c r="F580" t="e">
        <f t="shared" si="18"/>
        <v>#N/A</v>
      </c>
      <c r="G580" s="13" t="e">
        <f>IF(INDEX(Atha!$D:$D, 130)="", NA(), INDEX(Atha!$L:$L, 130))</f>
        <v>#N/A</v>
      </c>
      <c r="H580" t="e">
        <f t="shared" si="19"/>
        <v>#N/A</v>
      </c>
    </row>
    <row r="581" spans="1:8" x14ac:dyDescent="0.2">
      <c r="A581" t="e">
        <f>IF(INDEX(Atha!$D:$D, 131)="", NA(), "Athallah (Technical Writer)")</f>
        <v>#N/A</v>
      </c>
      <c r="B581" t="e">
        <f>IF(INDEX(Atha!$D:$D, 131)="", NA(), INDEX(Atha!$B:$B, 131))</f>
        <v>#N/A</v>
      </c>
      <c r="C581" t="e">
        <f>IF(INDEX(Atha!$D:$D, 131)="", NA(), INDEX(Atha!$D:$D, 131))</f>
        <v>#N/A</v>
      </c>
      <c r="D581" t="e">
        <f>IF(INDEX(Atha!$D:$D, 131)="", NA(), INDEX(Atha!$E:$E, 131))</f>
        <v>#N/A</v>
      </c>
      <c r="E581" s="13" t="e">
        <f>IF(INDEX(Atha!$D:$D, 131)="", NA(), INDEX(Atha!$K:$K, 131))</f>
        <v>#N/A</v>
      </c>
      <c r="F581" t="e">
        <f t="shared" si="18"/>
        <v>#N/A</v>
      </c>
      <c r="G581" s="13" t="e">
        <f>IF(INDEX(Atha!$D:$D, 131)="", NA(), INDEX(Atha!$L:$L, 131))</f>
        <v>#N/A</v>
      </c>
      <c r="H581" t="e">
        <f t="shared" si="19"/>
        <v>#N/A</v>
      </c>
    </row>
    <row r="582" spans="1:8" x14ac:dyDescent="0.2">
      <c r="A582" t="e">
        <f>IF(INDEX(Atha!$D:$D, 132)="", NA(), "Athallah (Technical Writer)")</f>
        <v>#N/A</v>
      </c>
      <c r="B582" t="e">
        <f>IF(INDEX(Atha!$D:$D, 132)="", NA(), INDEX(Atha!$B:$B, 132))</f>
        <v>#N/A</v>
      </c>
      <c r="C582" t="e">
        <f>IF(INDEX(Atha!$D:$D, 132)="", NA(), INDEX(Atha!$D:$D, 132))</f>
        <v>#N/A</v>
      </c>
      <c r="D582" t="e">
        <f>IF(INDEX(Atha!$D:$D, 132)="", NA(), INDEX(Atha!$E:$E, 132))</f>
        <v>#N/A</v>
      </c>
      <c r="E582" s="13" t="e">
        <f>IF(INDEX(Atha!$D:$D, 132)="", NA(), INDEX(Atha!$K:$K, 132))</f>
        <v>#N/A</v>
      </c>
      <c r="F582" t="e">
        <f t="shared" si="18"/>
        <v>#N/A</v>
      </c>
      <c r="G582" s="13" t="e">
        <f>IF(INDEX(Atha!$D:$D, 132)="", NA(), INDEX(Atha!$L:$L, 132))</f>
        <v>#N/A</v>
      </c>
      <c r="H582" t="e">
        <f t="shared" si="19"/>
        <v>#N/A</v>
      </c>
    </row>
    <row r="583" spans="1:8" x14ac:dyDescent="0.2">
      <c r="A583" t="e">
        <f>IF(INDEX(Atha!$D:$D, 133)="", NA(), "Athallah (Technical Writer)")</f>
        <v>#N/A</v>
      </c>
      <c r="B583" t="e">
        <f>IF(INDEX(Atha!$D:$D, 133)="", NA(), INDEX(Atha!$B:$B, 133))</f>
        <v>#N/A</v>
      </c>
      <c r="C583" t="e">
        <f>IF(INDEX(Atha!$D:$D, 133)="", NA(), INDEX(Atha!$D:$D, 133))</f>
        <v>#N/A</v>
      </c>
      <c r="D583" t="e">
        <f>IF(INDEX(Atha!$D:$D, 133)="", NA(), INDEX(Atha!$E:$E, 133))</f>
        <v>#N/A</v>
      </c>
      <c r="E583" s="13" t="e">
        <f>IF(INDEX(Atha!$D:$D, 133)="", NA(), INDEX(Atha!$K:$K, 133))</f>
        <v>#N/A</v>
      </c>
      <c r="F583" t="e">
        <f t="shared" si="18"/>
        <v>#N/A</v>
      </c>
      <c r="G583" s="13" t="e">
        <f>IF(INDEX(Atha!$D:$D, 133)="", NA(), INDEX(Atha!$L:$L, 133))</f>
        <v>#N/A</v>
      </c>
      <c r="H583" t="e">
        <f t="shared" si="19"/>
        <v>#N/A</v>
      </c>
    </row>
    <row r="584" spans="1:8" x14ac:dyDescent="0.2">
      <c r="A584" t="e">
        <f>IF(INDEX(Atha!$D:$D, 134)="", NA(), "Athallah (Technical Writer)")</f>
        <v>#N/A</v>
      </c>
      <c r="B584" t="e">
        <f>IF(INDEX(Atha!$D:$D, 134)="", NA(), INDEX(Atha!$B:$B, 134))</f>
        <v>#N/A</v>
      </c>
      <c r="C584" t="e">
        <f>IF(INDEX(Atha!$D:$D, 134)="", NA(), INDEX(Atha!$D:$D, 134))</f>
        <v>#N/A</v>
      </c>
      <c r="D584" t="e">
        <f>IF(INDEX(Atha!$D:$D, 134)="", NA(), INDEX(Atha!$E:$E, 134))</f>
        <v>#N/A</v>
      </c>
      <c r="E584" s="13" t="e">
        <f>IF(INDEX(Atha!$D:$D, 134)="", NA(), INDEX(Atha!$K:$K, 134))</f>
        <v>#N/A</v>
      </c>
      <c r="F584" t="e">
        <f t="shared" si="18"/>
        <v>#N/A</v>
      </c>
      <c r="G584" s="13" t="e">
        <f>IF(INDEX(Atha!$D:$D, 134)="", NA(), INDEX(Atha!$L:$L, 134))</f>
        <v>#N/A</v>
      </c>
      <c r="H584" t="e">
        <f t="shared" si="19"/>
        <v>#N/A</v>
      </c>
    </row>
    <row r="585" spans="1:8" x14ac:dyDescent="0.2">
      <c r="A585" t="e">
        <f>IF(INDEX(Atha!$D:$D, 135)="", NA(), "Athallah (Technical Writer)")</f>
        <v>#N/A</v>
      </c>
      <c r="B585" t="e">
        <f>IF(INDEX(Atha!$D:$D, 135)="", NA(), INDEX(Atha!$B:$B, 135))</f>
        <v>#N/A</v>
      </c>
      <c r="C585" t="e">
        <f>IF(INDEX(Atha!$D:$D, 135)="", NA(), INDEX(Atha!$D:$D, 135))</f>
        <v>#N/A</v>
      </c>
      <c r="D585" t="e">
        <f>IF(INDEX(Atha!$D:$D, 135)="", NA(), INDEX(Atha!$E:$E, 135))</f>
        <v>#N/A</v>
      </c>
      <c r="E585" s="13" t="e">
        <f>IF(INDEX(Atha!$D:$D, 135)="", NA(), INDEX(Atha!$K:$K, 135))</f>
        <v>#N/A</v>
      </c>
      <c r="F585" t="e">
        <f t="shared" si="18"/>
        <v>#N/A</v>
      </c>
      <c r="G585" s="13" t="e">
        <f>IF(INDEX(Atha!$D:$D, 135)="", NA(), INDEX(Atha!$L:$L, 135))</f>
        <v>#N/A</v>
      </c>
      <c r="H585" t="e">
        <f t="shared" si="19"/>
        <v>#N/A</v>
      </c>
    </row>
    <row r="586" spans="1:8" x14ac:dyDescent="0.2">
      <c r="A586" t="e">
        <f>IF(INDEX(Atha!$D:$D, 136)="", NA(), "Athallah (Technical Writer)")</f>
        <v>#N/A</v>
      </c>
      <c r="B586" t="e">
        <f>IF(INDEX(Atha!$D:$D, 136)="", NA(), INDEX(Atha!$B:$B, 136))</f>
        <v>#N/A</v>
      </c>
      <c r="C586" t="e">
        <f>IF(INDEX(Atha!$D:$D, 136)="", NA(), INDEX(Atha!$D:$D, 136))</f>
        <v>#N/A</v>
      </c>
      <c r="D586" t="e">
        <f>IF(INDEX(Atha!$D:$D, 136)="", NA(), INDEX(Atha!$E:$E, 136))</f>
        <v>#N/A</v>
      </c>
      <c r="E586" s="13" t="e">
        <f>IF(INDEX(Atha!$D:$D, 136)="", NA(), INDEX(Atha!$K:$K, 136))</f>
        <v>#N/A</v>
      </c>
      <c r="F586" t="e">
        <f t="shared" si="18"/>
        <v>#N/A</v>
      </c>
      <c r="G586" s="13" t="e">
        <f>IF(INDEX(Atha!$D:$D, 136)="", NA(), INDEX(Atha!$L:$L, 136))</f>
        <v>#N/A</v>
      </c>
      <c r="H586" t="e">
        <f t="shared" si="19"/>
        <v>#N/A</v>
      </c>
    </row>
    <row r="587" spans="1:8" x14ac:dyDescent="0.2">
      <c r="A587" t="e">
        <f>IF(INDEX(Atha!$D:$D, 137)="", NA(), "Athallah (Technical Writer)")</f>
        <v>#N/A</v>
      </c>
      <c r="B587" t="e">
        <f>IF(INDEX(Atha!$D:$D, 137)="", NA(), INDEX(Atha!$B:$B, 137))</f>
        <v>#N/A</v>
      </c>
      <c r="C587" t="e">
        <f>IF(INDEX(Atha!$D:$D, 137)="", NA(), INDEX(Atha!$D:$D, 137))</f>
        <v>#N/A</v>
      </c>
      <c r="D587" t="e">
        <f>IF(INDEX(Atha!$D:$D, 137)="", NA(), INDEX(Atha!$E:$E, 137))</f>
        <v>#N/A</v>
      </c>
      <c r="E587" s="13" t="e">
        <f>IF(INDEX(Atha!$D:$D, 137)="", NA(), INDEX(Atha!$K:$K, 137))</f>
        <v>#N/A</v>
      </c>
      <c r="F587" t="e">
        <f t="shared" si="18"/>
        <v>#N/A</v>
      </c>
      <c r="G587" s="13" t="e">
        <f>IF(INDEX(Atha!$D:$D, 137)="", NA(), INDEX(Atha!$L:$L, 137))</f>
        <v>#N/A</v>
      </c>
      <c r="H587" t="e">
        <f t="shared" si="19"/>
        <v>#N/A</v>
      </c>
    </row>
    <row r="588" spans="1:8" x14ac:dyDescent="0.2">
      <c r="A588" t="e">
        <f>IF(INDEX(Atha!$D:$D, 138)="", NA(), "Athallah (Technical Writer)")</f>
        <v>#N/A</v>
      </c>
      <c r="B588" t="e">
        <f>IF(INDEX(Atha!$D:$D, 138)="", NA(), INDEX(Atha!$B:$B, 138))</f>
        <v>#N/A</v>
      </c>
      <c r="C588" t="e">
        <f>IF(INDEX(Atha!$D:$D, 138)="", NA(), INDEX(Atha!$D:$D, 138))</f>
        <v>#N/A</v>
      </c>
      <c r="D588" t="e">
        <f>IF(INDEX(Atha!$D:$D, 138)="", NA(), INDEX(Atha!$E:$E, 138))</f>
        <v>#N/A</v>
      </c>
      <c r="E588" s="13" t="e">
        <f>IF(INDEX(Atha!$D:$D, 138)="", NA(), INDEX(Atha!$K:$K, 138))</f>
        <v>#N/A</v>
      </c>
      <c r="F588" t="e">
        <f t="shared" si="18"/>
        <v>#N/A</v>
      </c>
      <c r="G588" s="13" t="e">
        <f>IF(INDEX(Atha!$D:$D, 138)="", NA(), INDEX(Atha!$L:$L, 138))</f>
        <v>#N/A</v>
      </c>
      <c r="H588" t="e">
        <f t="shared" si="19"/>
        <v>#N/A</v>
      </c>
    </row>
    <row r="589" spans="1:8" x14ac:dyDescent="0.2">
      <c r="A589" t="e">
        <f>IF(INDEX(Atha!$D:$D, 139)="", NA(), "Athallah (Technical Writer)")</f>
        <v>#N/A</v>
      </c>
      <c r="B589" t="e">
        <f>IF(INDEX(Atha!$D:$D, 139)="", NA(), INDEX(Atha!$B:$B, 139))</f>
        <v>#N/A</v>
      </c>
      <c r="C589" t="e">
        <f>IF(INDEX(Atha!$D:$D, 139)="", NA(), INDEX(Atha!$D:$D, 139))</f>
        <v>#N/A</v>
      </c>
      <c r="D589" t="e">
        <f>IF(INDEX(Atha!$D:$D, 139)="", NA(), INDEX(Atha!$E:$E, 139))</f>
        <v>#N/A</v>
      </c>
      <c r="E589" s="13" t="e">
        <f>IF(INDEX(Atha!$D:$D, 139)="", NA(), INDEX(Atha!$K:$K, 139))</f>
        <v>#N/A</v>
      </c>
      <c r="F589" t="e">
        <f t="shared" si="18"/>
        <v>#N/A</v>
      </c>
      <c r="G589" s="13" t="e">
        <f>IF(INDEX(Atha!$D:$D, 139)="", NA(), INDEX(Atha!$L:$L, 139))</f>
        <v>#N/A</v>
      </c>
      <c r="H589" t="e">
        <f t="shared" si="19"/>
        <v>#N/A</v>
      </c>
    </row>
    <row r="590" spans="1:8" x14ac:dyDescent="0.2">
      <c r="A590" t="e">
        <f>IF(INDEX(Atha!$D:$D, 140)="", NA(), "Athallah (Technical Writer)")</f>
        <v>#N/A</v>
      </c>
      <c r="B590" t="e">
        <f>IF(INDEX(Atha!$D:$D, 140)="", NA(), INDEX(Atha!$B:$B, 140))</f>
        <v>#N/A</v>
      </c>
      <c r="C590" t="e">
        <f>IF(INDEX(Atha!$D:$D, 140)="", NA(), INDEX(Atha!$D:$D, 140))</f>
        <v>#N/A</v>
      </c>
      <c r="D590" t="e">
        <f>IF(INDEX(Atha!$D:$D, 140)="", NA(), INDEX(Atha!$E:$E, 140))</f>
        <v>#N/A</v>
      </c>
      <c r="E590" s="13" t="e">
        <f>IF(INDEX(Atha!$D:$D, 140)="", NA(), INDEX(Atha!$K:$K, 140))</f>
        <v>#N/A</v>
      </c>
      <c r="F590" t="e">
        <f t="shared" si="18"/>
        <v>#N/A</v>
      </c>
      <c r="G590" s="13" t="e">
        <f>IF(INDEX(Atha!$D:$D, 140)="", NA(), INDEX(Atha!$L:$L, 140))</f>
        <v>#N/A</v>
      </c>
      <c r="H590" t="e">
        <f t="shared" si="19"/>
        <v>#N/A</v>
      </c>
    </row>
    <row r="591" spans="1:8" x14ac:dyDescent="0.2">
      <c r="A591" t="e">
        <f>IF(INDEX(Atha!$D:$D, 141)="", NA(), "Athallah (Technical Writer)")</f>
        <v>#N/A</v>
      </c>
      <c r="B591" t="e">
        <f>IF(INDEX(Atha!$D:$D, 141)="", NA(), INDEX(Atha!$B:$B, 141))</f>
        <v>#N/A</v>
      </c>
      <c r="C591" t="e">
        <f>IF(INDEX(Atha!$D:$D, 141)="", NA(), INDEX(Atha!$D:$D, 141))</f>
        <v>#N/A</v>
      </c>
      <c r="D591" t="e">
        <f>IF(INDEX(Atha!$D:$D, 141)="", NA(), INDEX(Atha!$E:$E, 141))</f>
        <v>#N/A</v>
      </c>
      <c r="E591" s="13" t="e">
        <f>IF(INDEX(Atha!$D:$D, 141)="", NA(), INDEX(Atha!$K:$K, 141))</f>
        <v>#N/A</v>
      </c>
      <c r="F591" t="e">
        <f t="shared" si="18"/>
        <v>#N/A</v>
      </c>
      <c r="G591" s="13" t="e">
        <f>IF(INDEX(Atha!$D:$D, 141)="", NA(), INDEX(Atha!$L:$L, 141))</f>
        <v>#N/A</v>
      </c>
      <c r="H591" t="e">
        <f t="shared" si="19"/>
        <v>#N/A</v>
      </c>
    </row>
    <row r="592" spans="1:8" x14ac:dyDescent="0.2">
      <c r="A592" t="e">
        <f>IF(INDEX(Atha!$D:$D, 142)="", NA(), "Athallah (Technical Writer)")</f>
        <v>#N/A</v>
      </c>
      <c r="B592" t="e">
        <f>IF(INDEX(Atha!$D:$D, 142)="", NA(), INDEX(Atha!$B:$B, 142))</f>
        <v>#N/A</v>
      </c>
      <c r="C592" t="e">
        <f>IF(INDEX(Atha!$D:$D, 142)="", NA(), INDEX(Atha!$D:$D, 142))</f>
        <v>#N/A</v>
      </c>
      <c r="D592" t="e">
        <f>IF(INDEX(Atha!$D:$D, 142)="", NA(), INDEX(Atha!$E:$E, 142))</f>
        <v>#N/A</v>
      </c>
      <c r="E592" s="13" t="e">
        <f>IF(INDEX(Atha!$D:$D, 142)="", NA(), INDEX(Atha!$K:$K, 142))</f>
        <v>#N/A</v>
      </c>
      <c r="F592" t="e">
        <f t="shared" si="18"/>
        <v>#N/A</v>
      </c>
      <c r="G592" s="13" t="e">
        <f>IF(INDEX(Atha!$D:$D, 142)="", NA(), INDEX(Atha!$L:$L, 142))</f>
        <v>#N/A</v>
      </c>
      <c r="H592" t="e">
        <f t="shared" si="19"/>
        <v>#N/A</v>
      </c>
    </row>
    <row r="593" spans="1:8" x14ac:dyDescent="0.2">
      <c r="A593" t="e">
        <f>IF(INDEX(Atha!$D:$D, 143)="", NA(), "Athallah (Technical Writer)")</f>
        <v>#N/A</v>
      </c>
      <c r="B593" t="e">
        <f>IF(INDEX(Atha!$D:$D, 143)="", NA(), INDEX(Atha!$B:$B, 143))</f>
        <v>#N/A</v>
      </c>
      <c r="C593" t="e">
        <f>IF(INDEX(Atha!$D:$D, 143)="", NA(), INDEX(Atha!$D:$D, 143))</f>
        <v>#N/A</v>
      </c>
      <c r="D593" t="e">
        <f>IF(INDEX(Atha!$D:$D, 143)="", NA(), INDEX(Atha!$E:$E, 143))</f>
        <v>#N/A</v>
      </c>
      <c r="E593" s="13" t="e">
        <f>IF(INDEX(Atha!$D:$D, 143)="", NA(), INDEX(Atha!$K:$K, 143))</f>
        <v>#N/A</v>
      </c>
      <c r="F593" t="e">
        <f t="shared" si="18"/>
        <v>#N/A</v>
      </c>
      <c r="G593" s="13" t="e">
        <f>IF(INDEX(Atha!$D:$D, 143)="", NA(), INDEX(Atha!$L:$L, 143))</f>
        <v>#N/A</v>
      </c>
      <c r="H593" t="e">
        <f t="shared" si="19"/>
        <v>#N/A</v>
      </c>
    </row>
    <row r="594" spans="1:8" x14ac:dyDescent="0.2">
      <c r="A594" t="e">
        <f>IF(INDEX(Atha!$D:$D, 144)="", NA(), "Athallah (Technical Writer)")</f>
        <v>#N/A</v>
      </c>
      <c r="B594" t="e">
        <f>IF(INDEX(Atha!$D:$D, 144)="", NA(), INDEX(Atha!$B:$B, 144))</f>
        <v>#N/A</v>
      </c>
      <c r="C594" t="e">
        <f>IF(INDEX(Atha!$D:$D, 144)="", NA(), INDEX(Atha!$D:$D, 144))</f>
        <v>#N/A</v>
      </c>
      <c r="D594" t="e">
        <f>IF(INDEX(Atha!$D:$D, 144)="", NA(), INDEX(Atha!$E:$E, 144))</f>
        <v>#N/A</v>
      </c>
      <c r="E594" s="13" t="e">
        <f>IF(INDEX(Atha!$D:$D, 144)="", NA(), INDEX(Atha!$K:$K, 144))</f>
        <v>#N/A</v>
      </c>
      <c r="F594" t="e">
        <f t="shared" si="18"/>
        <v>#N/A</v>
      </c>
      <c r="G594" s="13" t="e">
        <f>IF(INDEX(Atha!$D:$D, 144)="", NA(), INDEX(Atha!$L:$L, 144))</f>
        <v>#N/A</v>
      </c>
      <c r="H594" t="e">
        <f t="shared" si="19"/>
        <v>#N/A</v>
      </c>
    </row>
    <row r="595" spans="1:8" x14ac:dyDescent="0.2">
      <c r="A595" t="e">
        <f>IF(INDEX(Atha!$D:$D, 145)="", NA(), "Athallah (Technical Writer)")</f>
        <v>#N/A</v>
      </c>
      <c r="B595" t="e">
        <f>IF(INDEX(Atha!$D:$D, 145)="", NA(), INDEX(Atha!$B:$B, 145))</f>
        <v>#N/A</v>
      </c>
      <c r="C595" t="e">
        <f>IF(INDEX(Atha!$D:$D, 145)="", NA(), INDEX(Atha!$D:$D, 145))</f>
        <v>#N/A</v>
      </c>
      <c r="D595" t="e">
        <f>IF(INDEX(Atha!$D:$D, 145)="", NA(), INDEX(Atha!$E:$E, 145))</f>
        <v>#N/A</v>
      </c>
      <c r="E595" s="13" t="e">
        <f>IF(INDEX(Atha!$D:$D, 145)="", NA(), INDEX(Atha!$K:$K, 145))</f>
        <v>#N/A</v>
      </c>
      <c r="F595" t="e">
        <f t="shared" si="18"/>
        <v>#N/A</v>
      </c>
      <c r="G595" s="13" t="e">
        <f>IF(INDEX(Atha!$D:$D, 145)="", NA(), INDEX(Atha!$L:$L, 145))</f>
        <v>#N/A</v>
      </c>
      <c r="H595" t="e">
        <f t="shared" si="19"/>
        <v>#N/A</v>
      </c>
    </row>
    <row r="596" spans="1:8" x14ac:dyDescent="0.2">
      <c r="A596" t="e">
        <f>IF(INDEX(Atha!$D:$D, 146)="", NA(), "Athallah (Technical Writer)")</f>
        <v>#N/A</v>
      </c>
      <c r="B596" t="e">
        <f>IF(INDEX(Atha!$D:$D, 146)="", NA(), INDEX(Atha!$B:$B, 146))</f>
        <v>#N/A</v>
      </c>
      <c r="C596" t="e">
        <f>IF(INDEX(Atha!$D:$D, 146)="", NA(), INDEX(Atha!$D:$D, 146))</f>
        <v>#N/A</v>
      </c>
      <c r="D596" t="e">
        <f>IF(INDEX(Atha!$D:$D, 146)="", NA(), INDEX(Atha!$E:$E, 146))</f>
        <v>#N/A</v>
      </c>
      <c r="E596" s="13" t="e">
        <f>IF(INDEX(Atha!$D:$D, 146)="", NA(), INDEX(Atha!$K:$K, 146))</f>
        <v>#N/A</v>
      </c>
      <c r="F596" t="e">
        <f t="shared" si="18"/>
        <v>#N/A</v>
      </c>
      <c r="G596" s="13" t="e">
        <f>IF(INDEX(Atha!$D:$D, 146)="", NA(), INDEX(Atha!$L:$L, 146))</f>
        <v>#N/A</v>
      </c>
      <c r="H596" t="e">
        <f t="shared" si="19"/>
        <v>#N/A</v>
      </c>
    </row>
    <row r="597" spans="1:8" x14ac:dyDescent="0.2">
      <c r="A597" t="e">
        <f>IF(INDEX(Atha!$D:$D, 147)="", NA(), "Athallah (Technical Writer)")</f>
        <v>#N/A</v>
      </c>
      <c r="B597" t="e">
        <f>IF(INDEX(Atha!$D:$D, 147)="", NA(), INDEX(Atha!$B:$B, 147))</f>
        <v>#N/A</v>
      </c>
      <c r="C597" t="e">
        <f>IF(INDEX(Atha!$D:$D, 147)="", NA(), INDEX(Atha!$D:$D, 147))</f>
        <v>#N/A</v>
      </c>
      <c r="D597" t="e">
        <f>IF(INDEX(Atha!$D:$D, 147)="", NA(), INDEX(Atha!$E:$E, 147))</f>
        <v>#N/A</v>
      </c>
      <c r="E597" s="13" t="e">
        <f>IF(INDEX(Atha!$D:$D, 147)="", NA(), INDEX(Atha!$K:$K, 147))</f>
        <v>#N/A</v>
      </c>
      <c r="F597" t="e">
        <f t="shared" si="18"/>
        <v>#N/A</v>
      </c>
      <c r="G597" s="13" t="e">
        <f>IF(INDEX(Atha!$D:$D, 147)="", NA(), INDEX(Atha!$L:$L, 147))</f>
        <v>#N/A</v>
      </c>
      <c r="H597" t="e">
        <f t="shared" si="19"/>
        <v>#N/A</v>
      </c>
    </row>
    <row r="598" spans="1:8" x14ac:dyDescent="0.2">
      <c r="A598" t="e">
        <f>IF(INDEX(Atha!$D:$D, 148)="", NA(), "Athallah (Technical Writer)")</f>
        <v>#N/A</v>
      </c>
      <c r="B598" t="e">
        <f>IF(INDEX(Atha!$D:$D, 148)="", NA(), INDEX(Atha!$B:$B, 148))</f>
        <v>#N/A</v>
      </c>
      <c r="C598" t="e">
        <f>IF(INDEX(Atha!$D:$D, 148)="", NA(), INDEX(Atha!$D:$D, 148))</f>
        <v>#N/A</v>
      </c>
      <c r="D598" t="e">
        <f>IF(INDEX(Atha!$D:$D, 148)="", NA(), INDEX(Atha!$E:$E, 148))</f>
        <v>#N/A</v>
      </c>
      <c r="E598" s="13" t="e">
        <f>IF(INDEX(Atha!$D:$D, 148)="", NA(), INDEX(Atha!$K:$K, 148))</f>
        <v>#N/A</v>
      </c>
      <c r="F598" t="e">
        <f t="shared" si="18"/>
        <v>#N/A</v>
      </c>
      <c r="G598" s="13" t="e">
        <f>IF(INDEX(Atha!$D:$D, 148)="", NA(), INDEX(Atha!$L:$L, 148))</f>
        <v>#N/A</v>
      </c>
      <c r="H598" t="e">
        <f t="shared" si="19"/>
        <v>#N/A</v>
      </c>
    </row>
    <row r="599" spans="1:8" x14ac:dyDescent="0.2">
      <c r="A599" t="e">
        <f>IF(INDEX(Atha!$D:$D, 149)="", NA(), "Athallah (Technical Writer)")</f>
        <v>#N/A</v>
      </c>
      <c r="B599" t="e">
        <f>IF(INDEX(Atha!$D:$D, 149)="", NA(), INDEX(Atha!$B:$B, 149))</f>
        <v>#N/A</v>
      </c>
      <c r="C599" t="e">
        <f>IF(INDEX(Atha!$D:$D, 149)="", NA(), INDEX(Atha!$D:$D, 149))</f>
        <v>#N/A</v>
      </c>
      <c r="D599" t="e">
        <f>IF(INDEX(Atha!$D:$D, 149)="", NA(), INDEX(Atha!$E:$E, 149))</f>
        <v>#N/A</v>
      </c>
      <c r="E599" s="13" t="e">
        <f>IF(INDEX(Atha!$D:$D, 149)="", NA(), INDEX(Atha!$K:$K, 149))</f>
        <v>#N/A</v>
      </c>
      <c r="F599" t="e">
        <f t="shared" si="18"/>
        <v>#N/A</v>
      </c>
      <c r="G599" s="13" t="e">
        <f>IF(INDEX(Atha!$D:$D, 149)="", NA(), INDEX(Atha!$L:$L, 149))</f>
        <v>#N/A</v>
      </c>
      <c r="H599" t="e">
        <f t="shared" si="19"/>
        <v>#N/A</v>
      </c>
    </row>
    <row r="600" spans="1:8" x14ac:dyDescent="0.2">
      <c r="A600" t="e">
        <f>IF(INDEX(Atha!$D:$D, 150)="", NA(), "Athallah (Technical Writer)")</f>
        <v>#N/A</v>
      </c>
      <c r="B600" t="e">
        <f>IF(INDEX(Atha!$D:$D, 150)="", NA(), INDEX(Atha!$B:$B, 150))</f>
        <v>#N/A</v>
      </c>
      <c r="C600" t="e">
        <f>IF(INDEX(Atha!$D:$D, 150)="", NA(), INDEX(Atha!$D:$D, 150))</f>
        <v>#N/A</v>
      </c>
      <c r="D600" t="e">
        <f>IF(INDEX(Atha!$D:$D, 150)="", NA(), INDEX(Atha!$E:$E, 150))</f>
        <v>#N/A</v>
      </c>
      <c r="E600" s="13" t="e">
        <f>IF(INDEX(Atha!$D:$D, 150)="", NA(), INDEX(Atha!$K:$K, 150))</f>
        <v>#N/A</v>
      </c>
      <c r="F600" t="e">
        <f t="shared" si="18"/>
        <v>#N/A</v>
      </c>
      <c r="G600" s="13" t="e">
        <f>IF(INDEX(Atha!$D:$D, 150)="", NA(), INDEX(Atha!$L:$L, 150))</f>
        <v>#N/A</v>
      </c>
      <c r="H600" t="e">
        <f t="shared" si="19"/>
        <v>#N/A</v>
      </c>
    </row>
    <row r="601" spans="1:8" x14ac:dyDescent="0.2">
      <c r="A601" t="e">
        <f>IF(INDEX(Atha!$D:$D, 151)="", NA(), "Athallah (Technical Writer)")</f>
        <v>#N/A</v>
      </c>
      <c r="B601" t="e">
        <f>IF(INDEX(Atha!$D:$D, 151)="", NA(), INDEX(Atha!$B:$B, 151))</f>
        <v>#N/A</v>
      </c>
      <c r="C601" t="e">
        <f>IF(INDEX(Atha!$D:$D, 151)="", NA(), INDEX(Atha!$D:$D, 151))</f>
        <v>#N/A</v>
      </c>
      <c r="D601" t="e">
        <f>IF(INDEX(Atha!$D:$D, 151)="", NA(), INDEX(Atha!$E:$E, 151))</f>
        <v>#N/A</v>
      </c>
      <c r="E601" s="13" t="e">
        <f>IF(INDEX(Atha!$D:$D, 151)="", NA(), INDEX(Atha!$K:$K, 151))</f>
        <v>#N/A</v>
      </c>
      <c r="F601" t="e">
        <f t="shared" si="18"/>
        <v>#N/A</v>
      </c>
      <c r="G601" s="13" t="e">
        <f>IF(INDEX(Atha!$D:$D, 151)="", NA(), INDEX(Atha!$L:$L, 151))</f>
        <v>#N/A</v>
      </c>
      <c r="H601" t="e">
        <f t="shared" si="19"/>
        <v>#N/A</v>
      </c>
    </row>
    <row r="602" spans="1:8" x14ac:dyDescent="0.2">
      <c r="A602" t="str">
        <f>IF(INDEX(Iqbal!$D:$D, 2)="", NA(), "Iqbal (Developer)")</f>
        <v>Iqbal (Developer)</v>
      </c>
      <c r="B602" t="str">
        <f>IF(INDEX(Iqbal!$D:$D, 2)="", NA(), INDEX(Iqbal!$B:$B, 2))</f>
        <v>Staging Cloud</v>
      </c>
      <c r="C602" t="str">
        <f>IF(INDEX(Iqbal!$D:$D, 2)="", NA(), INDEX(Iqbal!$D:$D, 2))</f>
        <v>Mempelajari Technical Specification Staging Cloud</v>
      </c>
      <c r="D602" t="str">
        <f>IF(INDEX(Iqbal!$D:$D, 2)="", NA(), INDEX(Iqbal!$E:$E, 2))</f>
        <v>DONE</v>
      </c>
      <c r="E602" s="13">
        <f>IF(INDEX(Iqbal!$D:$D, 2)="", NA(), INDEX(Iqbal!$K:$K, 2))</f>
        <v>46239</v>
      </c>
      <c r="F602">
        <f t="shared" si="18"/>
        <v>2</v>
      </c>
      <c r="G602" s="13">
        <f>IF(INDEX(Iqbal!$D:$D, 2)="", NA(), INDEX(Iqbal!$L:$L, 2))</f>
        <v>46241</v>
      </c>
      <c r="H602" t="str">
        <f t="shared" si="19"/>
        <v>Iqbal (Developer) - Staging Cloud - Mempelajari Technical Specification Staging Cloud</v>
      </c>
    </row>
    <row r="603" spans="1:8" x14ac:dyDescent="0.2">
      <c r="A603" t="str">
        <f>IF(INDEX(Iqbal!$D:$D, 3)="", NA(), "Iqbal (Developer)")</f>
        <v>Iqbal (Developer)</v>
      </c>
      <c r="B603" t="str">
        <f>IF(INDEX(Iqbal!$D:$D, 3)="", NA(), INDEX(Iqbal!$B:$B, 3))</f>
        <v>Staging Cloud</v>
      </c>
      <c r="C603" t="str">
        <f>IF(INDEX(Iqbal!$D:$D, 3)="", NA(), INDEX(Iqbal!$D:$D, 3))</f>
        <v>Mempelajari Technical Specification Staging Cloud</v>
      </c>
      <c r="D603" t="str">
        <f>IF(INDEX(Iqbal!$D:$D, 3)="", NA(), INDEX(Iqbal!$E:$E, 3))</f>
        <v>DONE</v>
      </c>
      <c r="E603" s="13">
        <f>IF(INDEX(Iqbal!$D:$D, 3)="", NA(), INDEX(Iqbal!$K:$K, 3))</f>
        <v>46239</v>
      </c>
      <c r="F603">
        <f t="shared" si="18"/>
        <v>2</v>
      </c>
      <c r="G603" s="13">
        <f>IF(INDEX(Iqbal!$D:$D, 3)="", NA(), INDEX(Iqbal!$L:$L, 3))</f>
        <v>46241</v>
      </c>
      <c r="H603" t="str">
        <f t="shared" si="19"/>
        <v>Iqbal (Developer) - Staging Cloud - Mempelajari Technical Specification Staging Cloud</v>
      </c>
    </row>
    <row r="604" spans="1:8" x14ac:dyDescent="0.2">
      <c r="A604" t="str">
        <f>IF(INDEX(Iqbal!$D:$D, 4)="", NA(), "Iqbal (Developer)")</f>
        <v>Iqbal (Developer)</v>
      </c>
      <c r="B604" t="str">
        <f>IF(INDEX(Iqbal!$D:$D, 4)="", NA(), INDEX(Iqbal!$B:$B, 4))</f>
        <v>Staging Cloud</v>
      </c>
      <c r="C604" t="str">
        <f>IF(INDEX(Iqbal!$D:$D, 4)="", NA(), INDEX(Iqbal!$D:$D, 4))</f>
        <v>Setting Environment &amp; Mencoba API yang sudah ada</v>
      </c>
      <c r="D604" t="str">
        <f>IF(INDEX(Iqbal!$D:$D, 4)="", NA(), INDEX(Iqbal!$E:$E, 4))</f>
        <v>DONE</v>
      </c>
      <c r="E604" s="13">
        <f>IF(INDEX(Iqbal!$D:$D, 4)="", NA(), INDEX(Iqbal!$K:$K, 4))</f>
        <v>46241</v>
      </c>
      <c r="F604">
        <f t="shared" si="18"/>
        <v>3</v>
      </c>
      <c r="G604" s="13">
        <f>IF(INDEX(Iqbal!$D:$D, 4)="", NA(), INDEX(Iqbal!$L:$L, 4))</f>
        <v>46244</v>
      </c>
      <c r="H604" t="str">
        <f t="shared" si="19"/>
        <v>Iqbal (Developer) - Staging Cloud - Setting Environment &amp; Mencoba API yang sudah ada</v>
      </c>
    </row>
    <row r="605" spans="1:8" x14ac:dyDescent="0.2">
      <c r="A605" t="str">
        <f>IF(INDEX(Iqbal!$D:$D, 5)="", NA(), "Iqbal (Developer)")</f>
        <v>Iqbal (Developer)</v>
      </c>
      <c r="B605" t="str">
        <f>IF(INDEX(Iqbal!$D:$D, 5)="", NA(), INDEX(Iqbal!$B:$B, 5))</f>
        <v>Staging Cloud</v>
      </c>
      <c r="C605" t="str">
        <f>IF(INDEX(Iqbal!$D:$D, 5)="", NA(), INDEX(Iqbal!$D:$D, 5))</f>
        <v>Refactor Kafka Topic dan Route agar sesuai dengan dokumentasi</v>
      </c>
      <c r="D605" t="str">
        <f>IF(INDEX(Iqbal!$D:$D, 5)="", NA(), INDEX(Iqbal!$E:$E, 5))</f>
        <v>DONE</v>
      </c>
      <c r="E605" s="13">
        <f>IF(INDEX(Iqbal!$D:$D, 5)="", NA(), INDEX(Iqbal!$K:$K, 5))</f>
        <v>46244</v>
      </c>
      <c r="F605">
        <f t="shared" si="18"/>
        <v>1</v>
      </c>
      <c r="G605" s="13">
        <f>IF(INDEX(Iqbal!$D:$D, 5)="", NA(), INDEX(Iqbal!$L:$L, 5))</f>
        <v>46244</v>
      </c>
      <c r="H605" t="str">
        <f t="shared" si="19"/>
        <v>Iqbal (Developer) - Staging Cloud - Refactor Kafka Topic dan Route agar sesuai dengan dokumentasi</v>
      </c>
    </row>
    <row r="606" spans="1:8" x14ac:dyDescent="0.2">
      <c r="A606" t="str">
        <f>IF(INDEX(Iqbal!$D:$D, 6)="", NA(), "Iqbal (Developer)")</f>
        <v>Iqbal (Developer)</v>
      </c>
      <c r="B606" t="str">
        <f>IF(INDEX(Iqbal!$D:$D, 6)="", NA(), INDEX(Iqbal!$B:$B, 6))</f>
        <v>Staging Cloud</v>
      </c>
      <c r="C606" t="str">
        <f>IF(INDEX(Iqbal!$D:$D, 6)="", NA(), INDEX(Iqbal!$D:$D, 6))</f>
        <v>Membuat System, Integration, dan Unit Test untuk Modul Material</v>
      </c>
      <c r="D606" t="str">
        <f>IF(INDEX(Iqbal!$D:$D, 6)="", NA(), INDEX(Iqbal!$E:$E, 6))</f>
        <v>DONE</v>
      </c>
      <c r="E606" s="13">
        <f>IF(INDEX(Iqbal!$D:$D, 6)="", NA(), INDEX(Iqbal!$K:$K, 6))</f>
        <v>46245</v>
      </c>
      <c r="F606">
        <f t="shared" si="18"/>
        <v>1</v>
      </c>
      <c r="G606" s="13">
        <f>IF(INDEX(Iqbal!$D:$D, 6)="", NA(), INDEX(Iqbal!$L:$L, 6))</f>
        <v>46245</v>
      </c>
      <c r="H606" t="str">
        <f t="shared" si="19"/>
        <v>Iqbal (Developer) - Staging Cloud - Membuat System, Integration, dan Unit Test untuk Modul Material</v>
      </c>
    </row>
    <row r="607" spans="1:8" x14ac:dyDescent="0.2">
      <c r="A607" t="str">
        <f>IF(INDEX(Iqbal!$D:$D, 7)="", NA(), "Iqbal (Developer)")</f>
        <v>Iqbal (Developer)</v>
      </c>
      <c r="B607" t="str">
        <f>IF(INDEX(Iqbal!$D:$D, 7)="", NA(), INDEX(Iqbal!$B:$B, 7))</f>
        <v>Staging Cloud</v>
      </c>
      <c r="C607" t="str">
        <f>IF(INDEX(Iqbal!$D:$D, 7)="", NA(), INDEX(Iqbal!$D:$D, 7))</f>
        <v>Refactor Cost Center module dan menyesuaikan database sesuai dengan Dokumentasi Teknis</v>
      </c>
      <c r="D607" t="str">
        <f>IF(INDEX(Iqbal!$D:$D, 7)="", NA(), INDEX(Iqbal!$E:$E, 7))</f>
        <v>DONE</v>
      </c>
      <c r="E607" s="13">
        <f>IF(INDEX(Iqbal!$D:$D, 7)="", NA(), INDEX(Iqbal!$K:$K, 7))</f>
        <v>46246</v>
      </c>
      <c r="F607">
        <f t="shared" si="18"/>
        <v>1</v>
      </c>
      <c r="G607" s="13">
        <f>IF(INDEX(Iqbal!$D:$D, 7)="", NA(), INDEX(Iqbal!$L:$L, 7))</f>
        <v>46246</v>
      </c>
      <c r="H607" t="str">
        <f t="shared" si="19"/>
        <v>Iqbal (Developer) - Staging Cloud - Refactor Cost Center module dan menyesuaikan database sesuai dengan Dokumentasi Teknis</v>
      </c>
    </row>
    <row r="608" spans="1:8" x14ac:dyDescent="0.2">
      <c r="A608" t="str">
        <f>IF(INDEX(Iqbal!$D:$D, 8)="", NA(), "Iqbal (Developer)")</f>
        <v>Iqbal (Developer)</v>
      </c>
      <c r="B608" t="str">
        <f>IF(INDEX(Iqbal!$D:$D, 8)="", NA(), INDEX(Iqbal!$B:$B, 8))</f>
        <v>Staging Cloud</v>
      </c>
      <c r="C608" t="str">
        <f>IF(INDEX(Iqbal!$D:$D, 8)="", NA(), INDEX(Iqbal!$D:$D, 8))</f>
        <v>Refactor response Material modul agar sesuai dengan database yang terbaru</v>
      </c>
      <c r="D608" t="str">
        <f>IF(INDEX(Iqbal!$D:$D, 8)="", NA(), INDEX(Iqbal!$E:$E, 8))</f>
        <v>DONE</v>
      </c>
      <c r="E608" s="13">
        <f>IF(INDEX(Iqbal!$D:$D, 8)="", NA(), INDEX(Iqbal!$K:$K, 8))</f>
        <v>46247</v>
      </c>
      <c r="F608">
        <f t="shared" si="18"/>
        <v>1</v>
      </c>
      <c r="G608" s="13">
        <f>IF(INDEX(Iqbal!$D:$D, 8)="", NA(), INDEX(Iqbal!$L:$L, 8))</f>
        <v>46247</v>
      </c>
      <c r="H608" t="str">
        <f t="shared" si="19"/>
        <v>Iqbal (Developer) - Staging Cloud - Refactor response Material modul agar sesuai dengan database yang terbaru</v>
      </c>
    </row>
    <row r="609" spans="1:8" x14ac:dyDescent="0.2">
      <c r="A609" t="str">
        <f>IF(INDEX(Iqbal!$D:$D, 9)="", NA(), "Iqbal (Developer)")</f>
        <v>Iqbal (Developer)</v>
      </c>
      <c r="B609" t="str">
        <f>IF(INDEX(Iqbal!$D:$D, 9)="", NA(), INDEX(Iqbal!$B:$B, 9))</f>
        <v>Staging Cloud</v>
      </c>
      <c r="C609" t="str">
        <f>IF(INDEX(Iqbal!$D:$D, 9)="", NA(), INDEX(Iqbal!$D:$D, 9))</f>
        <v>Refactor Entity, Repository (zmmdt0001, zmmdt0002, zfidt0001, zsddt0001) dan menghapus consumer kafka yang lama agar selaras dengan dokumentasi teknis</v>
      </c>
      <c r="D609" t="str">
        <f>IF(INDEX(Iqbal!$D:$D, 9)="", NA(), INDEX(Iqbal!$E:$E, 9))</f>
        <v>DONE</v>
      </c>
      <c r="E609" s="13">
        <f>IF(INDEX(Iqbal!$D:$D, 9)="", NA(), INDEX(Iqbal!$K:$K, 9))</f>
        <v>46248</v>
      </c>
      <c r="F609">
        <f t="shared" si="18"/>
        <v>1</v>
      </c>
      <c r="G609" s="13">
        <f>IF(INDEX(Iqbal!$D:$D, 9)="", NA(), INDEX(Iqbal!$L:$L, 9))</f>
        <v>46248</v>
      </c>
      <c r="H609" t="str">
        <f t="shared" si="19"/>
        <v>Iqbal (Developer) - Staging Cloud - Refactor Entity, Repository (zmmdt0001, zmmdt0002, zfidt0001, zsddt0001) dan menghapus consumer kafka yang lama agar selaras dengan dokumentasi teknis</v>
      </c>
    </row>
    <row r="610" spans="1:8" x14ac:dyDescent="0.2">
      <c r="A610" t="str">
        <f>IF(INDEX(Iqbal!$D:$D, 10)="", NA(), "Iqbal (Developer)")</f>
        <v>Iqbal (Developer)</v>
      </c>
      <c r="B610" t="str">
        <f>IF(INDEX(Iqbal!$D:$D, 10)="", NA(), INDEX(Iqbal!$B:$B, 10))</f>
        <v>Staging Cloud</v>
      </c>
      <c r="C610" t="str">
        <f>IF(INDEX(Iqbal!$D:$D, 10)="", NA(), INDEX(Iqbal!$D:$D, 10))</f>
        <v>Membuat API Transaction (POLIS, CLAIM, TREATY), Menyesuaikan delay retry menjadi 15000ms, 30000ms, dan 300000ms sebelum masuk ke DLQ, dan menambahkan kafka topic agar dapat menyesuaikan dengan request Transaction yang diterima</v>
      </c>
      <c r="D610" t="str">
        <f>IF(INDEX(Iqbal!$D:$D, 10)="", NA(), INDEX(Iqbal!$E:$E, 10))</f>
        <v>DONE</v>
      </c>
      <c r="E610" s="13">
        <f>IF(INDEX(Iqbal!$D:$D, 10)="", NA(), INDEX(Iqbal!$K:$K, 10))</f>
        <v>46252</v>
      </c>
      <c r="F610">
        <f t="shared" si="18"/>
        <v>1</v>
      </c>
      <c r="G610" s="13">
        <f>IF(INDEX(Iqbal!$D:$D, 10)="", NA(), INDEX(Iqbal!$L:$L, 10))</f>
        <v>46253</v>
      </c>
      <c r="H610" t="str">
        <f t="shared" si="19"/>
        <v>Iqbal (Developer) - Staging Cloud - Membuat API Transaction (POLIS, CLAIM, TREATY), Menyesuaikan delay retry menjadi 15000ms, 30000ms, dan 300000ms sebelum masuk ke DLQ, dan menambahkan kafka topic agar dapat menyesuaikan dengan request Transaction yang diterima</v>
      </c>
    </row>
    <row r="611" spans="1:8" x14ac:dyDescent="0.2">
      <c r="A611" t="str">
        <f>IF(INDEX(Iqbal!$D:$D, 11)="", NA(), "Iqbal (Developer)")</f>
        <v>Iqbal (Developer)</v>
      </c>
      <c r="B611" t="str">
        <f>IF(INDEX(Iqbal!$D:$D, 11)="", NA(), INDEX(Iqbal!$B:$B, 11))</f>
        <v>Staging Cloud</v>
      </c>
      <c r="C611" t="str">
        <f>IF(INDEX(Iqbal!$D:$D, 11)="", NA(), INDEX(Iqbal!$D:$D, 11))</f>
        <v>Membuat API SAP Callback Transaction Insurance</v>
      </c>
      <c r="D611" t="str">
        <f>IF(INDEX(Iqbal!$D:$D, 11)="", NA(), INDEX(Iqbal!$E:$E, 11))</f>
        <v>DONE</v>
      </c>
      <c r="E611" s="13">
        <f>IF(INDEX(Iqbal!$D:$D, 11)="", NA(), INDEX(Iqbal!$K:$K, 11))</f>
        <v>46253</v>
      </c>
      <c r="F611">
        <f t="shared" si="18"/>
        <v>1</v>
      </c>
      <c r="G611" s="13">
        <f>IF(INDEX(Iqbal!$D:$D, 11)="", NA(), INDEX(Iqbal!$L:$L, 11))</f>
        <v>46253</v>
      </c>
      <c r="H611" t="str">
        <f t="shared" si="19"/>
        <v>Iqbal (Developer) - Staging Cloud - Membuat API SAP Callback Transaction Insurance</v>
      </c>
    </row>
    <row r="612" spans="1:8" x14ac:dyDescent="0.2">
      <c r="A612" t="str">
        <f>IF(INDEX(Iqbal!$D:$D, 12)="", NA(), "Iqbal (Developer)")</f>
        <v>Iqbal (Developer)</v>
      </c>
      <c r="B612" t="str">
        <f>IF(INDEX(Iqbal!$D:$D, 12)="", NA(), INDEX(Iqbal!$B:$B, 12))</f>
        <v>Staging Cloud</v>
      </c>
      <c r="C612" t="str">
        <f>IF(INDEX(Iqbal!$D:$D, 12)="", NA(), INDEX(Iqbal!$D:$D, 12))</f>
        <v xml:space="preserve">Membuat SAP API Callback Business Partner </v>
      </c>
      <c r="D612" t="str">
        <f>IF(INDEX(Iqbal!$D:$D, 12)="", NA(), INDEX(Iqbal!$E:$E, 12))</f>
        <v>DONE</v>
      </c>
      <c r="E612" s="13">
        <f>IF(INDEX(Iqbal!$D:$D, 12)="", NA(), INDEX(Iqbal!$K:$K, 12))</f>
        <v>46254</v>
      </c>
      <c r="F612">
        <f t="shared" si="18"/>
        <v>1</v>
      </c>
      <c r="G612" s="13">
        <f>IF(INDEX(Iqbal!$D:$D, 12)="", NA(), INDEX(Iqbal!$L:$L, 12))</f>
        <v>46254</v>
      </c>
      <c r="H612" t="str">
        <f t="shared" si="19"/>
        <v xml:space="preserve">Iqbal (Developer) - Staging Cloud - Membuat SAP API Callback Business Partner </v>
      </c>
    </row>
    <row r="613" spans="1:8" x14ac:dyDescent="0.2">
      <c r="A613" t="str">
        <f>IF(INDEX(Iqbal!$D:$D, 13)="", NA(), "Iqbal (Developer)")</f>
        <v>Iqbal (Developer)</v>
      </c>
      <c r="B613" t="str">
        <f>IF(INDEX(Iqbal!$D:$D, 13)="", NA(), INDEX(Iqbal!$B:$B, 13))</f>
        <v>Staging Cloud</v>
      </c>
      <c r="C613" t="str">
        <f>IF(INDEX(Iqbal!$D:$D, 13)="", NA(), INDEX(Iqbal!$D:$D, 13))</f>
        <v>Menyesuaikan flow master data material(memastikan data divalidasi terlebih dahulu oleh TICS sebelum Callback ke SAP)</v>
      </c>
      <c r="D613" t="str">
        <f>IF(INDEX(Iqbal!$D:$D, 13)="", NA(), INDEX(Iqbal!$E:$E, 13))</f>
        <v>DONE</v>
      </c>
      <c r="E613" s="13">
        <f>IF(INDEX(Iqbal!$D:$D, 13)="", NA(), INDEX(Iqbal!$K:$K, 13))</f>
        <v>46255</v>
      </c>
      <c r="F613">
        <f t="shared" si="18"/>
        <v>1</v>
      </c>
      <c r="G613" s="13">
        <f>IF(INDEX(Iqbal!$D:$D, 13)="", NA(), INDEX(Iqbal!$L:$L, 13))</f>
        <v>46255</v>
      </c>
      <c r="H613" t="str">
        <f t="shared" si="19"/>
        <v>Iqbal (Developer) - Staging Cloud - Menyesuaikan flow master data material(memastikan data divalidasi terlebih dahulu oleh TICS sebelum Callback ke SAP)</v>
      </c>
    </row>
    <row r="614" spans="1:8" x14ac:dyDescent="0.2">
      <c r="A614" t="str">
        <f>IF(INDEX(Iqbal!$D:$D, 14)="", NA(), "Iqbal (Developer)")</f>
        <v>Iqbal (Developer)</v>
      </c>
      <c r="B614" t="str">
        <f>IF(INDEX(Iqbal!$D:$D, 14)="", NA(), INDEX(Iqbal!$B:$B, 14))</f>
        <v>Staging Cloud</v>
      </c>
      <c r="C614" t="str">
        <f>IF(INDEX(Iqbal!$D:$D, 14)="", NA(), INDEX(Iqbal!$D:$D, 14))</f>
        <v>Fix Alur Master Data Cost Center &amp; Business Partner(Outbound) agar melewati sistem TICS terlebih dahulu untuk divalidasi sebelum callback ke SAP</v>
      </c>
      <c r="D614" t="str">
        <f>IF(INDEX(Iqbal!$D:$D, 14)="", NA(), INDEX(Iqbal!$E:$E, 14))</f>
        <v>DONE</v>
      </c>
      <c r="E614" s="13">
        <f>IF(INDEX(Iqbal!$D:$D, 14)="", NA(), INDEX(Iqbal!$K:$K, 14))</f>
        <v>46258</v>
      </c>
      <c r="F614">
        <f t="shared" si="18"/>
        <v>1</v>
      </c>
      <c r="G614" s="13">
        <f>IF(INDEX(Iqbal!$D:$D, 14)="", NA(), INDEX(Iqbal!$L:$L, 14))</f>
        <v>46258</v>
      </c>
      <c r="H614" t="str">
        <f t="shared" si="19"/>
        <v>Iqbal (Developer) - Staging Cloud - Fix Alur Master Data Cost Center &amp; Business Partner(Outbound) agar melewati sistem TICS terlebih dahulu untuk divalidasi sebelum callback ke SAP</v>
      </c>
    </row>
    <row r="615" spans="1:8" x14ac:dyDescent="0.2">
      <c r="A615" t="str">
        <f>IF(INDEX(Iqbal!$D:$D, 15)="", NA(), "Iqbal (Developer)")</f>
        <v>Iqbal (Developer)</v>
      </c>
      <c r="B615" t="str">
        <f>IF(INDEX(Iqbal!$D:$D, 15)="", NA(), INDEX(Iqbal!$B:$B, 15))</f>
        <v>Staging Cloud</v>
      </c>
      <c r="C615" t="str">
        <f>IF(INDEX(Iqbal!$D:$D, 15)="", NA(), INDEX(Iqbal!$D:$D, 15))</f>
        <v>Meeting Pembahasan Deployment staging cloud dan juga persiapan testing end to end</v>
      </c>
      <c r="D615" t="str">
        <f>IF(INDEX(Iqbal!$D:$D, 15)="", NA(), INDEX(Iqbal!$E:$E, 15))</f>
        <v>DONE</v>
      </c>
      <c r="E615" s="13">
        <f>IF(INDEX(Iqbal!$D:$D, 15)="", NA(), INDEX(Iqbal!$K:$K, 15))</f>
        <v>46258</v>
      </c>
      <c r="F615">
        <f t="shared" si="18"/>
        <v>1</v>
      </c>
      <c r="G615" s="13">
        <f>IF(INDEX(Iqbal!$D:$D, 15)="", NA(), INDEX(Iqbal!$L:$L, 15))</f>
        <v>46258</v>
      </c>
      <c r="H615" t="str">
        <f t="shared" si="19"/>
        <v>Iqbal (Developer) - Staging Cloud - Meeting Pembahasan Deployment staging cloud dan juga persiapan testing end to end</v>
      </c>
    </row>
    <row r="616" spans="1:8" x14ac:dyDescent="0.2">
      <c r="A616" t="str">
        <f>IF(INDEX(Iqbal!$D:$D, 16)="", NA(), "Iqbal (Developer)")</f>
        <v>Iqbal (Developer)</v>
      </c>
      <c r="B616" t="str">
        <f>IF(INDEX(Iqbal!$D:$D, 16)="", NA(), INDEX(Iqbal!$B:$B, 16))</f>
        <v>Staging Cloud</v>
      </c>
      <c r="C616" t="str">
        <f>IF(INDEX(Iqbal!$D:$D, 16)="", NA(), INDEX(Iqbal!$D:$D, 16))</f>
        <v>Membuat dokumetasi API menggunakan Swagger</v>
      </c>
      <c r="D616" t="str">
        <f>IF(INDEX(Iqbal!$D:$D, 16)="", NA(), INDEX(Iqbal!$E:$E, 16))</f>
        <v>DONE</v>
      </c>
      <c r="E616" s="13">
        <f>IF(INDEX(Iqbal!$D:$D, 16)="", NA(), INDEX(Iqbal!$K:$K, 16))</f>
        <v>46260</v>
      </c>
      <c r="F616">
        <f t="shared" si="18"/>
        <v>1</v>
      </c>
      <c r="G616" s="13">
        <f>IF(INDEX(Iqbal!$D:$D, 16)="", NA(), INDEX(Iqbal!$L:$L, 16))</f>
        <v>46260</v>
      </c>
      <c r="H616" t="str">
        <f t="shared" si="19"/>
        <v>Iqbal (Developer) - Staging Cloud - Membuat dokumetasi API menggunakan Swagger</v>
      </c>
    </row>
    <row r="617" spans="1:8" x14ac:dyDescent="0.2">
      <c r="A617" t="str">
        <f>IF(INDEX(Iqbal!$D:$D, 17)="", NA(), "Iqbal (Developer)")</f>
        <v>Iqbal (Developer)</v>
      </c>
      <c r="B617" t="str">
        <f>IF(INDEX(Iqbal!$D:$D, 17)="", NA(), INDEX(Iqbal!$B:$B, 17))</f>
        <v>Staging Cloud</v>
      </c>
      <c r="C617" t="str">
        <f>IF(INDEX(Iqbal!$D:$D, 17)="", NA(), INDEX(Iqbal!$D:$D, 17))</f>
        <v>Membuat API Payment Insurance dan non-Insurance</v>
      </c>
      <c r="D617" t="str">
        <f>IF(INDEX(Iqbal!$D:$D, 17)="", NA(), INDEX(Iqbal!$E:$E, 17))</f>
        <v>DONE</v>
      </c>
      <c r="E617" s="13">
        <f>IF(INDEX(Iqbal!$D:$D, 17)="", NA(), INDEX(Iqbal!$K:$K, 17))</f>
        <v>46261</v>
      </c>
      <c r="F617">
        <f t="shared" si="18"/>
        <v>1</v>
      </c>
      <c r="G617" s="13">
        <f>IF(INDEX(Iqbal!$D:$D, 17)="", NA(), INDEX(Iqbal!$L:$L, 17))</f>
        <v>46262</v>
      </c>
      <c r="H617" t="str">
        <f t="shared" si="19"/>
        <v>Iqbal (Developer) - Staging Cloud - Membuat API Payment Insurance dan non-Insurance</v>
      </c>
    </row>
    <row r="618" spans="1:8" x14ac:dyDescent="0.2">
      <c r="A618" t="str">
        <f>IF(INDEX(Iqbal!$D:$D, 18)="", NA(), "Iqbal (Developer)")</f>
        <v>Iqbal (Developer)</v>
      </c>
      <c r="B618" t="str">
        <f>IF(INDEX(Iqbal!$D:$D, 18)="", NA(), INDEX(Iqbal!$B:$B, 18))</f>
        <v>Staging Cloud</v>
      </c>
      <c r="C618" t="str">
        <f>IF(INDEX(Iqbal!$D:$D, 18)="", NA(), INDEX(Iqbal!$D:$D, 18))</f>
        <v>Refactor dokumentasi code Swagger agar lebih mudah dibaca</v>
      </c>
      <c r="D618" t="str">
        <f>IF(INDEX(Iqbal!$D:$D, 18)="", NA(), INDEX(Iqbal!$E:$E, 18))</f>
        <v>DONE</v>
      </c>
      <c r="E618" s="13">
        <f>IF(INDEX(Iqbal!$D:$D, 18)="", NA(), INDEX(Iqbal!$K:$K, 18))</f>
        <v>46261</v>
      </c>
      <c r="F618">
        <f t="shared" si="18"/>
        <v>1</v>
      </c>
      <c r="G618" s="13">
        <f>IF(INDEX(Iqbal!$D:$D, 18)="", NA(), INDEX(Iqbal!$L:$L, 18))</f>
        <v>46262</v>
      </c>
      <c r="H618" t="str">
        <f t="shared" si="19"/>
        <v>Iqbal (Developer) - Staging Cloud - Refactor dokumentasi code Swagger agar lebih mudah dibaca</v>
      </c>
    </row>
    <row r="619" spans="1:8" x14ac:dyDescent="0.2">
      <c r="A619" t="str">
        <f>IF(INDEX(Iqbal!$D:$D, 19)="", NA(), "Iqbal (Developer)")</f>
        <v>Iqbal (Developer)</v>
      </c>
      <c r="B619" t="str">
        <f>IF(INDEX(Iqbal!$D:$D, 19)="", NA(), INDEX(Iqbal!$B:$B, 19))</f>
        <v>Staging Cloud</v>
      </c>
      <c r="C619" t="str">
        <f>IF(INDEX(Iqbal!$D:$D, 19)="", NA(), INDEX(Iqbal!$D:$D, 19))</f>
        <v>Membuat fitur stress test untuk mengetahui max RPS</v>
      </c>
      <c r="D619" t="str">
        <f>IF(INDEX(Iqbal!$D:$D, 19)="", NA(), INDEX(Iqbal!$E:$E, 19))</f>
        <v>DONE</v>
      </c>
      <c r="E619" s="13">
        <f>IF(INDEX(Iqbal!$D:$D, 19)="", NA(), INDEX(Iqbal!$K:$K, 19))</f>
        <v>46265</v>
      </c>
      <c r="F619">
        <f t="shared" si="18"/>
        <v>1</v>
      </c>
      <c r="G619" s="13">
        <f>IF(INDEX(Iqbal!$D:$D, 19)="", NA(), INDEX(Iqbal!$L:$L, 19))</f>
        <v>46266</v>
      </c>
      <c r="H619" t="str">
        <f t="shared" si="19"/>
        <v>Iqbal (Developer) - Staging Cloud - Membuat fitur stress test untuk mengetahui max RPS</v>
      </c>
    </row>
    <row r="620" spans="1:8" x14ac:dyDescent="0.2">
      <c r="A620" t="str">
        <f>IF(INDEX(Iqbal!$D:$D, 20)="", NA(), "Iqbal (Developer)")</f>
        <v>Iqbal (Developer)</v>
      </c>
      <c r="B620" t="str">
        <f>IF(INDEX(Iqbal!$D:$D, 20)="", NA(), INDEX(Iqbal!$B:$B, 20))</f>
        <v>Staging Cloud</v>
      </c>
      <c r="C620" t="str">
        <f>IF(INDEX(Iqbal!$D:$D, 20)="", NA(), INDEX(Iqbal!$D:$D, 20))</f>
        <v>Meeting membahas agenda deployment staging ke cloud dan membahasn penambahan tools pgbouncer dan optimasi circuit breaker</v>
      </c>
      <c r="D620" t="str">
        <f>IF(INDEX(Iqbal!$D:$D, 20)="", NA(), INDEX(Iqbal!$E:$E, 20))</f>
        <v>DONE</v>
      </c>
      <c r="E620" s="13">
        <f>IF(INDEX(Iqbal!$D:$D, 20)="", NA(), INDEX(Iqbal!$K:$K, 20))</f>
        <v>46266</v>
      </c>
      <c r="F620">
        <f t="shared" si="18"/>
        <v>1</v>
      </c>
      <c r="G620" s="13">
        <f>IF(INDEX(Iqbal!$D:$D, 20)="", NA(), INDEX(Iqbal!$L:$L, 20))</f>
        <v>46266</v>
      </c>
      <c r="H620" t="str">
        <f t="shared" si="19"/>
        <v>Iqbal (Developer) - Staging Cloud - Meeting membahas agenda deployment staging ke cloud dan membahasn penambahan tools pgbouncer dan optimasi circuit breaker</v>
      </c>
    </row>
    <row r="621" spans="1:8" x14ac:dyDescent="0.2">
      <c r="A621" t="str">
        <f>IF(INDEX(Iqbal!$D:$D, 21)="", NA(), "Iqbal (Developer)")</f>
        <v>Iqbal (Developer)</v>
      </c>
      <c r="B621" t="str">
        <f>IF(INDEX(Iqbal!$D:$D, 21)="", NA(), INDEX(Iqbal!$B:$B, 21))</f>
        <v>Staging Cloud</v>
      </c>
      <c r="C621" t="str">
        <f>IF(INDEX(Iqbal!$D:$D, 21)="", NA(), INDEX(Iqbal!$D:$D, 21))</f>
        <v>Optimasi Kafka menggunakan mini batch processing</v>
      </c>
      <c r="D621" t="str">
        <f>IF(INDEX(Iqbal!$D:$D, 21)="", NA(), INDEX(Iqbal!$E:$E, 21))</f>
        <v>DONE</v>
      </c>
      <c r="E621" s="13">
        <f>IF(INDEX(Iqbal!$D:$D, 21)="", NA(), INDEX(Iqbal!$K:$K, 21))</f>
        <v>46266</v>
      </c>
      <c r="F621">
        <f t="shared" si="18"/>
        <v>1</v>
      </c>
      <c r="G621" s="13">
        <f>IF(INDEX(Iqbal!$D:$D, 21)="", NA(), INDEX(Iqbal!$L:$L, 21))</f>
        <v>46267</v>
      </c>
      <c r="H621" t="str">
        <f t="shared" si="19"/>
        <v>Iqbal (Developer) - Staging Cloud - Optimasi Kafka menggunakan mini batch processing</v>
      </c>
    </row>
    <row r="622" spans="1:8" x14ac:dyDescent="0.2">
      <c r="A622" t="str">
        <f>IF(INDEX(Iqbal!$D:$D, 22)="", NA(), "Iqbal (Developer)")</f>
        <v>Iqbal (Developer)</v>
      </c>
      <c r="B622" t="str">
        <f>IF(INDEX(Iqbal!$D:$D, 22)="", NA(), INDEX(Iqbal!$B:$B, 22))</f>
        <v>Staging Cloud</v>
      </c>
      <c r="C622" t="str">
        <f>IF(INDEX(Iqbal!$D:$D, 22)="", NA(), INDEX(Iqbal!$D:$D, 22))</f>
        <v xml:space="preserve">Optimasi query pengecekan duplicate data sebelum masuk ke dalam database yang sebelumnya manual diganti menggunakan Unique Constraint </v>
      </c>
      <c r="D622" t="str">
        <f>IF(INDEX(Iqbal!$D:$D, 22)="", NA(), INDEX(Iqbal!$E:$E, 22))</f>
        <v>DONE</v>
      </c>
      <c r="E622" s="13">
        <f>IF(INDEX(Iqbal!$D:$D, 22)="", NA(), INDEX(Iqbal!$K:$K, 22))</f>
        <v>46267</v>
      </c>
      <c r="F622">
        <f t="shared" si="18"/>
        <v>1</v>
      </c>
      <c r="G622" s="13">
        <f>IF(INDEX(Iqbal!$D:$D, 22)="", NA(), INDEX(Iqbal!$L:$L, 22))</f>
        <v>46267</v>
      </c>
      <c r="H622" t="str">
        <f t="shared" si="19"/>
        <v xml:space="preserve">Iqbal (Developer) - Staging Cloud - Optimasi query pengecekan duplicate data sebelum masuk ke dalam database yang sebelumnya manual diganti menggunakan Unique Constraint </v>
      </c>
    </row>
    <row r="623" spans="1:8" x14ac:dyDescent="0.2">
      <c r="A623" t="str">
        <f>IF(INDEX(Iqbal!$D:$D, 23)="", NA(), "Iqbal (Developer)")</f>
        <v>Iqbal (Developer)</v>
      </c>
      <c r="B623" t="str">
        <f>IF(INDEX(Iqbal!$D:$D, 23)="", NA(), INDEX(Iqbal!$B:$B, 23))</f>
        <v>Staging Cloud</v>
      </c>
      <c r="C623" t="str">
        <f>IF(INDEX(Iqbal!$D:$D, 23)="", NA(), INDEX(Iqbal!$D:$D, 23))</f>
        <v xml:space="preserve">Menambahkan fitur masking untuk melindungi data sensitive di logs </v>
      </c>
      <c r="D623" t="str">
        <f>IF(INDEX(Iqbal!$D:$D, 23)="", NA(), INDEX(Iqbal!$E:$E, 23))</f>
        <v>DONE</v>
      </c>
      <c r="E623" s="13">
        <f>IF(INDEX(Iqbal!$D:$D, 23)="", NA(), INDEX(Iqbal!$K:$K, 23))</f>
        <v>46268</v>
      </c>
      <c r="F623">
        <f t="shared" si="18"/>
        <v>1</v>
      </c>
      <c r="G623" s="13">
        <f>IF(INDEX(Iqbal!$D:$D, 23)="", NA(), INDEX(Iqbal!$L:$L, 23))</f>
        <v>46268</v>
      </c>
      <c r="H623" t="str">
        <f t="shared" si="19"/>
        <v xml:space="preserve">Iqbal (Developer) - Staging Cloud - Menambahkan fitur masking untuk melindungi data sensitive di logs </v>
      </c>
    </row>
    <row r="624" spans="1:8" x14ac:dyDescent="0.2">
      <c r="A624" t="str">
        <f>IF(INDEX(Iqbal!$D:$D, 24)="", NA(), "Iqbal (Developer)")</f>
        <v>Iqbal (Developer)</v>
      </c>
      <c r="B624" t="str">
        <f>IF(INDEX(Iqbal!$D:$D, 24)="", NA(), INDEX(Iqbal!$B:$B, 24))</f>
        <v>Staging Cloud</v>
      </c>
      <c r="C624" t="str">
        <f>IF(INDEX(Iqbal!$D:$D, 24)="", NA(), INDEX(Iqbal!$D:$D, 24))</f>
        <v>Menambahkan pgbouncer sebagi database pooling untuk mengurangi latency ketika traffic naik</v>
      </c>
      <c r="D624" t="str">
        <f>IF(INDEX(Iqbal!$D:$D, 24)="", NA(), INDEX(Iqbal!$E:$E, 24))</f>
        <v>DONE</v>
      </c>
      <c r="E624" s="13">
        <f>IF(INDEX(Iqbal!$D:$D, 24)="", NA(), INDEX(Iqbal!$K:$K, 24))</f>
        <v>46269</v>
      </c>
      <c r="F624">
        <f t="shared" si="18"/>
        <v>1</v>
      </c>
      <c r="G624" s="13">
        <f>IF(INDEX(Iqbal!$D:$D, 24)="", NA(), INDEX(Iqbal!$L:$L, 24))</f>
        <v>46269</v>
      </c>
      <c r="H624" t="str">
        <f t="shared" si="19"/>
        <v>Iqbal (Developer) - Staging Cloud - Menambahkan pgbouncer sebagi database pooling untuk mengurangi latency ketika traffic naik</v>
      </c>
    </row>
    <row r="625" spans="1:8" x14ac:dyDescent="0.2">
      <c r="A625" t="str">
        <f>IF(INDEX(Iqbal!$D:$D, 25)="", NA(), "Iqbal (Developer)")</f>
        <v>Iqbal (Developer)</v>
      </c>
      <c r="B625" t="str">
        <f>IF(INDEX(Iqbal!$D:$D, 25)="", NA(), INDEX(Iqbal!$B:$B, 25))</f>
        <v>Staging Cloud</v>
      </c>
      <c r="C625" t="str">
        <f>IF(INDEX(Iqbal!$D:$D, 25)="", NA(), INDEX(Iqbal!$D:$D, 25))</f>
        <v>Standarisasi Canonical DLQ Envelope</v>
      </c>
      <c r="D625" t="str">
        <f>IF(INDEX(Iqbal!$D:$D, 25)="", NA(), INDEX(Iqbal!$E:$E, 25))</f>
        <v>DONE</v>
      </c>
      <c r="E625" s="13">
        <f>IF(INDEX(Iqbal!$D:$D, 25)="", NA(), INDEX(Iqbal!$K:$K, 25))</f>
        <v>46272</v>
      </c>
      <c r="F625">
        <f t="shared" si="18"/>
        <v>1</v>
      </c>
      <c r="G625" s="13">
        <f>IF(INDEX(Iqbal!$D:$D, 25)="", NA(), INDEX(Iqbal!$L:$L, 25))</f>
        <v>46272</v>
      </c>
      <c r="H625" t="str">
        <f t="shared" si="19"/>
        <v>Iqbal (Developer) - Staging Cloud - Standarisasi Canonical DLQ Envelope</v>
      </c>
    </row>
    <row r="626" spans="1:8" x14ac:dyDescent="0.2">
      <c r="A626" t="str">
        <f>IF(INDEX(Iqbal!$D:$D, 26)="", NA(), "Iqbal (Developer)")</f>
        <v>Iqbal (Developer)</v>
      </c>
      <c r="B626" t="str">
        <f>IF(INDEX(Iqbal!$D:$D, 26)="", NA(), INDEX(Iqbal!$B:$B, 26))</f>
        <v>Staging Cloud</v>
      </c>
      <c r="C626" t="str">
        <f>IF(INDEX(Iqbal!$D:$D, 26)="", NA(), INDEX(Iqbal!$D:$D, 26))</f>
        <v>Merancang Penerapan Circuit Breaker</v>
      </c>
      <c r="D626" t="str">
        <f>IF(INDEX(Iqbal!$D:$D, 26)="", NA(), INDEX(Iqbal!$E:$E, 26))</f>
        <v>DONE</v>
      </c>
      <c r="E626" s="13">
        <f>IF(INDEX(Iqbal!$D:$D, 26)="", NA(), INDEX(Iqbal!$K:$K, 26))</f>
        <v>46273</v>
      </c>
      <c r="F626">
        <f t="shared" si="18"/>
        <v>2</v>
      </c>
      <c r="G626" s="13">
        <f>IF(INDEX(Iqbal!$D:$D, 26)="", NA(), INDEX(Iqbal!$L:$L, 26))</f>
        <v>46275</v>
      </c>
      <c r="H626" t="str">
        <f t="shared" si="19"/>
        <v>Iqbal (Developer) - Staging Cloud - Merancang Penerapan Circuit Breaker</v>
      </c>
    </row>
    <row r="627" spans="1:8" x14ac:dyDescent="0.2">
      <c r="A627" t="str">
        <f>IF(INDEX(Iqbal!$D:$D, 27)="", NA(), "Iqbal (Developer)")</f>
        <v>Iqbal (Developer)</v>
      </c>
      <c r="B627" t="str">
        <f>IF(INDEX(Iqbal!$D:$D, 27)="", NA(), INDEX(Iqbal!$B:$B, 27))</f>
        <v>Staging Cloud</v>
      </c>
      <c r="C627" t="str">
        <f>IF(INDEX(Iqbal!$D:$D, 27)="", NA(), INDEX(Iqbal!$D:$D, 27))</f>
        <v>Membuat fitur untuk menghentikan Kafka melakukan consume data ketika circuit breaker pada state ON</v>
      </c>
      <c r="D627" t="str">
        <f>IF(INDEX(Iqbal!$D:$D, 27)="", NA(), INDEX(Iqbal!$E:$E, 27))</f>
        <v>DONE</v>
      </c>
      <c r="E627" s="13">
        <f>IF(INDEX(Iqbal!$D:$D, 27)="", NA(), INDEX(Iqbal!$K:$K, 27))</f>
        <v>46275</v>
      </c>
      <c r="F627">
        <f t="shared" si="18"/>
        <v>1</v>
      </c>
      <c r="G627" s="13">
        <f>IF(INDEX(Iqbal!$D:$D, 27)="", NA(), INDEX(Iqbal!$L:$L, 27))</f>
        <v>46276</v>
      </c>
      <c r="H627" t="str">
        <f t="shared" si="19"/>
        <v>Iqbal (Developer) - Staging Cloud - Membuat fitur untuk menghentikan Kafka melakukan consume data ketika circuit breaker pada state ON</v>
      </c>
    </row>
    <row r="628" spans="1:8" x14ac:dyDescent="0.2">
      <c r="A628" t="str">
        <f>IF(INDEX(Iqbal!$D:$D, 28)="", NA(), "Iqbal (Developer)")</f>
        <v>Iqbal (Developer)</v>
      </c>
      <c r="B628" t="str">
        <f>IF(INDEX(Iqbal!$D:$D, 28)="", NA(), INDEX(Iqbal!$B:$B, 28))</f>
        <v>Staging Cloud</v>
      </c>
      <c r="C628" t="str">
        <f>IF(INDEX(Iqbal!$D:$D, 28)="", NA(), INDEX(Iqbal!$D:$D, 28))</f>
        <v>Mempelajari dokumen Digital Signature TCES-TICS untuk diterapkan di staging</v>
      </c>
      <c r="D628" t="str">
        <f>IF(INDEX(Iqbal!$D:$D, 28)="", NA(), INDEX(Iqbal!$E:$E, 28))</f>
        <v>DONE</v>
      </c>
      <c r="E628" s="13">
        <f>IF(INDEX(Iqbal!$D:$D, 28)="", NA(), INDEX(Iqbal!$K:$K, 28))</f>
        <v>46279</v>
      </c>
      <c r="F628">
        <f t="shared" si="18"/>
        <v>1</v>
      </c>
      <c r="G628" s="13">
        <f>IF(INDEX(Iqbal!$D:$D, 28)="", NA(), INDEX(Iqbal!$L:$L, 28))</f>
        <v>46280</v>
      </c>
      <c r="H628" t="str">
        <f t="shared" si="19"/>
        <v>Iqbal (Developer) - Staging Cloud - Mempelajari dokumen Digital Signature TCES-TICS untuk diterapkan di staging</v>
      </c>
    </row>
    <row r="629" spans="1:8" x14ac:dyDescent="0.2">
      <c r="A629" t="str">
        <f>IF(INDEX(Iqbal!$D:$D, 29)="", NA(), "Iqbal (Developer)")</f>
        <v>Iqbal (Developer)</v>
      </c>
      <c r="B629" t="str">
        <f>IF(INDEX(Iqbal!$D:$D, 29)="", NA(), INDEX(Iqbal!$B:$B, 29))</f>
        <v>Staging Cloud</v>
      </c>
      <c r="C629" t="str">
        <f>IF(INDEX(Iqbal!$D:$D, 29)="", NA(), INDEX(Iqbal!$D:$D, 29))</f>
        <v>Meeting Membahas Penambahan tabel di TICS untuk menampung informasi payroll, polis, dan detail SAP</v>
      </c>
      <c r="D629" t="str">
        <f>IF(INDEX(Iqbal!$D:$D, 29)="", NA(), INDEX(Iqbal!$E:$E, 29))</f>
        <v>DONE</v>
      </c>
      <c r="E629" s="13">
        <f>IF(INDEX(Iqbal!$D:$D, 29)="", NA(), INDEX(Iqbal!$K:$K, 29))</f>
        <v>46280</v>
      </c>
      <c r="F629">
        <f t="shared" si="18"/>
        <v>1</v>
      </c>
      <c r="G629" s="13">
        <f>IF(INDEX(Iqbal!$D:$D, 29)="", NA(), INDEX(Iqbal!$L:$L, 29))</f>
        <v>46280</v>
      </c>
      <c r="H629" t="str">
        <f t="shared" si="19"/>
        <v>Iqbal (Developer) - Staging Cloud - Meeting Membahas Penambahan tabel di TICS untuk menampung informasi payroll, polis, dan detail SAP</v>
      </c>
    </row>
    <row r="630" spans="1:8" x14ac:dyDescent="0.2">
      <c r="A630" t="str">
        <f>IF(INDEX(Iqbal!$D:$D, 30)="", NA(), "Iqbal (Developer)")</f>
        <v>Iqbal (Developer)</v>
      </c>
      <c r="B630" t="str">
        <f>IF(INDEX(Iqbal!$D:$D, 30)="", NA(), INDEX(Iqbal!$B:$B, 30))</f>
        <v>Staging Cloud</v>
      </c>
      <c r="C630" t="str">
        <f>IF(INDEX(Iqbal!$D:$D, 30)="", NA(), INDEX(Iqbal!$D:$D, 30))</f>
        <v>Membuat konfigurasi Nginx dan Docker untuk menjalankan project Staging di GCP</v>
      </c>
      <c r="D630" t="str">
        <f>IF(INDEX(Iqbal!$D:$D, 30)="", NA(), INDEX(Iqbal!$E:$E, 30))</f>
        <v>DONE</v>
      </c>
      <c r="E630" s="13">
        <f>IF(INDEX(Iqbal!$D:$D, 30)="", NA(), INDEX(Iqbal!$K:$K, 30))</f>
        <v>46281</v>
      </c>
      <c r="F630">
        <f t="shared" si="18"/>
        <v>1</v>
      </c>
      <c r="G630" s="13">
        <f>IF(INDEX(Iqbal!$D:$D, 30)="", NA(), INDEX(Iqbal!$L:$L, 30))</f>
        <v>46282</v>
      </c>
      <c r="H630" t="str">
        <f t="shared" si="19"/>
        <v>Iqbal (Developer) - Staging Cloud - Membuat konfigurasi Nginx dan Docker untuk menjalankan project Staging di GCP</v>
      </c>
    </row>
    <row r="631" spans="1:8" x14ac:dyDescent="0.2">
      <c r="A631" t="str">
        <f>IF(INDEX(Iqbal!$D:$D, 31)="", NA(), "Iqbal (Developer)")</f>
        <v>Iqbal (Developer)</v>
      </c>
      <c r="B631" t="str">
        <f>IF(INDEX(Iqbal!$D:$D, 31)="", NA(), INDEX(Iqbal!$B:$B, 31))</f>
        <v>Staging Cloud</v>
      </c>
      <c r="C631" t="str">
        <f>IF(INDEX(Iqbal!$D:$D, 31)="", NA(), INDEX(Iqbal!$D:$D, 31))</f>
        <v>Debug konfigurasi docker dan nginx project staging</v>
      </c>
      <c r="D631" t="str">
        <f>IF(INDEX(Iqbal!$D:$D, 31)="", NA(), INDEX(Iqbal!$E:$E, 31))</f>
        <v>DONE</v>
      </c>
      <c r="E631" s="13">
        <f>IF(INDEX(Iqbal!$D:$D, 31)="", NA(), INDEX(Iqbal!$K:$K, 31))</f>
        <v>46282</v>
      </c>
      <c r="F631">
        <f t="shared" si="18"/>
        <v>4</v>
      </c>
      <c r="G631" s="13">
        <f>IF(INDEX(Iqbal!$D:$D, 31)="", NA(), INDEX(Iqbal!$L:$L, 31))</f>
        <v>46286</v>
      </c>
      <c r="H631" t="str">
        <f t="shared" si="19"/>
        <v>Iqbal (Developer) - Staging Cloud - Debug konfigurasi docker dan nginx project staging</v>
      </c>
    </row>
    <row r="632" spans="1:8" x14ac:dyDescent="0.2">
      <c r="A632" t="str">
        <f>IF(INDEX(Iqbal!$D:$D, 32)="", NA(), "Iqbal (Developer)")</f>
        <v>Iqbal (Developer)</v>
      </c>
      <c r="B632" t="str">
        <f>IF(INDEX(Iqbal!$D:$D, 32)="", NA(), INDEX(Iqbal!$B:$B, 32))</f>
        <v>Staging Cloud</v>
      </c>
      <c r="C632" t="str">
        <f>IF(INDEX(Iqbal!$D:$D, 32)="", NA(), INDEX(Iqbal!$D:$D, 32))</f>
        <v>Transfer Knowledge TCES</v>
      </c>
      <c r="D632" t="str">
        <f>IF(INDEX(Iqbal!$D:$D, 32)="", NA(), INDEX(Iqbal!$E:$E, 32))</f>
        <v>DONE</v>
      </c>
      <c r="E632" s="13">
        <f>IF(INDEX(Iqbal!$D:$D, 32)="", NA(), INDEX(Iqbal!$K:$K, 32))</f>
        <v>46283</v>
      </c>
      <c r="F632">
        <f t="shared" si="18"/>
        <v>1</v>
      </c>
      <c r="G632" s="13">
        <f>IF(INDEX(Iqbal!$D:$D, 32)="", NA(), INDEX(Iqbal!$L:$L, 32))</f>
        <v>46283</v>
      </c>
      <c r="H632" t="str">
        <f t="shared" si="19"/>
        <v>Iqbal (Developer) - Staging Cloud - Transfer Knowledge TCES</v>
      </c>
    </row>
    <row r="633" spans="1:8" x14ac:dyDescent="0.2">
      <c r="A633" t="str">
        <f>IF(INDEX(Iqbal!$D:$D, 33)="", NA(), "Iqbal (Developer)")</f>
        <v>Iqbal (Developer)</v>
      </c>
      <c r="B633" t="str">
        <f>IF(INDEX(Iqbal!$D:$D, 33)="", NA(), INDEX(Iqbal!$B:$B, 33))</f>
        <v>Staging Cloud</v>
      </c>
      <c r="C633" t="str">
        <f>IF(INDEX(Iqbal!$D:$D, 33)="", NA(), INDEX(Iqbal!$D:$D, 33))</f>
        <v>Setup core crypto foundation, security config, dan PEM Key</v>
      </c>
      <c r="D633" t="str">
        <f>IF(INDEX(Iqbal!$D:$D, 33)="", NA(), INDEX(Iqbal!$E:$E, 33))</f>
        <v>DONE</v>
      </c>
      <c r="E633" s="13">
        <f>IF(INDEX(Iqbal!$D:$D, 33)="", NA(), INDEX(Iqbal!$K:$K, 33))</f>
        <v>46287</v>
      </c>
      <c r="F633">
        <f t="shared" si="18"/>
        <v>1</v>
      </c>
      <c r="G633" s="13">
        <f>IF(INDEX(Iqbal!$D:$D, 33)="", NA(), INDEX(Iqbal!$L:$L, 33))</f>
        <v>46287</v>
      </c>
      <c r="H633" t="str">
        <f t="shared" si="19"/>
        <v>Iqbal (Developer) - Staging Cloud - Setup core crypto foundation, security config, dan PEM Key</v>
      </c>
    </row>
    <row r="634" spans="1:8" x14ac:dyDescent="0.2">
      <c r="A634" t="str">
        <f>IF(INDEX(Iqbal!$D:$D, 34)="", NA(), "Iqbal (Developer)")</f>
        <v>Iqbal (Developer)</v>
      </c>
      <c r="B634" t="str">
        <f>IF(INDEX(Iqbal!$D:$D, 34)="", NA(), INDEX(Iqbal!$B:$B, 34))</f>
        <v>Staging Cloud</v>
      </c>
      <c r="C634" t="str">
        <f>IF(INDEX(Iqbal!$D:$D, 34)="", NA(), INDEX(Iqbal!$D:$D, 34))</f>
        <v>Migrasi project staging cloud dari VM tugu-development ke tugu-api-integration(setup github, docker, database)</v>
      </c>
      <c r="D634" t="str">
        <f>IF(INDEX(Iqbal!$D:$D, 34)="", NA(), INDEX(Iqbal!$E:$E, 34))</f>
        <v>DONE</v>
      </c>
      <c r="E634" s="13">
        <f>IF(INDEX(Iqbal!$D:$D, 34)="", NA(), INDEX(Iqbal!$K:$K, 34))</f>
        <v>46288</v>
      </c>
      <c r="F634">
        <f t="shared" si="18"/>
        <v>1</v>
      </c>
      <c r="G634" s="13">
        <f>IF(INDEX(Iqbal!$D:$D, 34)="", NA(), INDEX(Iqbal!$L:$L, 34))</f>
        <v>46289</v>
      </c>
      <c r="H634" t="str">
        <f t="shared" si="19"/>
        <v>Iqbal (Developer) - Staging Cloud - Migrasi project staging cloud dari VM tugu-development ke tugu-api-integration(setup github, docker, database)</v>
      </c>
    </row>
    <row r="635" spans="1:8" x14ac:dyDescent="0.2">
      <c r="A635" t="str">
        <f>IF(INDEX(Iqbal!$D:$D, 35)="", NA(), "Iqbal (Developer)")</f>
        <v>Iqbal (Developer)</v>
      </c>
      <c r="B635" t="str">
        <f>IF(INDEX(Iqbal!$D:$D, 35)="", NA(), INDEX(Iqbal!$B:$B, 35))</f>
        <v>Staging Cloud</v>
      </c>
      <c r="C635" t="str">
        <f>IF(INDEX(Iqbal!$D:$D, 35)="", NA(), INDEX(Iqbal!$D:$D, 35))</f>
        <v>Konfigurasi docker network dan firewall rules di VM tugu-api-integration</v>
      </c>
      <c r="D635" t="str">
        <f>IF(INDEX(Iqbal!$D:$D, 35)="", NA(), INDEX(Iqbal!$E:$E, 35))</f>
        <v>DONE</v>
      </c>
      <c r="E635" s="13">
        <f>IF(INDEX(Iqbal!$D:$D, 35)="", NA(), INDEX(Iqbal!$K:$K, 35))</f>
        <v>46289</v>
      </c>
      <c r="F635">
        <f t="shared" si="18"/>
        <v>1</v>
      </c>
      <c r="G635" s="13">
        <f>IF(INDEX(Iqbal!$D:$D, 35)="", NA(), INDEX(Iqbal!$L:$L, 35))</f>
        <v>46289</v>
      </c>
      <c r="H635" t="str">
        <f t="shared" si="19"/>
        <v>Iqbal (Developer) - Staging Cloud - Konfigurasi docker network dan firewall rules di VM tugu-api-integration</v>
      </c>
    </row>
    <row r="636" spans="1:8" x14ac:dyDescent="0.2">
      <c r="A636" t="str">
        <f>IF(INDEX(Iqbal!$D:$D, 36)="", NA(), "Iqbal (Developer)")</f>
        <v>Iqbal (Developer)</v>
      </c>
      <c r="B636" t="str">
        <f>IF(INDEX(Iqbal!$D:$D, 36)="", NA(), INDEX(Iqbal!$B:$B, 36))</f>
        <v>Staging Cloud</v>
      </c>
      <c r="C636" t="str">
        <f>IF(INDEX(Iqbal!$D:$D, 36)="", NA(), INDEX(Iqbal!$D:$D, 36))</f>
        <v>Konfigurasi nginx, network redis, kafka, pgbouncer dan database</v>
      </c>
      <c r="D636" t="str">
        <f>IF(INDEX(Iqbal!$D:$D, 36)="", NA(), INDEX(Iqbal!$E:$E, 36))</f>
        <v>DONE</v>
      </c>
      <c r="E636" s="13">
        <f>IF(INDEX(Iqbal!$D:$D, 36)="", NA(), INDEX(Iqbal!$K:$K, 36))</f>
        <v>46289</v>
      </c>
      <c r="F636">
        <f t="shared" si="18"/>
        <v>1</v>
      </c>
      <c r="G636" s="13">
        <f>IF(INDEX(Iqbal!$D:$D, 36)="", NA(), INDEX(Iqbal!$L:$L, 36))</f>
        <v>46289</v>
      </c>
      <c r="H636" t="str">
        <f t="shared" si="19"/>
        <v>Iqbal (Developer) - Staging Cloud - Konfigurasi nginx, network redis, kafka, pgbouncer dan database</v>
      </c>
    </row>
    <row r="637" spans="1:8" x14ac:dyDescent="0.2">
      <c r="A637" t="str">
        <f>IF(INDEX(Iqbal!$D:$D, 37)="", NA(), "Iqbal (Developer)")</f>
        <v>Iqbal (Developer)</v>
      </c>
      <c r="B637" t="str">
        <f>IF(INDEX(Iqbal!$D:$D, 37)="", NA(), INDEX(Iqbal!$B:$B, 37))</f>
        <v>Staging Cloud</v>
      </c>
      <c r="C637" t="str">
        <f>IF(INDEX(Iqbal!$D:$D, 37)="", NA(), INDEX(Iqbal!$D:$D, 37))</f>
        <v>Menyelesaikan implementasi Inbound Security Guard Middleware untuk memproteksi endpoint inbound TICS melalui validasi Digital Signature RSA-SHA256, proteksi anti-reply timestamp, dan otomasi deskripsi data sensitif insured</v>
      </c>
      <c r="D637" t="str">
        <f>IF(INDEX(Iqbal!$D:$D, 37)="", NA(), INDEX(Iqbal!$E:$E, 37))</f>
        <v>DONE</v>
      </c>
      <c r="E637" s="13">
        <f>IF(INDEX(Iqbal!$D:$D, 37)="", NA(), INDEX(Iqbal!$K:$K, 37))</f>
        <v>46290</v>
      </c>
      <c r="F637">
        <f t="shared" si="18"/>
        <v>1</v>
      </c>
      <c r="G637" s="13">
        <f>IF(INDEX(Iqbal!$D:$D, 37)="", NA(), INDEX(Iqbal!$L:$L, 37))</f>
        <v>46290</v>
      </c>
      <c r="H637" t="str">
        <f t="shared" si="19"/>
        <v>Iqbal (Developer) - Staging Cloud - Menyelesaikan implementasi Inbound Security Guard Middleware untuk memproteksi endpoint inbound TICS melalui validasi Digital Signature RSA-SHA256, proteksi anti-reply timestamp, dan otomasi deskripsi data sensitif insured</v>
      </c>
    </row>
    <row r="638" spans="1:8" x14ac:dyDescent="0.2">
      <c r="A638" t="str">
        <f>IF(INDEX(Iqbal!$D:$D, 38)="", NA(), "Iqbal (Developer)")</f>
        <v>Iqbal (Developer)</v>
      </c>
      <c r="B638" t="str">
        <f>IF(INDEX(Iqbal!$D:$D, 38)="", NA(), INDEX(Iqbal!$B:$B, 38))</f>
        <v>Staging Cloud</v>
      </c>
      <c r="C638" t="str">
        <f>IF(INDEX(Iqbal!$D:$D, 38)="", NA(), INDEX(Iqbal!$D:$D, 38))</f>
        <v>Debug konfigurasi Dockerfile di VM tugu-api-integration</v>
      </c>
      <c r="D638" t="str">
        <f>IF(INDEX(Iqbal!$D:$D, 38)="", NA(), INDEX(Iqbal!$E:$E, 38))</f>
        <v>DONE</v>
      </c>
      <c r="E638" s="13">
        <f>IF(INDEX(Iqbal!$D:$D, 38)="", NA(), INDEX(Iqbal!$K:$K, 38))</f>
        <v>46293</v>
      </c>
      <c r="F638">
        <f t="shared" si="18"/>
        <v>1</v>
      </c>
      <c r="G638" s="13">
        <f>IF(INDEX(Iqbal!$D:$D, 38)="", NA(), INDEX(Iqbal!$L:$L, 38))</f>
        <v>46293</v>
      </c>
      <c r="H638" t="str">
        <f t="shared" si="19"/>
        <v>Iqbal (Developer) - Staging Cloud - Debug konfigurasi Dockerfile di VM tugu-api-integration</v>
      </c>
    </row>
    <row r="639" spans="1:8" x14ac:dyDescent="0.2">
      <c r="A639" t="str">
        <f>IF(INDEX(Iqbal!$D:$D, 39)="", NA(), "Iqbal (Developer)")</f>
        <v>Iqbal (Developer)</v>
      </c>
      <c r="B639" t="str">
        <f>IF(INDEX(Iqbal!$D:$D, 39)="", NA(), INDEX(Iqbal!$B:$B, 39))</f>
        <v>Staging Cloud</v>
      </c>
      <c r="C639" t="str">
        <f>IF(INDEX(Iqbal!$D:$D, 39)="", NA(), INDEX(Iqbal!$D:$D, 39))</f>
        <v>Testing endpoint(bp,material,cost-center) dan koneksi database di VM tugu-api-integration</v>
      </c>
      <c r="D639" t="str">
        <f>IF(INDEX(Iqbal!$D:$D, 39)="", NA(), INDEX(Iqbal!$E:$E, 39))</f>
        <v>DONE</v>
      </c>
      <c r="E639" s="13">
        <f>IF(INDEX(Iqbal!$D:$D, 39)="", NA(), INDEX(Iqbal!$K:$K, 39))</f>
        <v>46294</v>
      </c>
      <c r="F639">
        <f t="shared" si="18"/>
        <v>1</v>
      </c>
      <c r="G639" s="13">
        <f>IF(INDEX(Iqbal!$D:$D, 39)="", NA(), INDEX(Iqbal!$L:$L, 39))</f>
        <v>46294</v>
      </c>
      <c r="H639" t="str">
        <f t="shared" si="19"/>
        <v>Iqbal (Developer) - Staging Cloud - Testing endpoint(bp,material,cost-center) dan koneksi database di VM tugu-api-integration</v>
      </c>
    </row>
    <row r="640" spans="1:8" x14ac:dyDescent="0.2">
      <c r="A640" t="str">
        <f>IF(INDEX(Iqbal!$D:$D, 40)="", NA(), "Iqbal (Developer)")</f>
        <v>Iqbal (Developer)</v>
      </c>
      <c r="B640" t="str">
        <f>IF(INDEX(Iqbal!$D:$D, 40)="", NA(), INDEX(Iqbal!$B:$B, 40))</f>
        <v>Staging Cloud</v>
      </c>
      <c r="C640" t="str">
        <f>IF(INDEX(Iqbal!$D:$D, 40)="", NA(), INDEX(Iqbal!$D:$D, 40))</f>
        <v>Add auto signing and encryption pada Enpoint Outbound</v>
      </c>
      <c r="D640" t="str">
        <f>IF(INDEX(Iqbal!$D:$D, 40)="", NA(), INDEX(Iqbal!$E:$E, 40))</f>
        <v>DONE</v>
      </c>
      <c r="E640" s="13">
        <f>IF(INDEX(Iqbal!$D:$D, 40)="", NA(), INDEX(Iqbal!$K:$K, 40))</f>
        <v>46296</v>
      </c>
      <c r="F640">
        <f t="shared" si="18"/>
        <v>1</v>
      </c>
      <c r="G640" s="13">
        <f>IF(INDEX(Iqbal!$D:$D, 40)="", NA(), INDEX(Iqbal!$L:$L, 40))</f>
        <v>46296</v>
      </c>
      <c r="H640" t="str">
        <f t="shared" si="19"/>
        <v>Iqbal (Developer) - Staging Cloud - Add auto signing and encryption pada Enpoint Outbound</v>
      </c>
    </row>
    <row r="641" spans="1:8" x14ac:dyDescent="0.2">
      <c r="A641" t="str">
        <f>IF(INDEX(Iqbal!$D:$D, 41)="", NA(), "Iqbal (Developer)")</f>
        <v>Iqbal (Developer)</v>
      </c>
      <c r="B641" t="str">
        <f>IF(INDEX(Iqbal!$D:$D, 41)="", NA(), INDEX(Iqbal!$B:$B, 41))</f>
        <v>Staging Cloud</v>
      </c>
      <c r="C641" t="str">
        <f>IF(INDEX(Iqbal!$D:$D, 41)="", NA(), INDEX(Iqbal!$D:$D, 41))</f>
        <v>Memperbaiki konfigurasi port container pada docker-compose agar tidak terekspose keluar</v>
      </c>
      <c r="D641" t="str">
        <f>IF(INDEX(Iqbal!$D:$D, 41)="", NA(), INDEX(Iqbal!$E:$E, 41))</f>
        <v>DONE</v>
      </c>
      <c r="E641" s="13">
        <f>IF(INDEX(Iqbal!$D:$D, 41)="", NA(), INDEX(Iqbal!$K:$K, 41))</f>
        <v>46296</v>
      </c>
      <c r="F641">
        <f t="shared" si="18"/>
        <v>1</v>
      </c>
      <c r="G641" s="13">
        <f>IF(INDEX(Iqbal!$D:$D, 41)="", NA(), INDEX(Iqbal!$L:$L, 41))</f>
        <v>46296</v>
      </c>
      <c r="H641" t="str">
        <f t="shared" si="19"/>
        <v>Iqbal (Developer) - Staging Cloud - Memperbaiki konfigurasi port container pada docker-compose agar tidak terekspose keluar</v>
      </c>
    </row>
    <row r="642" spans="1:8" x14ac:dyDescent="0.2">
      <c r="A642" t="str">
        <f>IF(INDEX(Iqbal!$D:$D, 42)="", NA(), "Iqbal (Developer)")</f>
        <v>Iqbal (Developer)</v>
      </c>
      <c r="B642" t="str">
        <f>IF(INDEX(Iqbal!$D:$D, 42)="", NA(), INDEX(Iqbal!$B:$B, 42))</f>
        <v>Staging Cloud</v>
      </c>
      <c r="C642" t="str">
        <f>IF(INDEX(Iqbal!$D:$D, 42)="", NA(), INDEX(Iqbal!$D:$D, 42))</f>
        <v>Testing endpoint(transaction,service) dan koneksi database menggunakan konfigurasi docker yang baru</v>
      </c>
      <c r="D642" t="str">
        <f>IF(INDEX(Iqbal!$D:$D, 42)="", NA(), INDEX(Iqbal!$E:$E, 42))</f>
        <v>DONE</v>
      </c>
      <c r="E642" s="13">
        <f>IF(INDEX(Iqbal!$D:$D, 42)="", NA(), INDEX(Iqbal!$K:$K, 42))</f>
        <v>46297</v>
      </c>
      <c r="F642">
        <f t="shared" ref="F642:F705" si="20">IF(OR(E642="", ISNA(E642), ISNA(G642)), 0, MAX(1, G642-E642))</f>
        <v>1</v>
      </c>
      <c r="G642" s="13">
        <f>IF(INDEX(Iqbal!$D:$D, 42)="", NA(), INDEX(Iqbal!$L:$L, 42))</f>
        <v>46297</v>
      </c>
      <c r="H642" t="str">
        <f t="shared" ref="H642:H705" si="21">IF(ISNA(C642), NA(), A642 &amp; " - " &amp; B642 &amp; " - " &amp; C642)</f>
        <v>Iqbal (Developer) - Staging Cloud - Testing endpoint(transaction,service) dan koneksi database menggunakan konfigurasi docker yang baru</v>
      </c>
    </row>
    <row r="643" spans="1:8" x14ac:dyDescent="0.2">
      <c r="A643" t="str">
        <f>IF(INDEX(Iqbal!$D:$D, 43)="", NA(), "Iqbal (Developer)")</f>
        <v>Iqbal (Developer)</v>
      </c>
      <c r="B643" t="str">
        <f>IF(INDEX(Iqbal!$D:$D, 43)="", NA(), INDEX(Iqbal!$B:$B, 43))</f>
        <v>Staging Cloud</v>
      </c>
      <c r="C643" t="str">
        <f>IF(INDEX(Iqbal!$D:$D, 43)="", NA(), INDEX(Iqbal!$D:$D, 43))</f>
        <v xml:space="preserve">Membuat script testing digital signature dan penyesuaian konfigurasi k6 </v>
      </c>
      <c r="D643" t="str">
        <f>IF(INDEX(Iqbal!$D:$D, 43)="", NA(), INDEX(Iqbal!$E:$E, 43))</f>
        <v>DONE</v>
      </c>
      <c r="E643" s="13">
        <f>IF(INDEX(Iqbal!$D:$D, 43)="", NA(), INDEX(Iqbal!$K:$K, 43))</f>
        <v>46300</v>
      </c>
      <c r="F643">
        <f t="shared" si="20"/>
        <v>1</v>
      </c>
      <c r="G643" s="13">
        <f>IF(INDEX(Iqbal!$D:$D, 43)="", NA(), INDEX(Iqbal!$L:$L, 43))</f>
        <v>46300</v>
      </c>
      <c r="H643" t="str">
        <f t="shared" si="21"/>
        <v xml:space="preserve">Iqbal (Developer) - Staging Cloud - Membuat script testing digital signature dan penyesuaian konfigurasi k6 </v>
      </c>
    </row>
    <row r="644" spans="1:8" x14ac:dyDescent="0.2">
      <c r="A644" t="str">
        <f>IF(INDEX(Iqbal!$D:$D, 44)="", NA(), "Iqbal (Developer)")</f>
        <v>Iqbal (Developer)</v>
      </c>
      <c r="B644" t="str">
        <f>IF(INDEX(Iqbal!$D:$D, 44)="", NA(), INDEX(Iqbal!$B:$B, 44))</f>
        <v>Staging Cloud</v>
      </c>
      <c r="C644" t="str">
        <f>IF(INDEX(Iqbal!$D:$D, 44)="", NA(), INDEX(Iqbal!$D:$D, 44))</f>
        <v>Stress test endpoint(bp,material) di vm tugu-integration</v>
      </c>
      <c r="D644" t="str">
        <f>IF(INDEX(Iqbal!$D:$D, 44)="", NA(), INDEX(Iqbal!$E:$E, 44))</f>
        <v>DONE</v>
      </c>
      <c r="E644" s="13">
        <f>IF(INDEX(Iqbal!$D:$D, 44)="", NA(), INDEX(Iqbal!$K:$K, 44))</f>
        <v>46301</v>
      </c>
      <c r="F644">
        <f t="shared" si="20"/>
        <v>1</v>
      </c>
      <c r="G644" s="13">
        <f>IF(INDEX(Iqbal!$D:$D, 44)="", NA(), INDEX(Iqbal!$L:$L, 44))</f>
        <v>46301</v>
      </c>
      <c r="H644" t="str">
        <f t="shared" si="21"/>
        <v>Iqbal (Developer) - Staging Cloud - Stress test endpoint(bp,material) di vm tugu-integration</v>
      </c>
    </row>
    <row r="645" spans="1:8" x14ac:dyDescent="0.2">
      <c r="A645" t="str">
        <f>IF(INDEX(Iqbal!$D:$D, 45)="", NA(), "Iqbal (Developer)")</f>
        <v>Iqbal (Developer)</v>
      </c>
      <c r="B645" t="str">
        <f>IF(INDEX(Iqbal!$D:$D, 45)="", NA(), INDEX(Iqbal!$B:$B, 45))</f>
        <v>Staging Cloud</v>
      </c>
      <c r="C645" t="str">
        <f>IF(INDEX(Iqbal!$D:$D, 45)="", NA(), INDEX(Iqbal!$D:$D, 45))</f>
        <v>Stress test endpoint(transaction,cost-center) di vm tugu-integration</v>
      </c>
      <c r="D645" t="str">
        <f>IF(INDEX(Iqbal!$D:$D, 45)="", NA(), INDEX(Iqbal!$E:$E, 45))</f>
        <v>DONE</v>
      </c>
      <c r="E645" s="13">
        <f>IF(INDEX(Iqbal!$D:$D, 45)="", NA(), INDEX(Iqbal!$K:$K, 45))</f>
        <v>46302</v>
      </c>
      <c r="F645">
        <f t="shared" si="20"/>
        <v>1</v>
      </c>
      <c r="G645" s="13">
        <f>IF(INDEX(Iqbal!$D:$D, 45)="", NA(), INDEX(Iqbal!$L:$L, 45))</f>
        <v>46302</v>
      </c>
      <c r="H645" t="str">
        <f t="shared" si="21"/>
        <v>Iqbal (Developer) - Staging Cloud - Stress test endpoint(transaction,cost-center) di vm tugu-integration</v>
      </c>
    </row>
    <row r="646" spans="1:8" x14ac:dyDescent="0.2">
      <c r="A646" t="str">
        <f>IF(INDEX(Iqbal!$D:$D, 46)="", NA(), "Iqbal (Developer)")</f>
        <v>Iqbal (Developer)</v>
      </c>
      <c r="B646" t="str">
        <f>IF(INDEX(Iqbal!$D:$D, 46)="", NA(), INDEX(Iqbal!$B:$B, 46))</f>
        <v>Staging Cloud</v>
      </c>
      <c r="C646" t="str">
        <f>IF(INDEX(Iqbal!$D:$D, 46)="", NA(), INDEX(Iqbal!$D:$D, 46))</f>
        <v>Mempelajari Store Procedure procTICS_ValidateDataTICS_DEV</v>
      </c>
      <c r="D646" t="str">
        <f>IF(INDEX(Iqbal!$D:$D, 46)="", NA(), INDEX(Iqbal!$E:$E, 46))</f>
        <v>DONE</v>
      </c>
      <c r="E646" s="13">
        <f>IF(INDEX(Iqbal!$D:$D, 46)="", NA(), INDEX(Iqbal!$K:$K, 46))</f>
        <v>46303</v>
      </c>
      <c r="F646">
        <f t="shared" si="20"/>
        <v>1</v>
      </c>
      <c r="G646" s="13">
        <f>IF(INDEX(Iqbal!$D:$D, 46)="", NA(), INDEX(Iqbal!$L:$L, 46))</f>
        <v>46304</v>
      </c>
      <c r="H646" t="str">
        <f t="shared" si="21"/>
        <v>Iqbal (Developer) - Staging Cloud - Mempelajari Store Procedure procTICS_ValidateDataTICS_DEV</v>
      </c>
    </row>
    <row r="647" spans="1:8" x14ac:dyDescent="0.2">
      <c r="A647" t="str">
        <f>IF(INDEX(Iqbal!$D:$D, 47)="", NA(), "Iqbal (Developer)")</f>
        <v>Iqbal (Developer)</v>
      </c>
      <c r="B647" t="str">
        <f>IF(INDEX(Iqbal!$D:$D, 47)="", NA(), INDEX(Iqbal!$B:$B, 47))</f>
        <v>Staging Cloud</v>
      </c>
      <c r="C647" t="str">
        <f>IF(INDEX(Iqbal!$D:$D, 47)="", NA(), INDEX(Iqbal!$D:$D, 47))</f>
        <v>Transfer Knowledge Staging cloud (BP Inbound)</v>
      </c>
      <c r="D647" t="str">
        <f>IF(INDEX(Iqbal!$D:$D, 47)="", NA(), INDEX(Iqbal!$E:$E, 47))</f>
        <v>DONE</v>
      </c>
      <c r="E647" s="13">
        <f>IF(INDEX(Iqbal!$D:$D, 47)="", NA(), INDEX(Iqbal!$K:$K, 47))</f>
        <v>46303</v>
      </c>
      <c r="F647">
        <f t="shared" si="20"/>
        <v>1</v>
      </c>
      <c r="G647" s="13">
        <f>IF(INDEX(Iqbal!$D:$D, 47)="", NA(), INDEX(Iqbal!$L:$L, 47))</f>
        <v>46304</v>
      </c>
      <c r="H647" t="str">
        <f t="shared" si="21"/>
        <v>Iqbal (Developer) - Staging Cloud - Transfer Knowledge Staging cloud (BP Inbound)</v>
      </c>
    </row>
    <row r="648" spans="1:8" x14ac:dyDescent="0.2">
      <c r="A648" t="str">
        <f>IF(INDEX(Iqbal!$D:$D, 48)="", NA(), "Iqbal (Developer)")</f>
        <v>Iqbal (Developer)</v>
      </c>
      <c r="B648" t="str">
        <f>IF(INDEX(Iqbal!$D:$D, 48)="", NA(), INDEX(Iqbal!$B:$B, 48))</f>
        <v>Staging Cloud</v>
      </c>
      <c r="C648" t="str">
        <f>IF(INDEX(Iqbal!$D:$D, 48)="", NA(), INDEX(Iqbal!$D:$D, 48))</f>
        <v>Transfer Knowledge Staging cloud (BP Outbound)</v>
      </c>
      <c r="D648" t="str">
        <f>IF(INDEX(Iqbal!$D:$D, 48)="", NA(), INDEX(Iqbal!$E:$E, 48))</f>
        <v>DONE</v>
      </c>
      <c r="E648" s="13">
        <f>IF(INDEX(Iqbal!$D:$D, 48)="", NA(), INDEX(Iqbal!$K:$K, 48))</f>
        <v>46304</v>
      </c>
      <c r="F648">
        <f t="shared" si="20"/>
        <v>3</v>
      </c>
      <c r="G648" s="13">
        <f>IF(INDEX(Iqbal!$D:$D, 48)="", NA(), INDEX(Iqbal!$L:$L, 48))</f>
        <v>46307</v>
      </c>
      <c r="H648" t="str">
        <f t="shared" si="21"/>
        <v>Iqbal (Developer) - Staging Cloud - Transfer Knowledge Staging cloud (BP Outbound)</v>
      </c>
    </row>
    <row r="649" spans="1:8" x14ac:dyDescent="0.2">
      <c r="A649" t="str">
        <f>IF(INDEX(Iqbal!$D:$D, 49)="", NA(), "Iqbal (Developer)")</f>
        <v>Iqbal (Developer)</v>
      </c>
      <c r="B649" t="str">
        <f>IF(INDEX(Iqbal!$D:$D, 49)="", NA(), INDEX(Iqbal!$B:$B, 49))</f>
        <v>Staging Cloud</v>
      </c>
      <c r="C649" t="str">
        <f>IF(INDEX(Iqbal!$D:$D, 49)="", NA(), INDEX(Iqbal!$D:$D, 49))</f>
        <v>Membuat Implementasi Validation Rules Payload yang masuk ke staging</v>
      </c>
      <c r="D649" t="str">
        <f>IF(INDEX(Iqbal!$D:$D, 49)="", NA(), INDEX(Iqbal!$E:$E, 49))</f>
        <v>DONE</v>
      </c>
      <c r="E649" s="13">
        <f>IF(INDEX(Iqbal!$D:$D, 49)="", NA(), INDEX(Iqbal!$K:$K, 49))</f>
        <v>46304</v>
      </c>
      <c r="F649">
        <f t="shared" si="20"/>
        <v>3</v>
      </c>
      <c r="G649" s="13">
        <f>IF(INDEX(Iqbal!$D:$D, 49)="", NA(), INDEX(Iqbal!$L:$L, 49))</f>
        <v>46307</v>
      </c>
      <c r="H649" t="str">
        <f t="shared" si="21"/>
        <v>Iqbal (Developer) - Staging Cloud - Membuat Implementasi Validation Rules Payload yang masuk ke staging</v>
      </c>
    </row>
    <row r="650" spans="1:8" x14ac:dyDescent="0.2">
      <c r="A650" t="str">
        <f>IF(INDEX(Iqbal!$D:$D, 50)="", NA(), "Iqbal (Developer)")</f>
        <v>Iqbal (Developer)</v>
      </c>
      <c r="B650" t="str">
        <f>IF(INDEX(Iqbal!$D:$D, 50)="", NA(), INDEX(Iqbal!$B:$B, 50))</f>
        <v>Staging Cloud</v>
      </c>
      <c r="C650" t="str">
        <f>IF(INDEX(Iqbal!$D:$D, 50)="", NA(), INDEX(Iqbal!$D:$D, 50))</f>
        <v>Membuat migrasi tabel channel_keys yang akan digunakan untuk menyimpan key dan credential dari channel yang berhubungan dengan staging</v>
      </c>
      <c r="D650" t="str">
        <f>IF(INDEX(Iqbal!$D:$D, 50)="", NA(), INDEX(Iqbal!$E:$E, 50))</f>
        <v>DONE</v>
      </c>
      <c r="E650" s="13">
        <f>IF(INDEX(Iqbal!$D:$D, 50)="", NA(), INDEX(Iqbal!$K:$K, 50))</f>
        <v>46307</v>
      </c>
      <c r="F650">
        <f t="shared" si="20"/>
        <v>2</v>
      </c>
      <c r="G650" s="13">
        <f>IF(INDEX(Iqbal!$D:$D, 50)="", NA(), INDEX(Iqbal!$L:$L, 50))</f>
        <v>46309</v>
      </c>
      <c r="H650" t="str">
        <f t="shared" si="21"/>
        <v>Iqbal (Developer) - Staging Cloud - Membuat migrasi tabel channel_keys yang akan digunakan untuk menyimpan key dan credential dari channel yang berhubungan dengan staging</v>
      </c>
    </row>
    <row r="651" spans="1:8" x14ac:dyDescent="0.2">
      <c r="A651" t="str">
        <f>IF(INDEX(Iqbal!$D:$D, 51)="", NA(), "Iqbal (Developer)")</f>
        <v>Iqbal (Developer)</v>
      </c>
      <c r="B651" t="str">
        <f>IF(INDEX(Iqbal!$D:$D, 51)="", NA(), INDEX(Iqbal!$B:$B, 51))</f>
        <v>Staging Cloud</v>
      </c>
      <c r="C651" t="str">
        <f>IF(INDEX(Iqbal!$D:$D, 51)="", NA(), INDEX(Iqbal!$D:$D, 51))</f>
        <v>Verifikasi flowchart BP inbound dan Outbound yang dibuat oleh BA</v>
      </c>
      <c r="D651" t="str">
        <f>IF(INDEX(Iqbal!$D:$D, 51)="", NA(), INDEX(Iqbal!$E:$E, 51))</f>
        <v>DONE</v>
      </c>
      <c r="E651" s="13">
        <f>IF(INDEX(Iqbal!$D:$D, 51)="", NA(), INDEX(Iqbal!$K:$K, 51))</f>
        <v>46308</v>
      </c>
      <c r="F651">
        <f t="shared" si="20"/>
        <v>1</v>
      </c>
      <c r="G651" s="13">
        <f>IF(INDEX(Iqbal!$D:$D, 51)="", NA(), INDEX(Iqbal!$L:$L, 51))</f>
        <v>46309</v>
      </c>
      <c r="H651" t="str">
        <f t="shared" si="21"/>
        <v>Iqbal (Developer) - Staging Cloud - Verifikasi flowchart BP inbound dan Outbound yang dibuat oleh BA</v>
      </c>
    </row>
    <row r="652" spans="1:8" x14ac:dyDescent="0.2">
      <c r="A652" t="str">
        <f>IF(INDEX(Iqbal!$D:$D, 52)="", NA(), "Iqbal (Developer)")</f>
        <v>Iqbal (Developer)</v>
      </c>
      <c r="B652" t="str">
        <f>IF(INDEX(Iqbal!$D:$D, 52)="", NA(), INDEX(Iqbal!$B:$B, 52))</f>
        <v>Staging Cloud</v>
      </c>
      <c r="C652" t="str">
        <f>IF(INDEX(Iqbal!$D:$D, 52)="", NA(), INDEX(Iqbal!$D:$D, 52))</f>
        <v>Transfer knowledge Staging cloud tentang mekanisme topic kafka, redis cache, dan circuit breaker ke BA</v>
      </c>
      <c r="D652" t="str">
        <f>IF(INDEX(Iqbal!$D:$D, 52)="", NA(), INDEX(Iqbal!$E:$E, 52))</f>
        <v>DONE</v>
      </c>
      <c r="E652" s="13">
        <f>IF(INDEX(Iqbal!$D:$D, 52)="", NA(), INDEX(Iqbal!$K:$K, 52))</f>
        <v>46309</v>
      </c>
      <c r="F652">
        <f t="shared" si="20"/>
        <v>1</v>
      </c>
      <c r="G652" s="13">
        <f>IF(INDEX(Iqbal!$D:$D, 52)="", NA(), INDEX(Iqbal!$L:$L, 52))</f>
        <v>46310</v>
      </c>
      <c r="H652" t="str">
        <f t="shared" si="21"/>
        <v>Iqbal (Developer) - Staging Cloud - Transfer knowledge Staging cloud tentang mekanisme topic kafka, redis cache, dan circuit breaker ke BA</v>
      </c>
    </row>
    <row r="653" spans="1:8" x14ac:dyDescent="0.2">
      <c r="A653" t="str">
        <f>IF(INDEX(Iqbal!$D:$D, 53)="", NA(), "Iqbal (Developer)")</f>
        <v>Iqbal (Developer)</v>
      </c>
      <c r="B653" t="str">
        <f>IF(INDEX(Iqbal!$D:$D, 53)="", NA(), INDEX(Iqbal!$B:$B, 53))</f>
        <v>Staging Cloud</v>
      </c>
      <c r="C653" t="str">
        <f>IF(INDEX(Iqbal!$D:$D, 53)="", NA(), INDEX(Iqbal!$D:$D, 53))</f>
        <v>Riset implementasi Otel di staging cloud</v>
      </c>
      <c r="D653" t="str">
        <f>IF(INDEX(Iqbal!$D:$D, 53)="", NA(), INDEX(Iqbal!$E:$E, 53))</f>
        <v>DONE</v>
      </c>
      <c r="E653" s="13">
        <f>IF(INDEX(Iqbal!$D:$D, 53)="", NA(), INDEX(Iqbal!$K:$K, 53))</f>
        <v>46310</v>
      </c>
      <c r="F653">
        <f t="shared" si="20"/>
        <v>1</v>
      </c>
      <c r="G653" s="13">
        <f>IF(INDEX(Iqbal!$D:$D, 53)="", NA(), INDEX(Iqbal!$L:$L, 53))</f>
        <v>46311</v>
      </c>
      <c r="H653" t="str">
        <f t="shared" si="21"/>
        <v>Iqbal (Developer) - Staging Cloud - Riset implementasi Otel di staging cloud</v>
      </c>
    </row>
    <row r="654" spans="1:8" x14ac:dyDescent="0.2">
      <c r="A654" t="str">
        <f>IF(INDEX(Iqbal!$D:$D, 54)="", NA(), "Iqbal (Developer)")</f>
        <v>Iqbal (Developer)</v>
      </c>
      <c r="B654" t="str">
        <f>IF(INDEX(Iqbal!$D:$D, 54)="", NA(), INDEX(Iqbal!$B:$B, 54))</f>
        <v>Staging Cloud</v>
      </c>
      <c r="C654" t="str">
        <f>IF(INDEX(Iqbal!$D:$D, 54)="", NA(), INDEX(Iqbal!$D:$D, 54))</f>
        <v>Memperbaiki penanganan error redis lock acquisition dengan memberikan status 409 conflict</v>
      </c>
      <c r="D654" t="str">
        <f>IF(INDEX(Iqbal!$D:$D, 54)="", NA(), INDEX(Iqbal!$E:$E, 54))</f>
        <v>DONE</v>
      </c>
      <c r="E654" s="13">
        <f>IF(INDEX(Iqbal!$D:$D, 54)="", NA(), INDEX(Iqbal!$K:$K, 54))</f>
        <v>46310</v>
      </c>
      <c r="F654">
        <f t="shared" si="20"/>
        <v>1</v>
      </c>
      <c r="G654" s="13">
        <f>IF(INDEX(Iqbal!$D:$D, 54)="", NA(), INDEX(Iqbal!$L:$L, 54))</f>
        <v>46310</v>
      </c>
      <c r="H654" t="str">
        <f t="shared" si="21"/>
        <v>Iqbal (Developer) - Staging Cloud - Memperbaiki penanganan error redis lock acquisition dengan memberikan status 409 conflict</v>
      </c>
    </row>
    <row r="655" spans="1:8" x14ac:dyDescent="0.2">
      <c r="A655" t="str">
        <f>IF(INDEX(Iqbal!$D:$D, 55)="", NA(), "Iqbal (Developer)")</f>
        <v>Iqbal (Developer)</v>
      </c>
      <c r="B655" t="str">
        <f>IF(INDEX(Iqbal!$D:$D, 55)="", NA(), INDEX(Iqbal!$B:$B, 55))</f>
        <v>Staging Cloud</v>
      </c>
      <c r="C655" t="str">
        <f>IF(INDEX(Iqbal!$D:$D, 55)="", NA(), INDEX(Iqbal!$D:$D, 55))</f>
        <v>Mengahpus decryptor karena data yang diterima tidak jadi di enkripsi</v>
      </c>
      <c r="D655" t="str">
        <f>IF(INDEX(Iqbal!$D:$D, 55)="", NA(), INDEX(Iqbal!$E:$E, 55))</f>
        <v>DONE</v>
      </c>
      <c r="E655" s="13">
        <f>IF(INDEX(Iqbal!$D:$D, 55)="", NA(), INDEX(Iqbal!$K:$K, 55))</f>
        <v>46310</v>
      </c>
      <c r="F655">
        <f t="shared" si="20"/>
        <v>1</v>
      </c>
      <c r="G655" s="13">
        <f>IF(INDEX(Iqbal!$D:$D, 55)="", NA(), INDEX(Iqbal!$L:$L, 55))</f>
        <v>46310</v>
      </c>
      <c r="H655" t="str">
        <f t="shared" si="21"/>
        <v>Iqbal (Developer) - Staging Cloud - Mengahpus decryptor karena data yang diterima tidak jadi di enkripsi</v>
      </c>
    </row>
    <row r="656" spans="1:8" x14ac:dyDescent="0.2">
      <c r="A656" t="str">
        <f>IF(INDEX(Iqbal!$D:$D, 56)="", NA(), "Iqbal (Developer)")</f>
        <v>Iqbal (Developer)</v>
      </c>
      <c r="B656" t="str">
        <f>IF(INDEX(Iqbal!$D:$D, 56)="", NA(), INDEX(Iqbal!$B:$B, 56))</f>
        <v>Staging Cloud</v>
      </c>
      <c r="C656" t="str">
        <f>IF(INDEX(Iqbal!$D:$D, 56)="", NA(), INDEX(Iqbal!$D:$D, 56))</f>
        <v>Memperbaiki script K6 testing agar bisa melakukan testing endpoint diluar vm</v>
      </c>
      <c r="D656" t="str">
        <f>IF(INDEX(Iqbal!$D:$D, 56)="", NA(), INDEX(Iqbal!$E:$E, 56))</f>
        <v>DONE</v>
      </c>
      <c r="E656" s="13">
        <f>IF(INDEX(Iqbal!$D:$D, 56)="", NA(), INDEX(Iqbal!$K:$K, 56))</f>
        <v>46310</v>
      </c>
      <c r="F656">
        <f t="shared" si="20"/>
        <v>1</v>
      </c>
      <c r="G656" s="13">
        <f>IF(INDEX(Iqbal!$D:$D, 56)="", NA(), INDEX(Iqbal!$L:$L, 56))</f>
        <v>46310</v>
      </c>
      <c r="H656" t="str">
        <f t="shared" si="21"/>
        <v>Iqbal (Developer) - Staging Cloud - Memperbaiki script K6 testing agar bisa melakukan testing endpoint diluar vm</v>
      </c>
    </row>
    <row r="657" spans="1:8" x14ac:dyDescent="0.2">
      <c r="A657" t="str">
        <f>IF(INDEX(Iqbal!$D:$D, 57)="", NA(), "Iqbal (Developer)")</f>
        <v>Iqbal (Developer)</v>
      </c>
      <c r="B657" t="str">
        <f>IF(INDEX(Iqbal!$D:$D, 57)="", NA(), INDEX(Iqbal!$B:$B, 57))</f>
        <v>Staging Cloud</v>
      </c>
      <c r="C657" t="str">
        <f>IF(INDEX(Iqbal!$D:$D, 57)="", NA(), INDEX(Iqbal!$D:$D, 57))</f>
        <v>Implementasi Open Telemetry dan integrasi dengan Jaeger UI di Master Data BP Outbound</v>
      </c>
      <c r="D657" t="str">
        <f>IF(INDEX(Iqbal!$D:$D, 57)="", NA(), INDEX(Iqbal!$E:$E, 57))</f>
        <v>DONE</v>
      </c>
      <c r="E657" s="13">
        <f>IF(INDEX(Iqbal!$D:$D, 57)="", NA(), INDEX(Iqbal!$K:$K, 57))</f>
        <v>46311</v>
      </c>
      <c r="F657">
        <f t="shared" si="20"/>
        <v>3</v>
      </c>
      <c r="G657" s="13">
        <f>IF(INDEX(Iqbal!$D:$D, 57)="", NA(), INDEX(Iqbal!$L:$L, 57))</f>
        <v>46314</v>
      </c>
      <c r="H657" t="str">
        <f t="shared" si="21"/>
        <v>Iqbal (Developer) - Staging Cloud - Implementasi Open Telemetry dan integrasi dengan Jaeger UI di Master Data BP Outbound</v>
      </c>
    </row>
    <row r="658" spans="1:8" x14ac:dyDescent="0.2">
      <c r="A658" t="str">
        <f>IF(INDEX(Iqbal!$D:$D, 58)="", NA(), "Iqbal (Developer)")</f>
        <v>Iqbal (Developer)</v>
      </c>
      <c r="B658" t="str">
        <f>IF(INDEX(Iqbal!$D:$D, 58)="", NA(), INDEX(Iqbal!$B:$B, 58))</f>
        <v>Staging Cloud</v>
      </c>
      <c r="C658" t="str">
        <f>IF(INDEX(Iqbal!$D:$D, 58)="", NA(), INDEX(Iqbal!$D:$D, 58))</f>
        <v>Impelmentasi dan penyesuaian penerapan kafka UI sesuai dengan arsitektur SC yang telah diperbarui</v>
      </c>
      <c r="D658" t="str">
        <f>IF(INDEX(Iqbal!$D:$D, 58)="", NA(), INDEX(Iqbal!$E:$E, 58))</f>
        <v>DONE</v>
      </c>
      <c r="E658" s="13">
        <f>IF(INDEX(Iqbal!$D:$D, 58)="", NA(), INDEX(Iqbal!$K:$K, 58))</f>
        <v>46311</v>
      </c>
      <c r="F658">
        <f t="shared" si="20"/>
        <v>1</v>
      </c>
      <c r="G658" s="13">
        <f>IF(INDEX(Iqbal!$D:$D, 58)="", NA(), INDEX(Iqbal!$L:$L, 58))</f>
        <v>46311</v>
      </c>
      <c r="H658" t="str">
        <f t="shared" si="21"/>
        <v>Iqbal (Developer) - Staging Cloud - Impelmentasi dan penyesuaian penerapan kafka UI sesuai dengan arsitektur SC yang telah diperbarui</v>
      </c>
    </row>
    <row r="659" spans="1:8" x14ac:dyDescent="0.2">
      <c r="A659" t="str">
        <f>IF(INDEX(Iqbal!$D:$D, 59)="", NA(), "Iqbal (Developer)")</f>
        <v>Iqbal (Developer)</v>
      </c>
      <c r="B659" t="str">
        <f>IF(INDEX(Iqbal!$D:$D, 59)="", NA(), INDEX(Iqbal!$B:$B, 59))</f>
        <v>Staging Cloud</v>
      </c>
      <c r="C659" t="str">
        <f>IF(INDEX(Iqbal!$D:$D, 59)="", NA(), INDEX(Iqbal!$D:$D, 59))</f>
        <v>Riset Redis Insight yang akan digunakan untuk memonitoring state Circuit breaker</v>
      </c>
      <c r="D659" t="str">
        <f>IF(INDEX(Iqbal!$D:$D, 59)="", NA(), INDEX(Iqbal!$E:$E, 59))</f>
        <v>DONE</v>
      </c>
      <c r="E659" s="13">
        <f>IF(INDEX(Iqbal!$D:$D, 59)="", NA(), INDEX(Iqbal!$K:$K, 59))</f>
        <v>46311</v>
      </c>
      <c r="F659">
        <f t="shared" si="20"/>
        <v>3</v>
      </c>
      <c r="G659" s="13">
        <f>IF(INDEX(Iqbal!$D:$D, 59)="", NA(), INDEX(Iqbal!$L:$L, 59))</f>
        <v>46314</v>
      </c>
      <c r="H659" t="str">
        <f t="shared" si="21"/>
        <v>Iqbal (Developer) - Staging Cloud - Riset Redis Insight yang akan digunakan untuk memonitoring state Circuit breaker</v>
      </c>
    </row>
    <row r="660" spans="1:8" x14ac:dyDescent="0.2">
      <c r="A660" t="str">
        <f>IF(INDEX(Iqbal!$D:$D, 60)="", NA(), "Iqbal (Developer)")</f>
        <v>Iqbal (Developer)</v>
      </c>
      <c r="B660" t="str">
        <f>IF(INDEX(Iqbal!$D:$D, 60)="", NA(), INDEX(Iqbal!$B:$B, 60))</f>
        <v>Staging Cloud</v>
      </c>
      <c r="C660" t="str">
        <f>IF(INDEX(Iqbal!$D:$D, 60)="", NA(), INDEX(Iqbal!$D:$D, 60))</f>
        <v>Analisis mekanisme retry existing dan identifikasi risiko consumer rebalance serta circuit breaker yang lambat terbuka</v>
      </c>
      <c r="D660" t="str">
        <f>IF(INDEX(Iqbal!$D:$D, 60)="", NA(), INDEX(Iqbal!$E:$E, 60))</f>
        <v>DONE</v>
      </c>
      <c r="E660" s="13">
        <f>IF(INDEX(Iqbal!$D:$D, 60)="", NA(), INDEX(Iqbal!$K:$K, 60))</f>
        <v>46315</v>
      </c>
      <c r="F660">
        <f t="shared" si="20"/>
        <v>1</v>
      </c>
      <c r="G660" s="13">
        <f>IF(INDEX(Iqbal!$D:$D, 60)="", NA(), INDEX(Iqbal!$L:$L, 60))</f>
        <v>46315</v>
      </c>
      <c r="H660" t="str">
        <f t="shared" si="21"/>
        <v>Iqbal (Developer) - Staging Cloud - Analisis mekanisme retry existing dan identifikasi risiko consumer rebalance serta circuit breaker yang lambat terbuka</v>
      </c>
    </row>
    <row r="661" spans="1:8" x14ac:dyDescent="0.2">
      <c r="A661" t="str">
        <f>IF(INDEX(Iqbal!$D:$D, 61)="", NA(), "Iqbal (Developer)")</f>
        <v>Iqbal (Developer)</v>
      </c>
      <c r="B661" t="str">
        <f>IF(INDEX(Iqbal!$D:$D, 61)="", NA(), INDEX(Iqbal!$B:$B, 61))</f>
        <v>Staging Cloud</v>
      </c>
      <c r="C661" t="str">
        <f>IF(INDEX(Iqbal!$D:$D, 61)="", NA(), INDEX(Iqbal!$D:$D, 61))</f>
        <v>Implementasi retry level pesan Kafka dengan backoff 15s/60s/300s sesuai NFR spesifikasi</v>
      </c>
      <c r="D661" t="str">
        <f>IF(INDEX(Iqbal!$D:$D, 61)="", NA(), INDEX(Iqbal!$E:$E, 61))</f>
        <v>DONE</v>
      </c>
      <c r="E661" s="13">
        <f>IF(INDEX(Iqbal!$D:$D, 61)="", NA(), INDEX(Iqbal!$K:$K, 61))</f>
        <v>46315</v>
      </c>
      <c r="F661">
        <f t="shared" si="20"/>
        <v>1</v>
      </c>
      <c r="G661" s="13">
        <f>IF(INDEX(Iqbal!$D:$D, 61)="", NA(), INDEX(Iqbal!$L:$L, 61))</f>
        <v>46315</v>
      </c>
      <c r="H661" t="str">
        <f t="shared" si="21"/>
        <v>Iqbal (Developer) - Staging Cloud - Implementasi retry level pesan Kafka dengan backoff 15s/60s/300s sesuai NFR spesifikasi</v>
      </c>
    </row>
    <row r="662" spans="1:8" x14ac:dyDescent="0.2">
      <c r="A662" t="str">
        <f>IF(INDEX(Iqbal!$D:$D, 62)="", NA(), "Iqbal (Developer)")</f>
        <v>Iqbal (Developer)</v>
      </c>
      <c r="B662" t="str">
        <f>IF(INDEX(Iqbal!$D:$D, 62)="", NA(), INDEX(Iqbal!$B:$B, 62))</f>
        <v>Staging Cloud</v>
      </c>
      <c r="C662" t="str">
        <f>IF(INDEX(Iqbal!$D:$D, 62)="", NA(), INDEX(Iqbal!$D:$D, 62))</f>
        <v>Memperbaiki bug resume consumer untuk topic dengan target circuit breaker yang sama</v>
      </c>
      <c r="D662" t="str">
        <f>IF(INDEX(Iqbal!$D:$D, 62)="", NA(), INDEX(Iqbal!$E:$E, 62))</f>
        <v>DONE</v>
      </c>
      <c r="E662" s="13">
        <f>IF(INDEX(Iqbal!$D:$D, 62)="", NA(), INDEX(Iqbal!$K:$K, 62))</f>
        <v>46315</v>
      </c>
      <c r="F662">
        <f t="shared" si="20"/>
        <v>1</v>
      </c>
      <c r="G662" s="13">
        <f>IF(INDEX(Iqbal!$D:$D, 62)="", NA(), INDEX(Iqbal!$L:$L, 62))</f>
        <v>46315</v>
      </c>
      <c r="H662" t="str">
        <f t="shared" si="21"/>
        <v>Iqbal (Developer) - Staging Cloud - Memperbaiki bug resume consumer untuk topic dengan target circuit breaker yang sama</v>
      </c>
    </row>
    <row r="663" spans="1:8" x14ac:dyDescent="0.2">
      <c r="A663" t="str">
        <f>IF(INDEX(Iqbal!$D:$D, 63)="", NA(), "Iqbal (Developer)")</f>
        <v>Iqbal (Developer)</v>
      </c>
      <c r="B663" t="str">
        <f>IF(INDEX(Iqbal!$D:$D, 63)="", NA(), INDEX(Iqbal!$B:$B, 63))</f>
        <v>Staging Cloud</v>
      </c>
      <c r="C663" t="str">
        <f>IF(INDEX(Iqbal!$D:$D, 63)="", NA(), INDEX(Iqbal!$D:$D, 63))</f>
        <v>Implementasi pause per partisi Kafka agar urutan pesan tetap terjaga saat proses retry</v>
      </c>
      <c r="D663" t="str">
        <f>IF(INDEX(Iqbal!$D:$D, 63)="", NA(), INDEX(Iqbal!$E:$E, 63))</f>
        <v>DONE</v>
      </c>
      <c r="E663" s="13">
        <f>IF(INDEX(Iqbal!$D:$D, 63)="", NA(), INDEX(Iqbal!$K:$K, 63))</f>
        <v>46316</v>
      </c>
      <c r="F663">
        <f t="shared" si="20"/>
        <v>1</v>
      </c>
      <c r="G663" s="13">
        <f>IF(INDEX(Iqbal!$D:$D, 63)="", NA(), INDEX(Iqbal!$L:$L, 63))</f>
        <v>46316</v>
      </c>
      <c r="H663" t="str">
        <f t="shared" si="21"/>
        <v>Iqbal (Developer) - Staging Cloud - Implementasi pause per partisi Kafka agar urutan pesan tetap terjaga saat proses retry</v>
      </c>
    </row>
    <row r="664" spans="1:8" x14ac:dyDescent="0.2">
      <c r="A664" t="str">
        <f>IF(INDEX(Iqbal!$D:$D, 64)="", NA(), "Iqbal (Developer)")</f>
        <v>Iqbal (Developer)</v>
      </c>
      <c r="B664" t="str">
        <f>IF(INDEX(Iqbal!$D:$D, 64)="", NA(), INDEX(Iqbal!$B:$B, 64))</f>
        <v>Staging Cloud</v>
      </c>
      <c r="C664" t="str">
        <f>IF(INDEX(Iqbal!$D:$D, 64)="", NA(), INDEX(Iqbal!$D:$D, 64))</f>
        <v>Implementasi pencatatan status RETRYING dan retry_count pada tabel transactions</v>
      </c>
      <c r="D664" t="str">
        <f>IF(INDEX(Iqbal!$D:$D, 64)="", NA(), INDEX(Iqbal!$E:$E, 64))</f>
        <v>DONE</v>
      </c>
      <c r="E664" s="13">
        <f>IF(INDEX(Iqbal!$D:$D, 64)="", NA(), INDEX(Iqbal!$K:$K, 64))</f>
        <v>46316</v>
      </c>
      <c r="F664">
        <f t="shared" si="20"/>
        <v>1</v>
      </c>
      <c r="G664" s="13">
        <f>IF(INDEX(Iqbal!$D:$D, 64)="", NA(), INDEX(Iqbal!$L:$L, 64))</f>
        <v>46316</v>
      </c>
      <c r="H664" t="str">
        <f t="shared" si="21"/>
        <v>Iqbal (Developer) - Staging Cloud - Implementasi pencatatan status RETRYING dan retry_count pada tabel transactions</v>
      </c>
    </row>
    <row r="665" spans="1:8" x14ac:dyDescent="0.2">
      <c r="A665" t="str">
        <f>IF(INDEX(Iqbal!$D:$D, 65)="", NA(), "Iqbal (Developer)")</f>
        <v>Iqbal (Developer)</v>
      </c>
      <c r="B665" t="str">
        <f>IF(INDEX(Iqbal!$D:$D, 65)="", NA(), INDEX(Iqbal!$B:$B, 65))</f>
        <v>Staging Cloud</v>
      </c>
      <c r="C665" t="str">
        <f>IF(INDEX(Iqbal!$D:$D, 65)="", NA(), INDEX(Iqbal!$D:$D, 65))</f>
        <v>Implementasi routing DLQ dengan envelope kanonik untuk transaksi yang gagal setelah retry habis</v>
      </c>
      <c r="D665" t="str">
        <f>IF(INDEX(Iqbal!$D:$D, 65)="", NA(), INDEX(Iqbal!$E:$E, 65))</f>
        <v>DONE</v>
      </c>
      <c r="E665" s="13">
        <f>IF(INDEX(Iqbal!$D:$D, 65)="", NA(), INDEX(Iqbal!$K:$K, 65))</f>
        <v>46316</v>
      </c>
      <c r="F665">
        <f t="shared" si="20"/>
        <v>1</v>
      </c>
      <c r="G665" s="13">
        <f>IF(INDEX(Iqbal!$D:$D, 65)="", NA(), INDEX(Iqbal!$L:$L, 65))</f>
        <v>46316</v>
      </c>
      <c r="H665" t="str">
        <f t="shared" si="21"/>
        <v>Iqbal (Developer) - Staging Cloud - Implementasi routing DLQ dengan envelope kanonik untuk transaksi yang gagal setelah retry habis</v>
      </c>
    </row>
    <row r="666" spans="1:8" x14ac:dyDescent="0.2">
      <c r="A666" t="str">
        <f>IF(INDEX(Iqbal!$D:$D, 66)="", NA(), "Iqbal (Developer)")</f>
        <v>Iqbal (Developer)</v>
      </c>
      <c r="B666" t="str">
        <f>IF(INDEX(Iqbal!$D:$D, 66)="", NA(), INDEX(Iqbal!$B:$B, 66))</f>
        <v>Staging Cloud</v>
      </c>
      <c r="C666" t="str">
        <f>IF(INDEX(Iqbal!$D:$D, 66)="", NA(), INDEX(Iqbal!$D:$D, 66))</f>
        <v>Pemindahan penanganan pause circuit breaker dari masing-masing service ke Kafka consumer</v>
      </c>
      <c r="D666" t="str">
        <f>IF(INDEX(Iqbal!$D:$D, 66)="", NA(), INDEX(Iqbal!$E:$E, 66))</f>
        <v>DONE</v>
      </c>
      <c r="E666" s="13">
        <f>IF(INDEX(Iqbal!$D:$D, 66)="", NA(), INDEX(Iqbal!$K:$K, 66))</f>
        <v>46317</v>
      </c>
      <c r="F666">
        <f t="shared" si="20"/>
        <v>1</v>
      </c>
      <c r="G666" s="13">
        <f>IF(INDEX(Iqbal!$D:$D, 66)="", NA(), INDEX(Iqbal!$L:$L, 66))</f>
        <v>46317</v>
      </c>
      <c r="H666" t="str">
        <f t="shared" si="21"/>
        <v>Iqbal (Developer) - Staging Cloud - Pemindahan penanganan pause circuit breaker dari masing-masing service ke Kafka consumer</v>
      </c>
    </row>
    <row r="667" spans="1:8" x14ac:dyDescent="0.2">
      <c r="A667" t="str">
        <f>IF(INDEX(Iqbal!$D:$D, 67)="", NA(), "Iqbal (Developer)")</f>
        <v>Iqbal (Developer)</v>
      </c>
      <c r="B667" t="str">
        <f>IF(INDEX(Iqbal!$D:$D, 67)="", NA(), INDEX(Iqbal!$B:$B, 67))</f>
        <v>Staging Cloud</v>
      </c>
      <c r="C667" t="str">
        <f>IF(INDEX(Iqbal!$D:$D, 67)="", NA(), INDEX(Iqbal!$D:$D, 67))</f>
        <v xml:space="preserve">Refaktor alur outbound Cost Center, Material, Service, Payment, dan BP menjadi satu helper </v>
      </c>
      <c r="D667" t="str">
        <f>IF(INDEX(Iqbal!$D:$D, 67)="", NA(), INDEX(Iqbal!$E:$E, 67))</f>
        <v>DONE</v>
      </c>
      <c r="E667" s="13">
        <f>IF(INDEX(Iqbal!$D:$D, 67)="", NA(), INDEX(Iqbal!$K:$K, 67))</f>
        <v>46317</v>
      </c>
      <c r="F667">
        <f t="shared" si="20"/>
        <v>1</v>
      </c>
      <c r="G667" s="13">
        <f>IF(INDEX(Iqbal!$D:$D, 67)="", NA(), INDEX(Iqbal!$L:$L, 67))</f>
        <v>46317</v>
      </c>
      <c r="H667" t="str">
        <f t="shared" si="21"/>
        <v xml:space="preserve">Iqbal (Developer) - Staging Cloud - Refaktor alur outbound Cost Center, Material, Service, Payment, dan BP menjadi satu helper </v>
      </c>
    </row>
    <row r="668" spans="1:8" x14ac:dyDescent="0.2">
      <c r="A668" t="str">
        <f>IF(INDEX(Iqbal!$D:$D, 68)="", NA(), "Iqbal (Developer)")</f>
        <v>Iqbal (Developer)</v>
      </c>
      <c r="B668" t="str">
        <f>IF(INDEX(Iqbal!$D:$D, 68)="", NA(), INDEX(Iqbal!$B:$B, 68))</f>
        <v>Staging Cloud</v>
      </c>
      <c r="C668" t="str">
        <f>IF(INDEX(Iqbal!$D:$D, 68)="", NA(), INDEX(Iqbal!$D:$D, 68))</f>
        <v>Implementasi resume idempoten agar data outbound tidak terkirim dua kali ke TICS saat retry</v>
      </c>
      <c r="D668" t="str">
        <f>IF(INDEX(Iqbal!$D:$D, 68)="", NA(), INDEX(Iqbal!$E:$E, 68))</f>
        <v>DONE</v>
      </c>
      <c r="E668" s="13">
        <f>IF(INDEX(Iqbal!$D:$D, 68)="", NA(), INDEX(Iqbal!$K:$K, 68))</f>
        <v>46317</v>
      </c>
      <c r="F668">
        <f t="shared" si="20"/>
        <v>1</v>
      </c>
      <c r="G668" s="13">
        <f>IF(INDEX(Iqbal!$D:$D, 68)="", NA(), INDEX(Iqbal!$L:$L, 68))</f>
        <v>46317</v>
      </c>
      <c r="H668" t="str">
        <f t="shared" si="21"/>
        <v>Iqbal (Developer) - Staging Cloud - Implementasi resume idempoten agar data outbound tidak terkirim dua kali ke TICS saat retry</v>
      </c>
    </row>
    <row r="669" spans="1:8" x14ac:dyDescent="0.2">
      <c r="A669" t="str">
        <f>IF(INDEX(Iqbal!$D:$D, 69)="", NA(), "Iqbal (Developer)")</f>
        <v>Iqbal (Developer)</v>
      </c>
      <c r="B669" t="str">
        <f>IF(INDEX(Iqbal!$D:$D, 69)="", NA(), INDEX(Iqbal!$B:$B, 69))</f>
        <v>Staging Cloud</v>
      </c>
      <c r="C669" t="str">
        <f>IF(INDEX(Iqbal!$D:$D, 69)="", NA(), INDEX(Iqbal!$D:$D, 69))</f>
        <v>Penyesuaian konfigurasi HTTP retry dan penambahan environment variable retry Kafka</v>
      </c>
      <c r="D669" t="str">
        <f>IF(INDEX(Iqbal!$D:$D, 69)="", NA(), INDEX(Iqbal!$E:$E, 69))</f>
        <v>DONE</v>
      </c>
      <c r="E669" s="13">
        <f>IF(INDEX(Iqbal!$D:$D, 69)="", NA(), INDEX(Iqbal!$K:$K, 69))</f>
        <v>46318</v>
      </c>
      <c r="F669">
        <f t="shared" si="20"/>
        <v>1</v>
      </c>
      <c r="G669" s="13">
        <f>IF(INDEX(Iqbal!$D:$D, 69)="", NA(), INDEX(Iqbal!$L:$L, 69))</f>
        <v>46318</v>
      </c>
      <c r="H669" t="str">
        <f t="shared" si="21"/>
        <v>Iqbal (Developer) - Staging Cloud - Penyesuaian konfigurasi HTTP retry dan penambahan environment variable retry Kafka</v>
      </c>
    </row>
    <row r="670" spans="1:8" x14ac:dyDescent="0.2">
      <c r="A670" t="str">
        <f>IF(INDEX(Iqbal!$D:$D, 70)="", NA(), "Iqbal (Developer)")</f>
        <v>Iqbal (Developer)</v>
      </c>
      <c r="B670" t="str">
        <f>IF(INDEX(Iqbal!$D:$D, 70)="", NA(), INDEX(Iqbal!$B:$B, 70))</f>
        <v>Staging Cloud</v>
      </c>
      <c r="C670" t="str">
        <f>IF(INDEX(Iqbal!$D:$D, 70)="", NA(), INDEX(Iqbal!$D:$D, 70))</f>
        <v>Membuat unit test untuk mekanisme retry, DLQ, dan alur outbound ke TICS</v>
      </c>
      <c r="D670" t="str">
        <f>IF(INDEX(Iqbal!$D:$D, 70)="", NA(), INDEX(Iqbal!$E:$E, 70))</f>
        <v>DONE</v>
      </c>
      <c r="E670" s="13">
        <f>IF(INDEX(Iqbal!$D:$D, 70)="", NA(), INDEX(Iqbal!$K:$K, 70))</f>
        <v>46318</v>
      </c>
      <c r="F670">
        <f t="shared" si="20"/>
        <v>1</v>
      </c>
      <c r="G670" s="13">
        <f>IF(INDEX(Iqbal!$D:$D, 70)="", NA(), INDEX(Iqbal!$L:$L, 70))</f>
        <v>46318</v>
      </c>
      <c r="H670" t="str">
        <f t="shared" si="21"/>
        <v>Iqbal (Developer) - Staging Cloud - Membuat unit test untuk mekanisme retry, DLQ, dan alur outbound ke TICS</v>
      </c>
    </row>
    <row r="671" spans="1:8" x14ac:dyDescent="0.2">
      <c r="A671" t="str">
        <f>IF(INDEX(Iqbal!$D:$D, 71)="", NA(), "Iqbal (Developer)")</f>
        <v>Iqbal (Developer)</v>
      </c>
      <c r="B671" t="str">
        <f>IF(INDEX(Iqbal!$D:$D, 71)="", NA(), INDEX(Iqbal!$B:$B, 71))</f>
        <v>Staging Cloud</v>
      </c>
      <c r="C671" t="str">
        <f>IF(INDEX(Iqbal!$D:$D, 71)="", NA(), INDEX(Iqbal!$D:$D, 71))</f>
        <v>Memperbaiki error tipe TypeScript pada unit test service dan callback</v>
      </c>
      <c r="D671" t="str">
        <f>IF(INDEX(Iqbal!$D:$D, 71)="", NA(), INDEX(Iqbal!$E:$E, 71))</f>
        <v>DONE</v>
      </c>
      <c r="E671" s="13">
        <f>IF(INDEX(Iqbal!$D:$D, 71)="", NA(), INDEX(Iqbal!$K:$K, 71))</f>
        <v>46318</v>
      </c>
      <c r="F671">
        <f t="shared" si="20"/>
        <v>1</v>
      </c>
      <c r="G671" s="13">
        <f>IF(INDEX(Iqbal!$D:$D, 71)="", NA(), INDEX(Iqbal!$L:$L, 71))</f>
        <v>46318</v>
      </c>
      <c r="H671" t="str">
        <f t="shared" si="21"/>
        <v>Iqbal (Developer) - Staging Cloud - Memperbaiki error tipe TypeScript pada unit test service dan callback</v>
      </c>
    </row>
    <row r="672" spans="1:8" x14ac:dyDescent="0.2">
      <c r="A672" t="str">
        <f>IF(INDEX(Iqbal!$D:$D, 72)="", NA(), "Iqbal (Developer)")</f>
        <v>Iqbal (Developer)</v>
      </c>
      <c r="B672" t="str">
        <f>IF(INDEX(Iqbal!$D:$D, 72)="", NA(), INDEX(Iqbal!$B:$B, 72))</f>
        <v>Staging Cloud</v>
      </c>
      <c r="C672" t="str">
        <f>IF(INDEX(Iqbal!$D:$D, 72)="", NA(), INDEX(Iqbal!$D:$D, 72))</f>
        <v>Monthly Meeting dengan tim internal Tugu Insurance</v>
      </c>
      <c r="D672" t="str">
        <f>IF(INDEX(Iqbal!$D:$D, 72)="", NA(), INDEX(Iqbal!$E:$E, 72))</f>
        <v>DONE</v>
      </c>
      <c r="E672" s="13">
        <f>IF(INDEX(Iqbal!$D:$D, 72)="", NA(), INDEX(Iqbal!$K:$K, 72))</f>
        <v>46318</v>
      </c>
      <c r="F672">
        <f t="shared" si="20"/>
        <v>1</v>
      </c>
      <c r="G672" s="13">
        <f>IF(INDEX(Iqbal!$D:$D, 72)="", NA(), INDEX(Iqbal!$L:$L, 72))</f>
        <v>46318</v>
      </c>
      <c r="H672" t="str">
        <f t="shared" si="21"/>
        <v>Iqbal (Developer) - Staging Cloud - Monthly Meeting dengan tim internal Tugu Insurance</v>
      </c>
    </row>
    <row r="673" spans="1:8" x14ac:dyDescent="0.2">
      <c r="A673" t="e">
        <f>IF(INDEX(Iqbal!$D:$D, 73)="", NA(), "Iqbal (Developer)")</f>
        <v>#N/A</v>
      </c>
      <c r="B673" t="e">
        <f>IF(INDEX(Iqbal!$D:$D, 73)="", NA(), INDEX(Iqbal!$B:$B, 73))</f>
        <v>#N/A</v>
      </c>
      <c r="C673" t="e">
        <f>IF(INDEX(Iqbal!$D:$D, 73)="", NA(), INDEX(Iqbal!$D:$D, 73))</f>
        <v>#N/A</v>
      </c>
      <c r="D673" t="e">
        <f>IF(INDEX(Iqbal!$D:$D, 73)="", NA(), INDEX(Iqbal!$E:$E, 73))</f>
        <v>#N/A</v>
      </c>
      <c r="E673" s="13" t="e">
        <f>IF(INDEX(Iqbal!$D:$D, 73)="", NA(), INDEX(Iqbal!$K:$K, 73))</f>
        <v>#N/A</v>
      </c>
      <c r="F673" t="e">
        <f t="shared" si="20"/>
        <v>#N/A</v>
      </c>
      <c r="G673" s="13" t="e">
        <f>IF(INDEX(Iqbal!$D:$D, 73)="", NA(), INDEX(Iqbal!$L:$L, 73))</f>
        <v>#N/A</v>
      </c>
      <c r="H673" t="e">
        <f t="shared" si="21"/>
        <v>#N/A</v>
      </c>
    </row>
    <row r="674" spans="1:8" x14ac:dyDescent="0.2">
      <c r="A674" t="e">
        <f>IF(INDEX(Iqbal!$D:$D, 74)="", NA(), "Iqbal (Developer)")</f>
        <v>#N/A</v>
      </c>
      <c r="B674" t="e">
        <f>IF(INDEX(Iqbal!$D:$D, 74)="", NA(), INDEX(Iqbal!$B:$B, 74))</f>
        <v>#N/A</v>
      </c>
      <c r="C674" t="e">
        <f>IF(INDEX(Iqbal!$D:$D, 74)="", NA(), INDEX(Iqbal!$D:$D, 74))</f>
        <v>#N/A</v>
      </c>
      <c r="D674" t="e">
        <f>IF(INDEX(Iqbal!$D:$D, 74)="", NA(), INDEX(Iqbal!$E:$E, 74))</f>
        <v>#N/A</v>
      </c>
      <c r="E674" s="13" t="e">
        <f>IF(INDEX(Iqbal!$D:$D, 74)="", NA(), INDEX(Iqbal!$K:$K, 74))</f>
        <v>#N/A</v>
      </c>
      <c r="F674" t="e">
        <f t="shared" si="20"/>
        <v>#N/A</v>
      </c>
      <c r="G674" s="13" t="e">
        <f>IF(INDEX(Iqbal!$D:$D, 74)="", NA(), INDEX(Iqbal!$L:$L, 74))</f>
        <v>#N/A</v>
      </c>
      <c r="H674" t="e">
        <f t="shared" si="21"/>
        <v>#N/A</v>
      </c>
    </row>
    <row r="675" spans="1:8" x14ac:dyDescent="0.2">
      <c r="A675" t="e">
        <f>IF(INDEX(Iqbal!$D:$D, 75)="", NA(), "Iqbal (Developer)")</f>
        <v>#N/A</v>
      </c>
      <c r="B675" t="e">
        <f>IF(INDEX(Iqbal!$D:$D, 75)="", NA(), INDEX(Iqbal!$B:$B, 75))</f>
        <v>#N/A</v>
      </c>
      <c r="C675" t="e">
        <f>IF(INDEX(Iqbal!$D:$D, 75)="", NA(), INDEX(Iqbal!$D:$D, 75))</f>
        <v>#N/A</v>
      </c>
      <c r="D675" t="e">
        <f>IF(INDEX(Iqbal!$D:$D, 75)="", NA(), INDEX(Iqbal!$E:$E, 75))</f>
        <v>#N/A</v>
      </c>
      <c r="E675" s="13" t="e">
        <f>IF(INDEX(Iqbal!$D:$D, 75)="", NA(), INDEX(Iqbal!$K:$K, 75))</f>
        <v>#N/A</v>
      </c>
      <c r="F675" t="e">
        <f t="shared" si="20"/>
        <v>#N/A</v>
      </c>
      <c r="G675" s="13" t="e">
        <f>IF(INDEX(Iqbal!$D:$D, 75)="", NA(), INDEX(Iqbal!$L:$L, 75))</f>
        <v>#N/A</v>
      </c>
      <c r="H675" t="e">
        <f t="shared" si="21"/>
        <v>#N/A</v>
      </c>
    </row>
    <row r="676" spans="1:8" x14ac:dyDescent="0.2">
      <c r="A676" t="e">
        <f>IF(INDEX(Iqbal!$D:$D, 76)="", NA(), "Iqbal (Developer)")</f>
        <v>#N/A</v>
      </c>
      <c r="B676" t="e">
        <f>IF(INDEX(Iqbal!$D:$D, 76)="", NA(), INDEX(Iqbal!$B:$B, 76))</f>
        <v>#N/A</v>
      </c>
      <c r="C676" t="e">
        <f>IF(INDEX(Iqbal!$D:$D, 76)="", NA(), INDEX(Iqbal!$D:$D, 76))</f>
        <v>#N/A</v>
      </c>
      <c r="D676" t="e">
        <f>IF(INDEX(Iqbal!$D:$D, 76)="", NA(), INDEX(Iqbal!$E:$E, 76))</f>
        <v>#N/A</v>
      </c>
      <c r="E676" s="13" t="e">
        <f>IF(INDEX(Iqbal!$D:$D, 76)="", NA(), INDEX(Iqbal!$K:$K, 76))</f>
        <v>#N/A</v>
      </c>
      <c r="F676" t="e">
        <f t="shared" si="20"/>
        <v>#N/A</v>
      </c>
      <c r="G676" s="13" t="e">
        <f>IF(INDEX(Iqbal!$D:$D, 76)="", NA(), INDEX(Iqbal!$L:$L, 76))</f>
        <v>#N/A</v>
      </c>
      <c r="H676" t="e">
        <f t="shared" si="21"/>
        <v>#N/A</v>
      </c>
    </row>
    <row r="677" spans="1:8" x14ac:dyDescent="0.2">
      <c r="A677" t="e">
        <f>IF(INDEX(Iqbal!$D:$D, 77)="", NA(), "Iqbal (Developer)")</f>
        <v>#N/A</v>
      </c>
      <c r="B677" t="e">
        <f>IF(INDEX(Iqbal!$D:$D, 77)="", NA(), INDEX(Iqbal!$B:$B, 77))</f>
        <v>#N/A</v>
      </c>
      <c r="C677" t="e">
        <f>IF(INDEX(Iqbal!$D:$D, 77)="", NA(), INDEX(Iqbal!$D:$D, 77))</f>
        <v>#N/A</v>
      </c>
      <c r="D677" t="e">
        <f>IF(INDEX(Iqbal!$D:$D, 77)="", NA(), INDEX(Iqbal!$E:$E, 77))</f>
        <v>#N/A</v>
      </c>
      <c r="E677" s="13" t="e">
        <f>IF(INDEX(Iqbal!$D:$D, 77)="", NA(), INDEX(Iqbal!$K:$K, 77))</f>
        <v>#N/A</v>
      </c>
      <c r="F677" t="e">
        <f t="shared" si="20"/>
        <v>#N/A</v>
      </c>
      <c r="G677" s="13" t="e">
        <f>IF(INDEX(Iqbal!$D:$D, 77)="", NA(), INDEX(Iqbal!$L:$L, 77))</f>
        <v>#N/A</v>
      </c>
      <c r="H677" t="e">
        <f t="shared" si="21"/>
        <v>#N/A</v>
      </c>
    </row>
    <row r="678" spans="1:8" x14ac:dyDescent="0.2">
      <c r="A678" t="e">
        <f>IF(INDEX(Iqbal!$D:$D, 78)="", NA(), "Iqbal (Developer)")</f>
        <v>#N/A</v>
      </c>
      <c r="B678" t="e">
        <f>IF(INDEX(Iqbal!$D:$D, 78)="", NA(), INDEX(Iqbal!$B:$B, 78))</f>
        <v>#N/A</v>
      </c>
      <c r="C678" t="e">
        <f>IF(INDEX(Iqbal!$D:$D, 78)="", NA(), INDEX(Iqbal!$D:$D, 78))</f>
        <v>#N/A</v>
      </c>
      <c r="D678" t="e">
        <f>IF(INDEX(Iqbal!$D:$D, 78)="", NA(), INDEX(Iqbal!$E:$E, 78))</f>
        <v>#N/A</v>
      </c>
      <c r="E678" s="13" t="e">
        <f>IF(INDEX(Iqbal!$D:$D, 78)="", NA(), INDEX(Iqbal!$K:$K, 78))</f>
        <v>#N/A</v>
      </c>
      <c r="F678" t="e">
        <f t="shared" si="20"/>
        <v>#N/A</v>
      </c>
      <c r="G678" s="13" t="e">
        <f>IF(INDEX(Iqbal!$D:$D, 78)="", NA(), INDEX(Iqbal!$L:$L, 78))</f>
        <v>#N/A</v>
      </c>
      <c r="H678" t="e">
        <f t="shared" si="21"/>
        <v>#N/A</v>
      </c>
    </row>
    <row r="679" spans="1:8" x14ac:dyDescent="0.2">
      <c r="A679" t="e">
        <f>IF(INDEX(Iqbal!$D:$D, 79)="", NA(), "Iqbal (Developer)")</f>
        <v>#N/A</v>
      </c>
      <c r="B679" t="e">
        <f>IF(INDEX(Iqbal!$D:$D, 79)="", NA(), INDEX(Iqbal!$B:$B, 79))</f>
        <v>#N/A</v>
      </c>
      <c r="C679" t="e">
        <f>IF(INDEX(Iqbal!$D:$D, 79)="", NA(), INDEX(Iqbal!$D:$D, 79))</f>
        <v>#N/A</v>
      </c>
      <c r="D679" t="e">
        <f>IF(INDEX(Iqbal!$D:$D, 79)="", NA(), INDEX(Iqbal!$E:$E, 79))</f>
        <v>#N/A</v>
      </c>
      <c r="E679" s="13" t="e">
        <f>IF(INDEX(Iqbal!$D:$D, 79)="", NA(), INDEX(Iqbal!$K:$K, 79))</f>
        <v>#N/A</v>
      </c>
      <c r="F679" t="e">
        <f t="shared" si="20"/>
        <v>#N/A</v>
      </c>
      <c r="G679" s="13" t="e">
        <f>IF(INDEX(Iqbal!$D:$D, 79)="", NA(), INDEX(Iqbal!$L:$L, 79))</f>
        <v>#N/A</v>
      </c>
      <c r="H679" t="e">
        <f t="shared" si="21"/>
        <v>#N/A</v>
      </c>
    </row>
    <row r="680" spans="1:8" x14ac:dyDescent="0.2">
      <c r="A680" t="e">
        <f>IF(INDEX(Iqbal!$D:$D, 80)="", NA(), "Iqbal (Developer)")</f>
        <v>#N/A</v>
      </c>
      <c r="B680" t="e">
        <f>IF(INDEX(Iqbal!$D:$D, 80)="", NA(), INDEX(Iqbal!$B:$B, 80))</f>
        <v>#N/A</v>
      </c>
      <c r="C680" t="e">
        <f>IF(INDEX(Iqbal!$D:$D, 80)="", NA(), INDEX(Iqbal!$D:$D, 80))</f>
        <v>#N/A</v>
      </c>
      <c r="D680" t="e">
        <f>IF(INDEX(Iqbal!$D:$D, 80)="", NA(), INDEX(Iqbal!$E:$E, 80))</f>
        <v>#N/A</v>
      </c>
      <c r="E680" s="13" t="e">
        <f>IF(INDEX(Iqbal!$D:$D, 80)="", NA(), INDEX(Iqbal!$K:$K, 80))</f>
        <v>#N/A</v>
      </c>
      <c r="F680" t="e">
        <f t="shared" si="20"/>
        <v>#N/A</v>
      </c>
      <c r="G680" s="13" t="e">
        <f>IF(INDEX(Iqbal!$D:$D, 80)="", NA(), INDEX(Iqbal!$L:$L, 80))</f>
        <v>#N/A</v>
      </c>
      <c r="H680" t="e">
        <f t="shared" si="21"/>
        <v>#N/A</v>
      </c>
    </row>
    <row r="681" spans="1:8" x14ac:dyDescent="0.2">
      <c r="A681" t="e">
        <f>IF(INDEX(Iqbal!$D:$D, 81)="", NA(), "Iqbal (Developer)")</f>
        <v>#N/A</v>
      </c>
      <c r="B681" t="e">
        <f>IF(INDEX(Iqbal!$D:$D, 81)="", NA(), INDEX(Iqbal!$B:$B, 81))</f>
        <v>#N/A</v>
      </c>
      <c r="C681" t="e">
        <f>IF(INDEX(Iqbal!$D:$D, 81)="", NA(), INDEX(Iqbal!$D:$D, 81))</f>
        <v>#N/A</v>
      </c>
      <c r="D681" t="e">
        <f>IF(INDEX(Iqbal!$D:$D, 81)="", NA(), INDEX(Iqbal!$E:$E, 81))</f>
        <v>#N/A</v>
      </c>
      <c r="E681" s="13" t="e">
        <f>IF(INDEX(Iqbal!$D:$D, 81)="", NA(), INDEX(Iqbal!$K:$K, 81))</f>
        <v>#N/A</v>
      </c>
      <c r="F681" t="e">
        <f t="shared" si="20"/>
        <v>#N/A</v>
      </c>
      <c r="G681" s="13" t="e">
        <f>IF(INDEX(Iqbal!$D:$D, 81)="", NA(), INDEX(Iqbal!$L:$L, 81))</f>
        <v>#N/A</v>
      </c>
      <c r="H681" t="e">
        <f t="shared" si="21"/>
        <v>#N/A</v>
      </c>
    </row>
    <row r="682" spans="1:8" x14ac:dyDescent="0.2">
      <c r="A682" t="e">
        <f>IF(INDEX(Iqbal!$D:$D, 82)="", NA(), "Iqbal (Developer)")</f>
        <v>#N/A</v>
      </c>
      <c r="B682" t="e">
        <f>IF(INDEX(Iqbal!$D:$D, 82)="", NA(), INDEX(Iqbal!$B:$B, 82))</f>
        <v>#N/A</v>
      </c>
      <c r="C682" t="e">
        <f>IF(INDEX(Iqbal!$D:$D, 82)="", NA(), INDEX(Iqbal!$D:$D, 82))</f>
        <v>#N/A</v>
      </c>
      <c r="D682" t="e">
        <f>IF(INDEX(Iqbal!$D:$D, 82)="", NA(), INDEX(Iqbal!$E:$E, 82))</f>
        <v>#N/A</v>
      </c>
      <c r="E682" s="13" t="e">
        <f>IF(INDEX(Iqbal!$D:$D, 82)="", NA(), INDEX(Iqbal!$K:$K, 82))</f>
        <v>#N/A</v>
      </c>
      <c r="F682" t="e">
        <f t="shared" si="20"/>
        <v>#N/A</v>
      </c>
      <c r="G682" s="13" t="e">
        <f>IF(INDEX(Iqbal!$D:$D, 82)="", NA(), INDEX(Iqbal!$L:$L, 82))</f>
        <v>#N/A</v>
      </c>
      <c r="H682" t="e">
        <f t="shared" si="21"/>
        <v>#N/A</v>
      </c>
    </row>
    <row r="683" spans="1:8" x14ac:dyDescent="0.2">
      <c r="A683" t="e">
        <f>IF(INDEX(Iqbal!$D:$D, 83)="", NA(), "Iqbal (Developer)")</f>
        <v>#N/A</v>
      </c>
      <c r="B683" t="e">
        <f>IF(INDEX(Iqbal!$D:$D, 83)="", NA(), INDEX(Iqbal!$B:$B, 83))</f>
        <v>#N/A</v>
      </c>
      <c r="C683" t="e">
        <f>IF(INDEX(Iqbal!$D:$D, 83)="", NA(), INDEX(Iqbal!$D:$D, 83))</f>
        <v>#N/A</v>
      </c>
      <c r="D683" t="e">
        <f>IF(INDEX(Iqbal!$D:$D, 83)="", NA(), INDEX(Iqbal!$E:$E, 83))</f>
        <v>#N/A</v>
      </c>
      <c r="E683" s="13" t="e">
        <f>IF(INDEX(Iqbal!$D:$D, 83)="", NA(), INDEX(Iqbal!$K:$K, 83))</f>
        <v>#N/A</v>
      </c>
      <c r="F683" t="e">
        <f t="shared" si="20"/>
        <v>#N/A</v>
      </c>
      <c r="G683" s="13" t="e">
        <f>IF(INDEX(Iqbal!$D:$D, 83)="", NA(), INDEX(Iqbal!$L:$L, 83))</f>
        <v>#N/A</v>
      </c>
      <c r="H683" t="e">
        <f t="shared" si="21"/>
        <v>#N/A</v>
      </c>
    </row>
    <row r="684" spans="1:8" x14ac:dyDescent="0.2">
      <c r="A684" t="e">
        <f>IF(INDEX(Iqbal!$D:$D, 84)="", NA(), "Iqbal (Developer)")</f>
        <v>#N/A</v>
      </c>
      <c r="B684" t="e">
        <f>IF(INDEX(Iqbal!$D:$D, 84)="", NA(), INDEX(Iqbal!$B:$B, 84))</f>
        <v>#N/A</v>
      </c>
      <c r="C684" t="e">
        <f>IF(INDEX(Iqbal!$D:$D, 84)="", NA(), INDEX(Iqbal!$D:$D, 84))</f>
        <v>#N/A</v>
      </c>
      <c r="D684" t="e">
        <f>IF(INDEX(Iqbal!$D:$D, 84)="", NA(), INDEX(Iqbal!$E:$E, 84))</f>
        <v>#N/A</v>
      </c>
      <c r="E684" s="13" t="e">
        <f>IF(INDEX(Iqbal!$D:$D, 84)="", NA(), INDEX(Iqbal!$K:$K, 84))</f>
        <v>#N/A</v>
      </c>
      <c r="F684" t="e">
        <f t="shared" si="20"/>
        <v>#N/A</v>
      </c>
      <c r="G684" s="13" t="e">
        <f>IF(INDEX(Iqbal!$D:$D, 84)="", NA(), INDEX(Iqbal!$L:$L, 84))</f>
        <v>#N/A</v>
      </c>
      <c r="H684" t="e">
        <f t="shared" si="21"/>
        <v>#N/A</v>
      </c>
    </row>
    <row r="685" spans="1:8" x14ac:dyDescent="0.2">
      <c r="A685" t="e">
        <f>IF(INDEX(Iqbal!$D:$D, 85)="", NA(), "Iqbal (Developer)")</f>
        <v>#N/A</v>
      </c>
      <c r="B685" t="e">
        <f>IF(INDEX(Iqbal!$D:$D, 85)="", NA(), INDEX(Iqbal!$B:$B, 85))</f>
        <v>#N/A</v>
      </c>
      <c r="C685" t="e">
        <f>IF(INDEX(Iqbal!$D:$D, 85)="", NA(), INDEX(Iqbal!$D:$D, 85))</f>
        <v>#N/A</v>
      </c>
      <c r="D685" t="e">
        <f>IF(INDEX(Iqbal!$D:$D, 85)="", NA(), INDEX(Iqbal!$E:$E, 85))</f>
        <v>#N/A</v>
      </c>
      <c r="E685" s="13" t="e">
        <f>IF(INDEX(Iqbal!$D:$D, 85)="", NA(), INDEX(Iqbal!$K:$K, 85))</f>
        <v>#N/A</v>
      </c>
      <c r="F685" t="e">
        <f t="shared" si="20"/>
        <v>#N/A</v>
      </c>
      <c r="G685" s="13" t="e">
        <f>IF(INDEX(Iqbal!$D:$D, 85)="", NA(), INDEX(Iqbal!$L:$L, 85))</f>
        <v>#N/A</v>
      </c>
      <c r="H685" t="e">
        <f t="shared" si="21"/>
        <v>#N/A</v>
      </c>
    </row>
    <row r="686" spans="1:8" x14ac:dyDescent="0.2">
      <c r="A686" t="e">
        <f>IF(INDEX(Iqbal!$D:$D, 86)="", NA(), "Iqbal (Developer)")</f>
        <v>#N/A</v>
      </c>
      <c r="B686" t="e">
        <f>IF(INDEX(Iqbal!$D:$D, 86)="", NA(), INDEX(Iqbal!$B:$B, 86))</f>
        <v>#N/A</v>
      </c>
      <c r="C686" t="e">
        <f>IF(INDEX(Iqbal!$D:$D, 86)="", NA(), INDEX(Iqbal!$D:$D, 86))</f>
        <v>#N/A</v>
      </c>
      <c r="D686" t="e">
        <f>IF(INDEX(Iqbal!$D:$D, 86)="", NA(), INDEX(Iqbal!$E:$E, 86))</f>
        <v>#N/A</v>
      </c>
      <c r="E686" s="13" t="e">
        <f>IF(INDEX(Iqbal!$D:$D, 86)="", NA(), INDEX(Iqbal!$K:$K, 86))</f>
        <v>#N/A</v>
      </c>
      <c r="F686" t="e">
        <f t="shared" si="20"/>
        <v>#N/A</v>
      </c>
      <c r="G686" s="13" t="e">
        <f>IF(INDEX(Iqbal!$D:$D, 86)="", NA(), INDEX(Iqbal!$L:$L, 86))</f>
        <v>#N/A</v>
      </c>
      <c r="H686" t="e">
        <f t="shared" si="21"/>
        <v>#N/A</v>
      </c>
    </row>
    <row r="687" spans="1:8" x14ac:dyDescent="0.2">
      <c r="A687" t="e">
        <f>IF(INDEX(Iqbal!$D:$D, 87)="", NA(), "Iqbal (Developer)")</f>
        <v>#N/A</v>
      </c>
      <c r="B687" t="e">
        <f>IF(INDEX(Iqbal!$D:$D, 87)="", NA(), INDEX(Iqbal!$B:$B, 87))</f>
        <v>#N/A</v>
      </c>
      <c r="C687" t="e">
        <f>IF(INDEX(Iqbal!$D:$D, 87)="", NA(), INDEX(Iqbal!$D:$D, 87))</f>
        <v>#N/A</v>
      </c>
      <c r="D687" t="e">
        <f>IF(INDEX(Iqbal!$D:$D, 87)="", NA(), INDEX(Iqbal!$E:$E, 87))</f>
        <v>#N/A</v>
      </c>
      <c r="E687" s="13" t="e">
        <f>IF(INDEX(Iqbal!$D:$D, 87)="", NA(), INDEX(Iqbal!$K:$K, 87))</f>
        <v>#N/A</v>
      </c>
      <c r="F687" t="e">
        <f t="shared" si="20"/>
        <v>#N/A</v>
      </c>
      <c r="G687" s="13" t="e">
        <f>IF(INDEX(Iqbal!$D:$D, 87)="", NA(), INDEX(Iqbal!$L:$L, 87))</f>
        <v>#N/A</v>
      </c>
      <c r="H687" t="e">
        <f t="shared" si="21"/>
        <v>#N/A</v>
      </c>
    </row>
    <row r="688" spans="1:8" x14ac:dyDescent="0.2">
      <c r="A688" t="e">
        <f>IF(INDEX(Iqbal!$D:$D, 88)="", NA(), "Iqbal (Developer)")</f>
        <v>#N/A</v>
      </c>
      <c r="B688" t="e">
        <f>IF(INDEX(Iqbal!$D:$D, 88)="", NA(), INDEX(Iqbal!$B:$B, 88))</f>
        <v>#N/A</v>
      </c>
      <c r="C688" t="e">
        <f>IF(INDEX(Iqbal!$D:$D, 88)="", NA(), INDEX(Iqbal!$D:$D, 88))</f>
        <v>#N/A</v>
      </c>
      <c r="D688" t="e">
        <f>IF(INDEX(Iqbal!$D:$D, 88)="", NA(), INDEX(Iqbal!$E:$E, 88))</f>
        <v>#N/A</v>
      </c>
      <c r="E688" s="13" t="e">
        <f>IF(INDEX(Iqbal!$D:$D, 88)="", NA(), INDEX(Iqbal!$K:$K, 88))</f>
        <v>#N/A</v>
      </c>
      <c r="F688" t="e">
        <f t="shared" si="20"/>
        <v>#N/A</v>
      </c>
      <c r="G688" s="13" t="e">
        <f>IF(INDEX(Iqbal!$D:$D, 88)="", NA(), INDEX(Iqbal!$L:$L, 88))</f>
        <v>#N/A</v>
      </c>
      <c r="H688" t="e">
        <f t="shared" si="21"/>
        <v>#N/A</v>
      </c>
    </row>
    <row r="689" spans="1:8" x14ac:dyDescent="0.2">
      <c r="A689" t="e">
        <f>IF(INDEX(Iqbal!$D:$D, 89)="", NA(), "Iqbal (Developer)")</f>
        <v>#N/A</v>
      </c>
      <c r="B689" t="e">
        <f>IF(INDEX(Iqbal!$D:$D, 89)="", NA(), INDEX(Iqbal!$B:$B, 89))</f>
        <v>#N/A</v>
      </c>
      <c r="C689" t="e">
        <f>IF(INDEX(Iqbal!$D:$D, 89)="", NA(), INDEX(Iqbal!$D:$D, 89))</f>
        <v>#N/A</v>
      </c>
      <c r="D689" t="e">
        <f>IF(INDEX(Iqbal!$D:$D, 89)="", NA(), INDEX(Iqbal!$E:$E, 89))</f>
        <v>#N/A</v>
      </c>
      <c r="E689" s="13" t="e">
        <f>IF(INDEX(Iqbal!$D:$D, 89)="", NA(), INDEX(Iqbal!$K:$K, 89))</f>
        <v>#N/A</v>
      </c>
      <c r="F689" t="e">
        <f t="shared" si="20"/>
        <v>#N/A</v>
      </c>
      <c r="G689" s="13" t="e">
        <f>IF(INDEX(Iqbal!$D:$D, 89)="", NA(), INDEX(Iqbal!$L:$L, 89))</f>
        <v>#N/A</v>
      </c>
      <c r="H689" t="e">
        <f t="shared" si="21"/>
        <v>#N/A</v>
      </c>
    </row>
    <row r="690" spans="1:8" x14ac:dyDescent="0.2">
      <c r="A690" t="e">
        <f>IF(INDEX(Iqbal!$D:$D, 90)="", NA(), "Iqbal (Developer)")</f>
        <v>#N/A</v>
      </c>
      <c r="B690" t="e">
        <f>IF(INDEX(Iqbal!$D:$D, 90)="", NA(), INDEX(Iqbal!$B:$B, 90))</f>
        <v>#N/A</v>
      </c>
      <c r="C690" t="e">
        <f>IF(INDEX(Iqbal!$D:$D, 90)="", NA(), INDEX(Iqbal!$D:$D, 90))</f>
        <v>#N/A</v>
      </c>
      <c r="D690" t="e">
        <f>IF(INDEX(Iqbal!$D:$D, 90)="", NA(), INDEX(Iqbal!$E:$E, 90))</f>
        <v>#N/A</v>
      </c>
      <c r="E690" s="13" t="e">
        <f>IF(INDEX(Iqbal!$D:$D, 90)="", NA(), INDEX(Iqbal!$K:$K, 90))</f>
        <v>#N/A</v>
      </c>
      <c r="F690" t="e">
        <f t="shared" si="20"/>
        <v>#N/A</v>
      </c>
      <c r="G690" s="13" t="e">
        <f>IF(INDEX(Iqbal!$D:$D, 90)="", NA(), INDEX(Iqbal!$L:$L, 90))</f>
        <v>#N/A</v>
      </c>
      <c r="H690" t="e">
        <f t="shared" si="21"/>
        <v>#N/A</v>
      </c>
    </row>
    <row r="691" spans="1:8" x14ac:dyDescent="0.2">
      <c r="A691" t="e">
        <f>IF(INDEX(Iqbal!$D:$D, 91)="", NA(), "Iqbal (Developer)")</f>
        <v>#N/A</v>
      </c>
      <c r="B691" t="e">
        <f>IF(INDEX(Iqbal!$D:$D, 91)="", NA(), INDEX(Iqbal!$B:$B, 91))</f>
        <v>#N/A</v>
      </c>
      <c r="C691" t="e">
        <f>IF(INDEX(Iqbal!$D:$D, 91)="", NA(), INDEX(Iqbal!$D:$D, 91))</f>
        <v>#N/A</v>
      </c>
      <c r="D691" t="e">
        <f>IF(INDEX(Iqbal!$D:$D, 91)="", NA(), INDEX(Iqbal!$E:$E, 91))</f>
        <v>#N/A</v>
      </c>
      <c r="E691" s="13" t="e">
        <f>IF(INDEX(Iqbal!$D:$D, 91)="", NA(), INDEX(Iqbal!$K:$K, 91))</f>
        <v>#N/A</v>
      </c>
      <c r="F691" t="e">
        <f t="shared" si="20"/>
        <v>#N/A</v>
      </c>
      <c r="G691" s="13" t="e">
        <f>IF(INDEX(Iqbal!$D:$D, 91)="", NA(), INDEX(Iqbal!$L:$L, 91))</f>
        <v>#N/A</v>
      </c>
      <c r="H691" t="e">
        <f t="shared" si="21"/>
        <v>#N/A</v>
      </c>
    </row>
    <row r="692" spans="1:8" x14ac:dyDescent="0.2">
      <c r="A692" t="e">
        <f>IF(INDEX(Iqbal!$D:$D, 92)="", NA(), "Iqbal (Developer)")</f>
        <v>#N/A</v>
      </c>
      <c r="B692" t="e">
        <f>IF(INDEX(Iqbal!$D:$D, 92)="", NA(), INDEX(Iqbal!$B:$B, 92))</f>
        <v>#N/A</v>
      </c>
      <c r="C692" t="e">
        <f>IF(INDEX(Iqbal!$D:$D, 92)="", NA(), INDEX(Iqbal!$D:$D, 92))</f>
        <v>#N/A</v>
      </c>
      <c r="D692" t="e">
        <f>IF(INDEX(Iqbal!$D:$D, 92)="", NA(), INDEX(Iqbal!$E:$E, 92))</f>
        <v>#N/A</v>
      </c>
      <c r="E692" s="13" t="e">
        <f>IF(INDEX(Iqbal!$D:$D, 92)="", NA(), INDEX(Iqbal!$K:$K, 92))</f>
        <v>#N/A</v>
      </c>
      <c r="F692" t="e">
        <f t="shared" si="20"/>
        <v>#N/A</v>
      </c>
      <c r="G692" s="13" t="e">
        <f>IF(INDEX(Iqbal!$D:$D, 92)="", NA(), INDEX(Iqbal!$L:$L, 92))</f>
        <v>#N/A</v>
      </c>
      <c r="H692" t="e">
        <f t="shared" si="21"/>
        <v>#N/A</v>
      </c>
    </row>
    <row r="693" spans="1:8" x14ac:dyDescent="0.2">
      <c r="A693" t="e">
        <f>IF(INDEX(Iqbal!$D:$D, 93)="", NA(), "Iqbal (Developer)")</f>
        <v>#N/A</v>
      </c>
      <c r="B693" t="e">
        <f>IF(INDEX(Iqbal!$D:$D, 93)="", NA(), INDEX(Iqbal!$B:$B, 93))</f>
        <v>#N/A</v>
      </c>
      <c r="C693" t="e">
        <f>IF(INDEX(Iqbal!$D:$D, 93)="", NA(), INDEX(Iqbal!$D:$D, 93))</f>
        <v>#N/A</v>
      </c>
      <c r="D693" t="e">
        <f>IF(INDEX(Iqbal!$D:$D, 93)="", NA(), INDEX(Iqbal!$E:$E, 93))</f>
        <v>#N/A</v>
      </c>
      <c r="E693" s="13" t="e">
        <f>IF(INDEX(Iqbal!$D:$D, 93)="", NA(), INDEX(Iqbal!$K:$K, 93))</f>
        <v>#N/A</v>
      </c>
      <c r="F693" t="e">
        <f t="shared" si="20"/>
        <v>#N/A</v>
      </c>
      <c r="G693" s="13" t="e">
        <f>IF(INDEX(Iqbal!$D:$D, 93)="", NA(), INDEX(Iqbal!$L:$L, 93))</f>
        <v>#N/A</v>
      </c>
      <c r="H693" t="e">
        <f t="shared" si="21"/>
        <v>#N/A</v>
      </c>
    </row>
    <row r="694" spans="1:8" x14ac:dyDescent="0.2">
      <c r="A694" t="e">
        <f>IF(INDEX(Iqbal!$D:$D, 94)="", NA(), "Iqbal (Developer)")</f>
        <v>#N/A</v>
      </c>
      <c r="B694" t="e">
        <f>IF(INDEX(Iqbal!$D:$D, 94)="", NA(), INDEX(Iqbal!$B:$B, 94))</f>
        <v>#N/A</v>
      </c>
      <c r="C694" t="e">
        <f>IF(INDEX(Iqbal!$D:$D, 94)="", NA(), INDEX(Iqbal!$D:$D, 94))</f>
        <v>#N/A</v>
      </c>
      <c r="D694" t="e">
        <f>IF(INDEX(Iqbal!$D:$D, 94)="", NA(), INDEX(Iqbal!$E:$E, 94))</f>
        <v>#N/A</v>
      </c>
      <c r="E694" s="13" t="e">
        <f>IF(INDEX(Iqbal!$D:$D, 94)="", NA(), INDEX(Iqbal!$K:$K, 94))</f>
        <v>#N/A</v>
      </c>
      <c r="F694" t="e">
        <f t="shared" si="20"/>
        <v>#N/A</v>
      </c>
      <c r="G694" s="13" t="e">
        <f>IF(INDEX(Iqbal!$D:$D, 94)="", NA(), INDEX(Iqbal!$L:$L, 94))</f>
        <v>#N/A</v>
      </c>
      <c r="H694" t="e">
        <f t="shared" si="21"/>
        <v>#N/A</v>
      </c>
    </row>
    <row r="695" spans="1:8" x14ac:dyDescent="0.2">
      <c r="A695" t="e">
        <f>IF(INDEX(Iqbal!$D:$D, 95)="", NA(), "Iqbal (Developer)")</f>
        <v>#N/A</v>
      </c>
      <c r="B695" t="e">
        <f>IF(INDEX(Iqbal!$D:$D, 95)="", NA(), INDEX(Iqbal!$B:$B, 95))</f>
        <v>#N/A</v>
      </c>
      <c r="C695" t="e">
        <f>IF(INDEX(Iqbal!$D:$D, 95)="", NA(), INDEX(Iqbal!$D:$D, 95))</f>
        <v>#N/A</v>
      </c>
      <c r="D695" t="e">
        <f>IF(INDEX(Iqbal!$D:$D, 95)="", NA(), INDEX(Iqbal!$E:$E, 95))</f>
        <v>#N/A</v>
      </c>
      <c r="E695" s="13" t="e">
        <f>IF(INDEX(Iqbal!$D:$D, 95)="", NA(), INDEX(Iqbal!$K:$K, 95))</f>
        <v>#N/A</v>
      </c>
      <c r="F695" t="e">
        <f t="shared" si="20"/>
        <v>#N/A</v>
      </c>
      <c r="G695" s="13" t="e">
        <f>IF(INDEX(Iqbal!$D:$D, 95)="", NA(), INDEX(Iqbal!$L:$L, 95))</f>
        <v>#N/A</v>
      </c>
      <c r="H695" t="e">
        <f t="shared" si="21"/>
        <v>#N/A</v>
      </c>
    </row>
    <row r="696" spans="1:8" x14ac:dyDescent="0.2">
      <c r="A696" t="e">
        <f>IF(INDEX(Iqbal!$D:$D, 96)="", NA(), "Iqbal (Developer)")</f>
        <v>#N/A</v>
      </c>
      <c r="B696" t="e">
        <f>IF(INDEX(Iqbal!$D:$D, 96)="", NA(), INDEX(Iqbal!$B:$B, 96))</f>
        <v>#N/A</v>
      </c>
      <c r="C696" t="e">
        <f>IF(INDEX(Iqbal!$D:$D, 96)="", NA(), INDEX(Iqbal!$D:$D, 96))</f>
        <v>#N/A</v>
      </c>
      <c r="D696" t="e">
        <f>IF(INDEX(Iqbal!$D:$D, 96)="", NA(), INDEX(Iqbal!$E:$E, 96))</f>
        <v>#N/A</v>
      </c>
      <c r="E696" s="13" t="e">
        <f>IF(INDEX(Iqbal!$D:$D, 96)="", NA(), INDEX(Iqbal!$K:$K, 96))</f>
        <v>#N/A</v>
      </c>
      <c r="F696" t="e">
        <f t="shared" si="20"/>
        <v>#N/A</v>
      </c>
      <c r="G696" s="13" t="e">
        <f>IF(INDEX(Iqbal!$D:$D, 96)="", NA(), INDEX(Iqbal!$L:$L, 96))</f>
        <v>#N/A</v>
      </c>
      <c r="H696" t="e">
        <f t="shared" si="21"/>
        <v>#N/A</v>
      </c>
    </row>
    <row r="697" spans="1:8" x14ac:dyDescent="0.2">
      <c r="A697" t="e">
        <f>IF(INDEX(Iqbal!$D:$D, 97)="", NA(), "Iqbal (Developer)")</f>
        <v>#N/A</v>
      </c>
      <c r="B697" t="e">
        <f>IF(INDEX(Iqbal!$D:$D, 97)="", NA(), INDEX(Iqbal!$B:$B, 97))</f>
        <v>#N/A</v>
      </c>
      <c r="C697" t="e">
        <f>IF(INDEX(Iqbal!$D:$D, 97)="", NA(), INDEX(Iqbal!$D:$D, 97))</f>
        <v>#N/A</v>
      </c>
      <c r="D697" t="e">
        <f>IF(INDEX(Iqbal!$D:$D, 97)="", NA(), INDEX(Iqbal!$E:$E, 97))</f>
        <v>#N/A</v>
      </c>
      <c r="E697" s="13" t="e">
        <f>IF(INDEX(Iqbal!$D:$D, 97)="", NA(), INDEX(Iqbal!$K:$K, 97))</f>
        <v>#N/A</v>
      </c>
      <c r="F697" t="e">
        <f t="shared" si="20"/>
        <v>#N/A</v>
      </c>
      <c r="G697" s="13" t="e">
        <f>IF(INDEX(Iqbal!$D:$D, 97)="", NA(), INDEX(Iqbal!$L:$L, 97))</f>
        <v>#N/A</v>
      </c>
      <c r="H697" t="e">
        <f t="shared" si="21"/>
        <v>#N/A</v>
      </c>
    </row>
    <row r="698" spans="1:8" x14ac:dyDescent="0.2">
      <c r="A698" t="e">
        <f>IF(INDEX(Iqbal!$D:$D, 98)="", NA(), "Iqbal (Developer)")</f>
        <v>#N/A</v>
      </c>
      <c r="B698" t="e">
        <f>IF(INDEX(Iqbal!$D:$D, 98)="", NA(), INDEX(Iqbal!$B:$B, 98))</f>
        <v>#N/A</v>
      </c>
      <c r="C698" t="e">
        <f>IF(INDEX(Iqbal!$D:$D, 98)="", NA(), INDEX(Iqbal!$D:$D, 98))</f>
        <v>#N/A</v>
      </c>
      <c r="D698" t="e">
        <f>IF(INDEX(Iqbal!$D:$D, 98)="", NA(), INDEX(Iqbal!$E:$E, 98))</f>
        <v>#N/A</v>
      </c>
      <c r="E698" s="13" t="e">
        <f>IF(INDEX(Iqbal!$D:$D, 98)="", NA(), INDEX(Iqbal!$K:$K, 98))</f>
        <v>#N/A</v>
      </c>
      <c r="F698" t="e">
        <f t="shared" si="20"/>
        <v>#N/A</v>
      </c>
      <c r="G698" s="13" t="e">
        <f>IF(INDEX(Iqbal!$D:$D, 98)="", NA(), INDEX(Iqbal!$L:$L, 98))</f>
        <v>#N/A</v>
      </c>
      <c r="H698" t="e">
        <f t="shared" si="21"/>
        <v>#N/A</v>
      </c>
    </row>
    <row r="699" spans="1:8" x14ac:dyDescent="0.2">
      <c r="A699" t="e">
        <f>IF(INDEX(Iqbal!$D:$D, 99)="", NA(), "Iqbal (Developer)")</f>
        <v>#N/A</v>
      </c>
      <c r="B699" t="e">
        <f>IF(INDEX(Iqbal!$D:$D, 99)="", NA(), INDEX(Iqbal!$B:$B, 99))</f>
        <v>#N/A</v>
      </c>
      <c r="C699" t="e">
        <f>IF(INDEX(Iqbal!$D:$D, 99)="", NA(), INDEX(Iqbal!$D:$D, 99))</f>
        <v>#N/A</v>
      </c>
      <c r="D699" t="e">
        <f>IF(INDEX(Iqbal!$D:$D, 99)="", NA(), INDEX(Iqbal!$E:$E, 99))</f>
        <v>#N/A</v>
      </c>
      <c r="E699" s="13" t="e">
        <f>IF(INDEX(Iqbal!$D:$D, 99)="", NA(), INDEX(Iqbal!$K:$K, 99))</f>
        <v>#N/A</v>
      </c>
      <c r="F699" t="e">
        <f t="shared" si="20"/>
        <v>#N/A</v>
      </c>
      <c r="G699" s="13" t="e">
        <f>IF(INDEX(Iqbal!$D:$D, 99)="", NA(), INDEX(Iqbal!$L:$L, 99))</f>
        <v>#N/A</v>
      </c>
      <c r="H699" t="e">
        <f t="shared" si="21"/>
        <v>#N/A</v>
      </c>
    </row>
    <row r="700" spans="1:8" x14ac:dyDescent="0.2">
      <c r="A700" t="e">
        <f>IF(INDEX(Iqbal!$D:$D, 100)="", NA(), "Iqbal (Developer)")</f>
        <v>#N/A</v>
      </c>
      <c r="B700" t="e">
        <f>IF(INDEX(Iqbal!$D:$D, 100)="", NA(), INDEX(Iqbal!$B:$B, 100))</f>
        <v>#N/A</v>
      </c>
      <c r="C700" t="e">
        <f>IF(INDEX(Iqbal!$D:$D, 100)="", NA(), INDEX(Iqbal!$D:$D, 100))</f>
        <v>#N/A</v>
      </c>
      <c r="D700" t="e">
        <f>IF(INDEX(Iqbal!$D:$D, 100)="", NA(), INDEX(Iqbal!$E:$E, 100))</f>
        <v>#N/A</v>
      </c>
      <c r="E700" s="13" t="e">
        <f>IF(INDEX(Iqbal!$D:$D, 100)="", NA(), INDEX(Iqbal!$K:$K, 100))</f>
        <v>#N/A</v>
      </c>
      <c r="F700" t="e">
        <f t="shared" si="20"/>
        <v>#N/A</v>
      </c>
      <c r="G700" s="13" t="e">
        <f>IF(INDEX(Iqbal!$D:$D, 100)="", NA(), INDEX(Iqbal!$L:$L, 100))</f>
        <v>#N/A</v>
      </c>
      <c r="H700" t="e">
        <f t="shared" si="21"/>
        <v>#N/A</v>
      </c>
    </row>
    <row r="701" spans="1:8" x14ac:dyDescent="0.2">
      <c r="A701" t="e">
        <f>IF(INDEX(Iqbal!$D:$D, 101)="", NA(), "Iqbal (Developer)")</f>
        <v>#N/A</v>
      </c>
      <c r="B701" t="e">
        <f>IF(INDEX(Iqbal!$D:$D, 101)="", NA(), INDEX(Iqbal!$B:$B, 101))</f>
        <v>#N/A</v>
      </c>
      <c r="C701" t="e">
        <f>IF(INDEX(Iqbal!$D:$D, 101)="", NA(), INDEX(Iqbal!$D:$D, 101))</f>
        <v>#N/A</v>
      </c>
      <c r="D701" t="e">
        <f>IF(INDEX(Iqbal!$D:$D, 101)="", NA(), INDEX(Iqbal!$E:$E, 101))</f>
        <v>#N/A</v>
      </c>
      <c r="E701" s="13" t="e">
        <f>IF(INDEX(Iqbal!$D:$D, 101)="", NA(), INDEX(Iqbal!$K:$K, 101))</f>
        <v>#N/A</v>
      </c>
      <c r="F701" t="e">
        <f t="shared" si="20"/>
        <v>#N/A</v>
      </c>
      <c r="G701" s="13" t="e">
        <f>IF(INDEX(Iqbal!$D:$D, 101)="", NA(), INDEX(Iqbal!$L:$L, 101))</f>
        <v>#N/A</v>
      </c>
      <c r="H701" t="e">
        <f t="shared" si="21"/>
        <v>#N/A</v>
      </c>
    </row>
    <row r="702" spans="1:8" x14ac:dyDescent="0.2">
      <c r="A702" t="e">
        <f>IF(INDEX(Iqbal!$D:$D, 102)="", NA(), "Iqbal (Developer)")</f>
        <v>#N/A</v>
      </c>
      <c r="B702" t="e">
        <f>IF(INDEX(Iqbal!$D:$D, 102)="", NA(), INDEX(Iqbal!$B:$B, 102))</f>
        <v>#N/A</v>
      </c>
      <c r="C702" t="e">
        <f>IF(INDEX(Iqbal!$D:$D, 102)="", NA(), INDEX(Iqbal!$D:$D, 102))</f>
        <v>#N/A</v>
      </c>
      <c r="D702" t="e">
        <f>IF(INDEX(Iqbal!$D:$D, 102)="", NA(), INDEX(Iqbal!$E:$E, 102))</f>
        <v>#N/A</v>
      </c>
      <c r="E702" s="13" t="e">
        <f>IF(INDEX(Iqbal!$D:$D, 102)="", NA(), INDEX(Iqbal!$K:$K, 102))</f>
        <v>#N/A</v>
      </c>
      <c r="F702" t="e">
        <f t="shared" si="20"/>
        <v>#N/A</v>
      </c>
      <c r="G702" s="13" t="e">
        <f>IF(INDEX(Iqbal!$D:$D, 102)="", NA(), INDEX(Iqbal!$L:$L, 102))</f>
        <v>#N/A</v>
      </c>
      <c r="H702" t="e">
        <f t="shared" si="21"/>
        <v>#N/A</v>
      </c>
    </row>
    <row r="703" spans="1:8" x14ac:dyDescent="0.2">
      <c r="A703" t="e">
        <f>IF(INDEX(Iqbal!$D:$D, 103)="", NA(), "Iqbal (Developer)")</f>
        <v>#N/A</v>
      </c>
      <c r="B703" t="e">
        <f>IF(INDEX(Iqbal!$D:$D, 103)="", NA(), INDEX(Iqbal!$B:$B, 103))</f>
        <v>#N/A</v>
      </c>
      <c r="C703" t="e">
        <f>IF(INDEX(Iqbal!$D:$D, 103)="", NA(), INDEX(Iqbal!$D:$D, 103))</f>
        <v>#N/A</v>
      </c>
      <c r="D703" t="e">
        <f>IF(INDEX(Iqbal!$D:$D, 103)="", NA(), INDEX(Iqbal!$E:$E, 103))</f>
        <v>#N/A</v>
      </c>
      <c r="E703" s="13" t="e">
        <f>IF(INDEX(Iqbal!$D:$D, 103)="", NA(), INDEX(Iqbal!$K:$K, 103))</f>
        <v>#N/A</v>
      </c>
      <c r="F703" t="e">
        <f t="shared" si="20"/>
        <v>#N/A</v>
      </c>
      <c r="G703" s="13" t="e">
        <f>IF(INDEX(Iqbal!$D:$D, 103)="", NA(), INDEX(Iqbal!$L:$L, 103))</f>
        <v>#N/A</v>
      </c>
      <c r="H703" t="e">
        <f t="shared" si="21"/>
        <v>#N/A</v>
      </c>
    </row>
    <row r="704" spans="1:8" x14ac:dyDescent="0.2">
      <c r="A704" t="e">
        <f>IF(INDEX(Iqbal!$D:$D, 104)="", NA(), "Iqbal (Developer)")</f>
        <v>#N/A</v>
      </c>
      <c r="B704" t="e">
        <f>IF(INDEX(Iqbal!$D:$D, 104)="", NA(), INDEX(Iqbal!$B:$B, 104))</f>
        <v>#N/A</v>
      </c>
      <c r="C704" t="e">
        <f>IF(INDEX(Iqbal!$D:$D, 104)="", NA(), INDEX(Iqbal!$D:$D, 104))</f>
        <v>#N/A</v>
      </c>
      <c r="D704" t="e">
        <f>IF(INDEX(Iqbal!$D:$D, 104)="", NA(), INDEX(Iqbal!$E:$E, 104))</f>
        <v>#N/A</v>
      </c>
      <c r="E704" s="13" t="e">
        <f>IF(INDEX(Iqbal!$D:$D, 104)="", NA(), INDEX(Iqbal!$K:$K, 104))</f>
        <v>#N/A</v>
      </c>
      <c r="F704" t="e">
        <f t="shared" si="20"/>
        <v>#N/A</v>
      </c>
      <c r="G704" s="13" t="e">
        <f>IF(INDEX(Iqbal!$D:$D, 104)="", NA(), INDEX(Iqbal!$L:$L, 104))</f>
        <v>#N/A</v>
      </c>
      <c r="H704" t="e">
        <f t="shared" si="21"/>
        <v>#N/A</v>
      </c>
    </row>
    <row r="705" spans="1:8" x14ac:dyDescent="0.2">
      <c r="A705" t="e">
        <f>IF(INDEX(Iqbal!$D:$D, 105)="", NA(), "Iqbal (Developer)")</f>
        <v>#N/A</v>
      </c>
      <c r="B705" t="e">
        <f>IF(INDEX(Iqbal!$D:$D, 105)="", NA(), INDEX(Iqbal!$B:$B, 105))</f>
        <v>#N/A</v>
      </c>
      <c r="C705" t="e">
        <f>IF(INDEX(Iqbal!$D:$D, 105)="", NA(), INDEX(Iqbal!$D:$D, 105))</f>
        <v>#N/A</v>
      </c>
      <c r="D705" t="e">
        <f>IF(INDEX(Iqbal!$D:$D, 105)="", NA(), INDEX(Iqbal!$E:$E, 105))</f>
        <v>#N/A</v>
      </c>
      <c r="E705" s="13" t="e">
        <f>IF(INDEX(Iqbal!$D:$D, 105)="", NA(), INDEX(Iqbal!$K:$K, 105))</f>
        <v>#N/A</v>
      </c>
      <c r="F705" t="e">
        <f t="shared" si="20"/>
        <v>#N/A</v>
      </c>
      <c r="G705" s="13" t="e">
        <f>IF(INDEX(Iqbal!$D:$D, 105)="", NA(), INDEX(Iqbal!$L:$L, 105))</f>
        <v>#N/A</v>
      </c>
      <c r="H705" t="e">
        <f t="shared" si="21"/>
        <v>#N/A</v>
      </c>
    </row>
    <row r="706" spans="1:8" x14ac:dyDescent="0.2">
      <c r="A706" t="e">
        <f>IF(INDEX(Iqbal!$D:$D, 106)="", NA(), "Iqbal (Developer)")</f>
        <v>#N/A</v>
      </c>
      <c r="B706" t="e">
        <f>IF(INDEX(Iqbal!$D:$D, 106)="", NA(), INDEX(Iqbal!$B:$B, 106))</f>
        <v>#N/A</v>
      </c>
      <c r="C706" t="e">
        <f>IF(INDEX(Iqbal!$D:$D, 106)="", NA(), INDEX(Iqbal!$D:$D, 106))</f>
        <v>#N/A</v>
      </c>
      <c r="D706" t="e">
        <f>IF(INDEX(Iqbal!$D:$D, 106)="", NA(), INDEX(Iqbal!$E:$E, 106))</f>
        <v>#N/A</v>
      </c>
      <c r="E706" s="13" t="e">
        <f>IF(INDEX(Iqbal!$D:$D, 106)="", NA(), INDEX(Iqbal!$K:$K, 106))</f>
        <v>#N/A</v>
      </c>
      <c r="F706" t="e">
        <f t="shared" ref="F706:F769" si="22">IF(OR(E706="", ISNA(E706), ISNA(G706)), 0, MAX(1, G706-E706))</f>
        <v>#N/A</v>
      </c>
      <c r="G706" s="13" t="e">
        <f>IF(INDEX(Iqbal!$D:$D, 106)="", NA(), INDEX(Iqbal!$L:$L, 106))</f>
        <v>#N/A</v>
      </c>
      <c r="H706" t="e">
        <f t="shared" ref="H706:H769" si="23">IF(ISNA(C706), NA(), A706 &amp; " - " &amp; B706 &amp; " - " &amp; C706)</f>
        <v>#N/A</v>
      </c>
    </row>
    <row r="707" spans="1:8" x14ac:dyDescent="0.2">
      <c r="A707" t="e">
        <f>IF(INDEX(Iqbal!$D:$D, 107)="", NA(), "Iqbal (Developer)")</f>
        <v>#N/A</v>
      </c>
      <c r="B707" t="e">
        <f>IF(INDEX(Iqbal!$D:$D, 107)="", NA(), INDEX(Iqbal!$B:$B, 107))</f>
        <v>#N/A</v>
      </c>
      <c r="C707" t="e">
        <f>IF(INDEX(Iqbal!$D:$D, 107)="", NA(), INDEX(Iqbal!$D:$D, 107))</f>
        <v>#N/A</v>
      </c>
      <c r="D707" t="e">
        <f>IF(INDEX(Iqbal!$D:$D, 107)="", NA(), INDEX(Iqbal!$E:$E, 107))</f>
        <v>#N/A</v>
      </c>
      <c r="E707" s="13" t="e">
        <f>IF(INDEX(Iqbal!$D:$D, 107)="", NA(), INDEX(Iqbal!$K:$K, 107))</f>
        <v>#N/A</v>
      </c>
      <c r="F707" t="e">
        <f t="shared" si="22"/>
        <v>#N/A</v>
      </c>
      <c r="G707" s="13" t="e">
        <f>IF(INDEX(Iqbal!$D:$D, 107)="", NA(), INDEX(Iqbal!$L:$L, 107))</f>
        <v>#N/A</v>
      </c>
      <c r="H707" t="e">
        <f t="shared" si="23"/>
        <v>#N/A</v>
      </c>
    </row>
    <row r="708" spans="1:8" x14ac:dyDescent="0.2">
      <c r="A708" t="e">
        <f>IF(INDEX(Iqbal!$D:$D, 108)="", NA(), "Iqbal (Developer)")</f>
        <v>#N/A</v>
      </c>
      <c r="B708" t="e">
        <f>IF(INDEX(Iqbal!$D:$D, 108)="", NA(), INDEX(Iqbal!$B:$B, 108))</f>
        <v>#N/A</v>
      </c>
      <c r="C708" t="e">
        <f>IF(INDEX(Iqbal!$D:$D, 108)="", NA(), INDEX(Iqbal!$D:$D, 108))</f>
        <v>#N/A</v>
      </c>
      <c r="D708" t="e">
        <f>IF(INDEX(Iqbal!$D:$D, 108)="", NA(), INDEX(Iqbal!$E:$E, 108))</f>
        <v>#N/A</v>
      </c>
      <c r="E708" s="13" t="e">
        <f>IF(INDEX(Iqbal!$D:$D, 108)="", NA(), INDEX(Iqbal!$K:$K, 108))</f>
        <v>#N/A</v>
      </c>
      <c r="F708" t="e">
        <f t="shared" si="22"/>
        <v>#N/A</v>
      </c>
      <c r="G708" s="13" t="e">
        <f>IF(INDEX(Iqbal!$D:$D, 108)="", NA(), INDEX(Iqbal!$L:$L, 108))</f>
        <v>#N/A</v>
      </c>
      <c r="H708" t="e">
        <f t="shared" si="23"/>
        <v>#N/A</v>
      </c>
    </row>
    <row r="709" spans="1:8" x14ac:dyDescent="0.2">
      <c r="A709" t="e">
        <f>IF(INDEX(Iqbal!$D:$D, 109)="", NA(), "Iqbal (Developer)")</f>
        <v>#N/A</v>
      </c>
      <c r="B709" t="e">
        <f>IF(INDEX(Iqbal!$D:$D, 109)="", NA(), INDEX(Iqbal!$B:$B, 109))</f>
        <v>#N/A</v>
      </c>
      <c r="C709" t="e">
        <f>IF(INDEX(Iqbal!$D:$D, 109)="", NA(), INDEX(Iqbal!$D:$D, 109))</f>
        <v>#N/A</v>
      </c>
      <c r="D709" t="e">
        <f>IF(INDEX(Iqbal!$D:$D, 109)="", NA(), INDEX(Iqbal!$E:$E, 109))</f>
        <v>#N/A</v>
      </c>
      <c r="E709" s="13" t="e">
        <f>IF(INDEX(Iqbal!$D:$D, 109)="", NA(), INDEX(Iqbal!$K:$K, 109))</f>
        <v>#N/A</v>
      </c>
      <c r="F709" t="e">
        <f t="shared" si="22"/>
        <v>#N/A</v>
      </c>
      <c r="G709" s="13" t="e">
        <f>IF(INDEX(Iqbal!$D:$D, 109)="", NA(), INDEX(Iqbal!$L:$L, 109))</f>
        <v>#N/A</v>
      </c>
      <c r="H709" t="e">
        <f t="shared" si="23"/>
        <v>#N/A</v>
      </c>
    </row>
    <row r="710" spans="1:8" x14ac:dyDescent="0.2">
      <c r="A710" t="e">
        <f>IF(INDEX(Iqbal!$D:$D, 110)="", NA(), "Iqbal (Developer)")</f>
        <v>#N/A</v>
      </c>
      <c r="B710" t="e">
        <f>IF(INDEX(Iqbal!$D:$D, 110)="", NA(), INDEX(Iqbal!$B:$B, 110))</f>
        <v>#N/A</v>
      </c>
      <c r="C710" t="e">
        <f>IF(INDEX(Iqbal!$D:$D, 110)="", NA(), INDEX(Iqbal!$D:$D, 110))</f>
        <v>#N/A</v>
      </c>
      <c r="D710" t="e">
        <f>IF(INDEX(Iqbal!$D:$D, 110)="", NA(), INDEX(Iqbal!$E:$E, 110))</f>
        <v>#N/A</v>
      </c>
      <c r="E710" s="13" t="e">
        <f>IF(INDEX(Iqbal!$D:$D, 110)="", NA(), INDEX(Iqbal!$K:$K, 110))</f>
        <v>#N/A</v>
      </c>
      <c r="F710" t="e">
        <f t="shared" si="22"/>
        <v>#N/A</v>
      </c>
      <c r="G710" s="13" t="e">
        <f>IF(INDEX(Iqbal!$D:$D, 110)="", NA(), INDEX(Iqbal!$L:$L, 110))</f>
        <v>#N/A</v>
      </c>
      <c r="H710" t="e">
        <f t="shared" si="23"/>
        <v>#N/A</v>
      </c>
    </row>
    <row r="711" spans="1:8" x14ac:dyDescent="0.2">
      <c r="A711" t="e">
        <f>IF(INDEX(Iqbal!$D:$D, 111)="", NA(), "Iqbal (Developer)")</f>
        <v>#N/A</v>
      </c>
      <c r="B711" t="e">
        <f>IF(INDEX(Iqbal!$D:$D, 111)="", NA(), INDEX(Iqbal!$B:$B, 111))</f>
        <v>#N/A</v>
      </c>
      <c r="C711" t="e">
        <f>IF(INDEX(Iqbal!$D:$D, 111)="", NA(), INDEX(Iqbal!$D:$D, 111))</f>
        <v>#N/A</v>
      </c>
      <c r="D711" t="e">
        <f>IF(INDEX(Iqbal!$D:$D, 111)="", NA(), INDEX(Iqbal!$E:$E, 111))</f>
        <v>#N/A</v>
      </c>
      <c r="E711" s="13" t="e">
        <f>IF(INDEX(Iqbal!$D:$D, 111)="", NA(), INDEX(Iqbal!$K:$K, 111))</f>
        <v>#N/A</v>
      </c>
      <c r="F711" t="e">
        <f t="shared" si="22"/>
        <v>#N/A</v>
      </c>
      <c r="G711" s="13" t="e">
        <f>IF(INDEX(Iqbal!$D:$D, 111)="", NA(), INDEX(Iqbal!$L:$L, 111))</f>
        <v>#N/A</v>
      </c>
      <c r="H711" t="e">
        <f t="shared" si="23"/>
        <v>#N/A</v>
      </c>
    </row>
    <row r="712" spans="1:8" x14ac:dyDescent="0.2">
      <c r="A712" t="e">
        <f>IF(INDEX(Iqbal!$D:$D, 112)="", NA(), "Iqbal (Developer)")</f>
        <v>#N/A</v>
      </c>
      <c r="B712" t="e">
        <f>IF(INDEX(Iqbal!$D:$D, 112)="", NA(), INDEX(Iqbal!$B:$B, 112))</f>
        <v>#N/A</v>
      </c>
      <c r="C712" t="e">
        <f>IF(INDEX(Iqbal!$D:$D, 112)="", NA(), INDEX(Iqbal!$D:$D, 112))</f>
        <v>#N/A</v>
      </c>
      <c r="D712" t="e">
        <f>IF(INDEX(Iqbal!$D:$D, 112)="", NA(), INDEX(Iqbal!$E:$E, 112))</f>
        <v>#N/A</v>
      </c>
      <c r="E712" s="13" t="e">
        <f>IF(INDEX(Iqbal!$D:$D, 112)="", NA(), INDEX(Iqbal!$K:$K, 112))</f>
        <v>#N/A</v>
      </c>
      <c r="F712" t="e">
        <f t="shared" si="22"/>
        <v>#N/A</v>
      </c>
      <c r="G712" s="13" t="e">
        <f>IF(INDEX(Iqbal!$D:$D, 112)="", NA(), INDEX(Iqbal!$L:$L, 112))</f>
        <v>#N/A</v>
      </c>
      <c r="H712" t="e">
        <f t="shared" si="23"/>
        <v>#N/A</v>
      </c>
    </row>
    <row r="713" spans="1:8" x14ac:dyDescent="0.2">
      <c r="A713" t="e">
        <f>IF(INDEX(Iqbal!$D:$D, 113)="", NA(), "Iqbal (Developer)")</f>
        <v>#N/A</v>
      </c>
      <c r="B713" t="e">
        <f>IF(INDEX(Iqbal!$D:$D, 113)="", NA(), INDEX(Iqbal!$B:$B, 113))</f>
        <v>#N/A</v>
      </c>
      <c r="C713" t="e">
        <f>IF(INDEX(Iqbal!$D:$D, 113)="", NA(), INDEX(Iqbal!$D:$D, 113))</f>
        <v>#N/A</v>
      </c>
      <c r="D713" t="e">
        <f>IF(INDEX(Iqbal!$D:$D, 113)="", NA(), INDEX(Iqbal!$E:$E, 113))</f>
        <v>#N/A</v>
      </c>
      <c r="E713" s="13" t="e">
        <f>IF(INDEX(Iqbal!$D:$D, 113)="", NA(), INDEX(Iqbal!$K:$K, 113))</f>
        <v>#N/A</v>
      </c>
      <c r="F713" t="e">
        <f t="shared" si="22"/>
        <v>#N/A</v>
      </c>
      <c r="G713" s="13" t="e">
        <f>IF(INDEX(Iqbal!$D:$D, 113)="", NA(), INDEX(Iqbal!$L:$L, 113))</f>
        <v>#N/A</v>
      </c>
      <c r="H713" t="e">
        <f t="shared" si="23"/>
        <v>#N/A</v>
      </c>
    </row>
    <row r="714" spans="1:8" x14ac:dyDescent="0.2">
      <c r="A714" t="e">
        <f>IF(INDEX(Iqbal!$D:$D, 114)="", NA(), "Iqbal (Developer)")</f>
        <v>#N/A</v>
      </c>
      <c r="B714" t="e">
        <f>IF(INDEX(Iqbal!$D:$D, 114)="", NA(), INDEX(Iqbal!$B:$B, 114))</f>
        <v>#N/A</v>
      </c>
      <c r="C714" t="e">
        <f>IF(INDEX(Iqbal!$D:$D, 114)="", NA(), INDEX(Iqbal!$D:$D, 114))</f>
        <v>#N/A</v>
      </c>
      <c r="D714" t="e">
        <f>IF(INDEX(Iqbal!$D:$D, 114)="", NA(), INDEX(Iqbal!$E:$E, 114))</f>
        <v>#N/A</v>
      </c>
      <c r="E714" s="13" t="e">
        <f>IF(INDEX(Iqbal!$D:$D, 114)="", NA(), INDEX(Iqbal!$K:$K, 114))</f>
        <v>#N/A</v>
      </c>
      <c r="F714" t="e">
        <f t="shared" si="22"/>
        <v>#N/A</v>
      </c>
      <c r="G714" s="13" t="e">
        <f>IF(INDEX(Iqbal!$D:$D, 114)="", NA(), INDEX(Iqbal!$L:$L, 114))</f>
        <v>#N/A</v>
      </c>
      <c r="H714" t="e">
        <f t="shared" si="23"/>
        <v>#N/A</v>
      </c>
    </row>
    <row r="715" spans="1:8" x14ac:dyDescent="0.2">
      <c r="A715" t="e">
        <f>IF(INDEX(Iqbal!$D:$D, 115)="", NA(), "Iqbal (Developer)")</f>
        <v>#N/A</v>
      </c>
      <c r="B715" t="e">
        <f>IF(INDEX(Iqbal!$D:$D, 115)="", NA(), INDEX(Iqbal!$B:$B, 115))</f>
        <v>#N/A</v>
      </c>
      <c r="C715" t="e">
        <f>IF(INDEX(Iqbal!$D:$D, 115)="", NA(), INDEX(Iqbal!$D:$D, 115))</f>
        <v>#N/A</v>
      </c>
      <c r="D715" t="e">
        <f>IF(INDEX(Iqbal!$D:$D, 115)="", NA(), INDEX(Iqbal!$E:$E, 115))</f>
        <v>#N/A</v>
      </c>
      <c r="E715" s="13" t="e">
        <f>IF(INDEX(Iqbal!$D:$D, 115)="", NA(), INDEX(Iqbal!$K:$K, 115))</f>
        <v>#N/A</v>
      </c>
      <c r="F715" t="e">
        <f t="shared" si="22"/>
        <v>#N/A</v>
      </c>
      <c r="G715" s="13" t="e">
        <f>IF(INDEX(Iqbal!$D:$D, 115)="", NA(), INDEX(Iqbal!$L:$L, 115))</f>
        <v>#N/A</v>
      </c>
      <c r="H715" t="e">
        <f t="shared" si="23"/>
        <v>#N/A</v>
      </c>
    </row>
    <row r="716" spans="1:8" x14ac:dyDescent="0.2">
      <c r="A716" t="e">
        <f>IF(INDEX(Iqbal!$D:$D, 116)="", NA(), "Iqbal (Developer)")</f>
        <v>#N/A</v>
      </c>
      <c r="B716" t="e">
        <f>IF(INDEX(Iqbal!$D:$D, 116)="", NA(), INDEX(Iqbal!$B:$B, 116))</f>
        <v>#N/A</v>
      </c>
      <c r="C716" t="e">
        <f>IF(INDEX(Iqbal!$D:$D, 116)="", NA(), INDEX(Iqbal!$D:$D, 116))</f>
        <v>#N/A</v>
      </c>
      <c r="D716" t="e">
        <f>IF(INDEX(Iqbal!$D:$D, 116)="", NA(), INDEX(Iqbal!$E:$E, 116))</f>
        <v>#N/A</v>
      </c>
      <c r="E716" s="13" t="e">
        <f>IF(INDEX(Iqbal!$D:$D, 116)="", NA(), INDEX(Iqbal!$K:$K, 116))</f>
        <v>#N/A</v>
      </c>
      <c r="F716" t="e">
        <f t="shared" si="22"/>
        <v>#N/A</v>
      </c>
      <c r="G716" s="13" t="e">
        <f>IF(INDEX(Iqbal!$D:$D, 116)="", NA(), INDEX(Iqbal!$L:$L, 116))</f>
        <v>#N/A</v>
      </c>
      <c r="H716" t="e">
        <f t="shared" si="23"/>
        <v>#N/A</v>
      </c>
    </row>
    <row r="717" spans="1:8" x14ac:dyDescent="0.2">
      <c r="A717" t="e">
        <f>IF(INDEX(Iqbal!$D:$D, 117)="", NA(), "Iqbal (Developer)")</f>
        <v>#N/A</v>
      </c>
      <c r="B717" t="e">
        <f>IF(INDEX(Iqbal!$D:$D, 117)="", NA(), INDEX(Iqbal!$B:$B, 117))</f>
        <v>#N/A</v>
      </c>
      <c r="C717" t="e">
        <f>IF(INDEX(Iqbal!$D:$D, 117)="", NA(), INDEX(Iqbal!$D:$D, 117))</f>
        <v>#N/A</v>
      </c>
      <c r="D717" t="e">
        <f>IF(INDEX(Iqbal!$D:$D, 117)="", NA(), INDEX(Iqbal!$E:$E, 117))</f>
        <v>#N/A</v>
      </c>
      <c r="E717" s="13" t="e">
        <f>IF(INDEX(Iqbal!$D:$D, 117)="", NA(), INDEX(Iqbal!$K:$K, 117))</f>
        <v>#N/A</v>
      </c>
      <c r="F717" t="e">
        <f t="shared" si="22"/>
        <v>#N/A</v>
      </c>
      <c r="G717" s="13" t="e">
        <f>IF(INDEX(Iqbal!$D:$D, 117)="", NA(), INDEX(Iqbal!$L:$L, 117))</f>
        <v>#N/A</v>
      </c>
      <c r="H717" t="e">
        <f t="shared" si="23"/>
        <v>#N/A</v>
      </c>
    </row>
    <row r="718" spans="1:8" x14ac:dyDescent="0.2">
      <c r="A718" t="e">
        <f>IF(INDEX(Iqbal!$D:$D, 118)="", NA(), "Iqbal (Developer)")</f>
        <v>#N/A</v>
      </c>
      <c r="B718" t="e">
        <f>IF(INDEX(Iqbal!$D:$D, 118)="", NA(), INDEX(Iqbal!$B:$B, 118))</f>
        <v>#N/A</v>
      </c>
      <c r="C718" t="e">
        <f>IF(INDEX(Iqbal!$D:$D, 118)="", NA(), INDEX(Iqbal!$D:$D, 118))</f>
        <v>#N/A</v>
      </c>
      <c r="D718" t="e">
        <f>IF(INDEX(Iqbal!$D:$D, 118)="", NA(), INDEX(Iqbal!$E:$E, 118))</f>
        <v>#N/A</v>
      </c>
      <c r="E718" s="13" t="e">
        <f>IF(INDEX(Iqbal!$D:$D, 118)="", NA(), INDEX(Iqbal!$K:$K, 118))</f>
        <v>#N/A</v>
      </c>
      <c r="F718" t="e">
        <f t="shared" si="22"/>
        <v>#N/A</v>
      </c>
      <c r="G718" s="13" t="e">
        <f>IF(INDEX(Iqbal!$D:$D, 118)="", NA(), INDEX(Iqbal!$L:$L, 118))</f>
        <v>#N/A</v>
      </c>
      <c r="H718" t="e">
        <f t="shared" si="23"/>
        <v>#N/A</v>
      </c>
    </row>
    <row r="719" spans="1:8" x14ac:dyDescent="0.2">
      <c r="A719" t="e">
        <f>IF(INDEX(Iqbal!$D:$D, 119)="", NA(), "Iqbal (Developer)")</f>
        <v>#N/A</v>
      </c>
      <c r="B719" t="e">
        <f>IF(INDEX(Iqbal!$D:$D, 119)="", NA(), INDEX(Iqbal!$B:$B, 119))</f>
        <v>#N/A</v>
      </c>
      <c r="C719" t="e">
        <f>IF(INDEX(Iqbal!$D:$D, 119)="", NA(), INDEX(Iqbal!$D:$D, 119))</f>
        <v>#N/A</v>
      </c>
      <c r="D719" t="e">
        <f>IF(INDEX(Iqbal!$D:$D, 119)="", NA(), INDEX(Iqbal!$E:$E, 119))</f>
        <v>#N/A</v>
      </c>
      <c r="E719" s="13" t="e">
        <f>IF(INDEX(Iqbal!$D:$D, 119)="", NA(), INDEX(Iqbal!$K:$K, 119))</f>
        <v>#N/A</v>
      </c>
      <c r="F719" t="e">
        <f t="shared" si="22"/>
        <v>#N/A</v>
      </c>
      <c r="G719" s="13" t="e">
        <f>IF(INDEX(Iqbal!$D:$D, 119)="", NA(), INDEX(Iqbal!$L:$L, 119))</f>
        <v>#N/A</v>
      </c>
      <c r="H719" t="e">
        <f t="shared" si="23"/>
        <v>#N/A</v>
      </c>
    </row>
    <row r="720" spans="1:8" x14ac:dyDescent="0.2">
      <c r="A720" t="e">
        <f>IF(INDEX(Iqbal!$D:$D, 120)="", NA(), "Iqbal (Developer)")</f>
        <v>#N/A</v>
      </c>
      <c r="B720" t="e">
        <f>IF(INDEX(Iqbal!$D:$D, 120)="", NA(), INDEX(Iqbal!$B:$B, 120))</f>
        <v>#N/A</v>
      </c>
      <c r="C720" t="e">
        <f>IF(INDEX(Iqbal!$D:$D, 120)="", NA(), INDEX(Iqbal!$D:$D, 120))</f>
        <v>#N/A</v>
      </c>
      <c r="D720" t="e">
        <f>IF(INDEX(Iqbal!$D:$D, 120)="", NA(), INDEX(Iqbal!$E:$E, 120))</f>
        <v>#N/A</v>
      </c>
      <c r="E720" s="13" t="e">
        <f>IF(INDEX(Iqbal!$D:$D, 120)="", NA(), INDEX(Iqbal!$K:$K, 120))</f>
        <v>#N/A</v>
      </c>
      <c r="F720" t="e">
        <f t="shared" si="22"/>
        <v>#N/A</v>
      </c>
      <c r="G720" s="13" t="e">
        <f>IF(INDEX(Iqbal!$D:$D, 120)="", NA(), INDEX(Iqbal!$L:$L, 120))</f>
        <v>#N/A</v>
      </c>
      <c r="H720" t="e">
        <f t="shared" si="23"/>
        <v>#N/A</v>
      </c>
    </row>
    <row r="721" spans="1:8" x14ac:dyDescent="0.2">
      <c r="A721" t="e">
        <f>IF(INDEX(Iqbal!$D:$D, 121)="", NA(), "Iqbal (Developer)")</f>
        <v>#N/A</v>
      </c>
      <c r="B721" t="e">
        <f>IF(INDEX(Iqbal!$D:$D, 121)="", NA(), INDEX(Iqbal!$B:$B, 121))</f>
        <v>#N/A</v>
      </c>
      <c r="C721" t="e">
        <f>IF(INDEX(Iqbal!$D:$D, 121)="", NA(), INDEX(Iqbal!$D:$D, 121))</f>
        <v>#N/A</v>
      </c>
      <c r="D721" t="e">
        <f>IF(INDEX(Iqbal!$D:$D, 121)="", NA(), INDEX(Iqbal!$E:$E, 121))</f>
        <v>#N/A</v>
      </c>
      <c r="E721" s="13" t="e">
        <f>IF(INDEX(Iqbal!$D:$D, 121)="", NA(), INDEX(Iqbal!$K:$K, 121))</f>
        <v>#N/A</v>
      </c>
      <c r="F721" t="e">
        <f t="shared" si="22"/>
        <v>#N/A</v>
      </c>
      <c r="G721" s="13" t="e">
        <f>IF(INDEX(Iqbal!$D:$D, 121)="", NA(), INDEX(Iqbal!$L:$L, 121))</f>
        <v>#N/A</v>
      </c>
      <c r="H721" t="e">
        <f t="shared" si="23"/>
        <v>#N/A</v>
      </c>
    </row>
    <row r="722" spans="1:8" x14ac:dyDescent="0.2">
      <c r="A722" t="e">
        <f>IF(INDEX(Iqbal!$D:$D, 122)="", NA(), "Iqbal (Developer)")</f>
        <v>#N/A</v>
      </c>
      <c r="B722" t="e">
        <f>IF(INDEX(Iqbal!$D:$D, 122)="", NA(), INDEX(Iqbal!$B:$B, 122))</f>
        <v>#N/A</v>
      </c>
      <c r="C722" t="e">
        <f>IF(INDEX(Iqbal!$D:$D, 122)="", NA(), INDEX(Iqbal!$D:$D, 122))</f>
        <v>#N/A</v>
      </c>
      <c r="D722" t="e">
        <f>IF(INDEX(Iqbal!$D:$D, 122)="", NA(), INDEX(Iqbal!$E:$E, 122))</f>
        <v>#N/A</v>
      </c>
      <c r="E722" s="13" t="e">
        <f>IF(INDEX(Iqbal!$D:$D, 122)="", NA(), INDEX(Iqbal!$K:$K, 122))</f>
        <v>#N/A</v>
      </c>
      <c r="F722" t="e">
        <f t="shared" si="22"/>
        <v>#N/A</v>
      </c>
      <c r="G722" s="13" t="e">
        <f>IF(INDEX(Iqbal!$D:$D, 122)="", NA(), INDEX(Iqbal!$L:$L, 122))</f>
        <v>#N/A</v>
      </c>
      <c r="H722" t="e">
        <f t="shared" si="23"/>
        <v>#N/A</v>
      </c>
    </row>
    <row r="723" spans="1:8" x14ac:dyDescent="0.2">
      <c r="A723" t="e">
        <f>IF(INDEX(Iqbal!$D:$D, 123)="", NA(), "Iqbal (Developer)")</f>
        <v>#N/A</v>
      </c>
      <c r="B723" t="e">
        <f>IF(INDEX(Iqbal!$D:$D, 123)="", NA(), INDEX(Iqbal!$B:$B, 123))</f>
        <v>#N/A</v>
      </c>
      <c r="C723" t="e">
        <f>IF(INDEX(Iqbal!$D:$D, 123)="", NA(), INDEX(Iqbal!$D:$D, 123))</f>
        <v>#N/A</v>
      </c>
      <c r="D723" t="e">
        <f>IF(INDEX(Iqbal!$D:$D, 123)="", NA(), INDEX(Iqbal!$E:$E, 123))</f>
        <v>#N/A</v>
      </c>
      <c r="E723" s="13" t="e">
        <f>IF(INDEX(Iqbal!$D:$D, 123)="", NA(), INDEX(Iqbal!$K:$K, 123))</f>
        <v>#N/A</v>
      </c>
      <c r="F723" t="e">
        <f t="shared" si="22"/>
        <v>#N/A</v>
      </c>
      <c r="G723" s="13" t="e">
        <f>IF(INDEX(Iqbal!$D:$D, 123)="", NA(), INDEX(Iqbal!$L:$L, 123))</f>
        <v>#N/A</v>
      </c>
      <c r="H723" t="e">
        <f t="shared" si="23"/>
        <v>#N/A</v>
      </c>
    </row>
    <row r="724" spans="1:8" x14ac:dyDescent="0.2">
      <c r="A724" t="e">
        <f>IF(INDEX(Iqbal!$D:$D, 124)="", NA(), "Iqbal (Developer)")</f>
        <v>#N/A</v>
      </c>
      <c r="B724" t="e">
        <f>IF(INDEX(Iqbal!$D:$D, 124)="", NA(), INDEX(Iqbal!$B:$B, 124))</f>
        <v>#N/A</v>
      </c>
      <c r="C724" t="e">
        <f>IF(INDEX(Iqbal!$D:$D, 124)="", NA(), INDEX(Iqbal!$D:$D, 124))</f>
        <v>#N/A</v>
      </c>
      <c r="D724" t="e">
        <f>IF(INDEX(Iqbal!$D:$D, 124)="", NA(), INDEX(Iqbal!$E:$E, 124))</f>
        <v>#N/A</v>
      </c>
      <c r="E724" s="13" t="e">
        <f>IF(INDEX(Iqbal!$D:$D, 124)="", NA(), INDEX(Iqbal!$K:$K, 124))</f>
        <v>#N/A</v>
      </c>
      <c r="F724" t="e">
        <f t="shared" si="22"/>
        <v>#N/A</v>
      </c>
      <c r="G724" s="13" t="e">
        <f>IF(INDEX(Iqbal!$D:$D, 124)="", NA(), INDEX(Iqbal!$L:$L, 124))</f>
        <v>#N/A</v>
      </c>
      <c r="H724" t="e">
        <f t="shared" si="23"/>
        <v>#N/A</v>
      </c>
    </row>
    <row r="725" spans="1:8" x14ac:dyDescent="0.2">
      <c r="A725" t="e">
        <f>IF(INDEX(Iqbal!$D:$D, 125)="", NA(), "Iqbal (Developer)")</f>
        <v>#N/A</v>
      </c>
      <c r="B725" t="e">
        <f>IF(INDEX(Iqbal!$D:$D, 125)="", NA(), INDEX(Iqbal!$B:$B, 125))</f>
        <v>#N/A</v>
      </c>
      <c r="C725" t="e">
        <f>IF(INDEX(Iqbal!$D:$D, 125)="", NA(), INDEX(Iqbal!$D:$D, 125))</f>
        <v>#N/A</v>
      </c>
      <c r="D725" t="e">
        <f>IF(INDEX(Iqbal!$D:$D, 125)="", NA(), INDEX(Iqbal!$E:$E, 125))</f>
        <v>#N/A</v>
      </c>
      <c r="E725" s="13" t="e">
        <f>IF(INDEX(Iqbal!$D:$D, 125)="", NA(), INDEX(Iqbal!$K:$K, 125))</f>
        <v>#N/A</v>
      </c>
      <c r="F725" t="e">
        <f t="shared" si="22"/>
        <v>#N/A</v>
      </c>
      <c r="G725" s="13" t="e">
        <f>IF(INDEX(Iqbal!$D:$D, 125)="", NA(), INDEX(Iqbal!$L:$L, 125))</f>
        <v>#N/A</v>
      </c>
      <c r="H725" t="e">
        <f t="shared" si="23"/>
        <v>#N/A</v>
      </c>
    </row>
    <row r="726" spans="1:8" x14ac:dyDescent="0.2">
      <c r="A726" t="e">
        <f>IF(INDEX(Iqbal!$D:$D, 126)="", NA(), "Iqbal (Developer)")</f>
        <v>#N/A</v>
      </c>
      <c r="B726" t="e">
        <f>IF(INDEX(Iqbal!$D:$D, 126)="", NA(), INDEX(Iqbal!$B:$B, 126))</f>
        <v>#N/A</v>
      </c>
      <c r="C726" t="e">
        <f>IF(INDEX(Iqbal!$D:$D, 126)="", NA(), INDEX(Iqbal!$D:$D, 126))</f>
        <v>#N/A</v>
      </c>
      <c r="D726" t="e">
        <f>IF(INDEX(Iqbal!$D:$D, 126)="", NA(), INDEX(Iqbal!$E:$E, 126))</f>
        <v>#N/A</v>
      </c>
      <c r="E726" s="13" t="e">
        <f>IF(INDEX(Iqbal!$D:$D, 126)="", NA(), INDEX(Iqbal!$K:$K, 126))</f>
        <v>#N/A</v>
      </c>
      <c r="F726" t="e">
        <f t="shared" si="22"/>
        <v>#N/A</v>
      </c>
      <c r="G726" s="13" t="e">
        <f>IF(INDEX(Iqbal!$D:$D, 126)="", NA(), INDEX(Iqbal!$L:$L, 126))</f>
        <v>#N/A</v>
      </c>
      <c r="H726" t="e">
        <f t="shared" si="23"/>
        <v>#N/A</v>
      </c>
    </row>
    <row r="727" spans="1:8" x14ac:dyDescent="0.2">
      <c r="A727" t="e">
        <f>IF(INDEX(Iqbal!$D:$D, 127)="", NA(), "Iqbal (Developer)")</f>
        <v>#N/A</v>
      </c>
      <c r="B727" t="e">
        <f>IF(INDEX(Iqbal!$D:$D, 127)="", NA(), INDEX(Iqbal!$B:$B, 127))</f>
        <v>#N/A</v>
      </c>
      <c r="C727" t="e">
        <f>IF(INDEX(Iqbal!$D:$D, 127)="", NA(), INDEX(Iqbal!$D:$D, 127))</f>
        <v>#N/A</v>
      </c>
      <c r="D727" t="e">
        <f>IF(INDEX(Iqbal!$D:$D, 127)="", NA(), INDEX(Iqbal!$E:$E, 127))</f>
        <v>#N/A</v>
      </c>
      <c r="E727" s="13" t="e">
        <f>IF(INDEX(Iqbal!$D:$D, 127)="", NA(), INDEX(Iqbal!$K:$K, 127))</f>
        <v>#N/A</v>
      </c>
      <c r="F727" t="e">
        <f t="shared" si="22"/>
        <v>#N/A</v>
      </c>
      <c r="G727" s="13" t="e">
        <f>IF(INDEX(Iqbal!$D:$D, 127)="", NA(), INDEX(Iqbal!$L:$L, 127))</f>
        <v>#N/A</v>
      </c>
      <c r="H727" t="e">
        <f t="shared" si="23"/>
        <v>#N/A</v>
      </c>
    </row>
    <row r="728" spans="1:8" x14ac:dyDescent="0.2">
      <c r="A728" t="e">
        <f>IF(INDEX(Iqbal!$D:$D, 128)="", NA(), "Iqbal (Developer)")</f>
        <v>#N/A</v>
      </c>
      <c r="B728" t="e">
        <f>IF(INDEX(Iqbal!$D:$D, 128)="", NA(), INDEX(Iqbal!$B:$B, 128))</f>
        <v>#N/A</v>
      </c>
      <c r="C728" t="e">
        <f>IF(INDEX(Iqbal!$D:$D, 128)="", NA(), INDEX(Iqbal!$D:$D, 128))</f>
        <v>#N/A</v>
      </c>
      <c r="D728" t="e">
        <f>IF(INDEX(Iqbal!$D:$D, 128)="", NA(), INDEX(Iqbal!$E:$E, 128))</f>
        <v>#N/A</v>
      </c>
      <c r="E728" s="13" t="e">
        <f>IF(INDEX(Iqbal!$D:$D, 128)="", NA(), INDEX(Iqbal!$K:$K, 128))</f>
        <v>#N/A</v>
      </c>
      <c r="F728" t="e">
        <f t="shared" si="22"/>
        <v>#N/A</v>
      </c>
      <c r="G728" s="13" t="e">
        <f>IF(INDEX(Iqbal!$D:$D, 128)="", NA(), INDEX(Iqbal!$L:$L, 128))</f>
        <v>#N/A</v>
      </c>
      <c r="H728" t="e">
        <f t="shared" si="23"/>
        <v>#N/A</v>
      </c>
    </row>
    <row r="729" spans="1:8" x14ac:dyDescent="0.2">
      <c r="A729" t="e">
        <f>IF(INDEX(Iqbal!$D:$D, 129)="", NA(), "Iqbal (Developer)")</f>
        <v>#N/A</v>
      </c>
      <c r="B729" t="e">
        <f>IF(INDEX(Iqbal!$D:$D, 129)="", NA(), INDEX(Iqbal!$B:$B, 129))</f>
        <v>#N/A</v>
      </c>
      <c r="C729" t="e">
        <f>IF(INDEX(Iqbal!$D:$D, 129)="", NA(), INDEX(Iqbal!$D:$D, 129))</f>
        <v>#N/A</v>
      </c>
      <c r="D729" t="e">
        <f>IF(INDEX(Iqbal!$D:$D, 129)="", NA(), INDEX(Iqbal!$E:$E, 129))</f>
        <v>#N/A</v>
      </c>
      <c r="E729" s="13" t="e">
        <f>IF(INDEX(Iqbal!$D:$D, 129)="", NA(), INDEX(Iqbal!$K:$K, 129))</f>
        <v>#N/A</v>
      </c>
      <c r="F729" t="e">
        <f t="shared" si="22"/>
        <v>#N/A</v>
      </c>
      <c r="G729" s="13" t="e">
        <f>IF(INDEX(Iqbal!$D:$D, 129)="", NA(), INDEX(Iqbal!$L:$L, 129))</f>
        <v>#N/A</v>
      </c>
      <c r="H729" t="e">
        <f t="shared" si="23"/>
        <v>#N/A</v>
      </c>
    </row>
    <row r="730" spans="1:8" x14ac:dyDescent="0.2">
      <c r="A730" t="e">
        <f>IF(INDEX(Iqbal!$D:$D, 130)="", NA(), "Iqbal (Developer)")</f>
        <v>#N/A</v>
      </c>
      <c r="B730" t="e">
        <f>IF(INDEX(Iqbal!$D:$D, 130)="", NA(), INDEX(Iqbal!$B:$B, 130))</f>
        <v>#N/A</v>
      </c>
      <c r="C730" t="e">
        <f>IF(INDEX(Iqbal!$D:$D, 130)="", NA(), INDEX(Iqbal!$D:$D, 130))</f>
        <v>#N/A</v>
      </c>
      <c r="D730" t="e">
        <f>IF(INDEX(Iqbal!$D:$D, 130)="", NA(), INDEX(Iqbal!$E:$E, 130))</f>
        <v>#N/A</v>
      </c>
      <c r="E730" s="13" t="e">
        <f>IF(INDEX(Iqbal!$D:$D, 130)="", NA(), INDEX(Iqbal!$K:$K, 130))</f>
        <v>#N/A</v>
      </c>
      <c r="F730" t="e">
        <f t="shared" si="22"/>
        <v>#N/A</v>
      </c>
      <c r="G730" s="13" t="e">
        <f>IF(INDEX(Iqbal!$D:$D, 130)="", NA(), INDEX(Iqbal!$L:$L, 130))</f>
        <v>#N/A</v>
      </c>
      <c r="H730" t="e">
        <f t="shared" si="23"/>
        <v>#N/A</v>
      </c>
    </row>
    <row r="731" spans="1:8" x14ac:dyDescent="0.2">
      <c r="A731" t="e">
        <f>IF(INDEX(Iqbal!$D:$D, 131)="", NA(), "Iqbal (Developer)")</f>
        <v>#N/A</v>
      </c>
      <c r="B731" t="e">
        <f>IF(INDEX(Iqbal!$D:$D, 131)="", NA(), INDEX(Iqbal!$B:$B, 131))</f>
        <v>#N/A</v>
      </c>
      <c r="C731" t="e">
        <f>IF(INDEX(Iqbal!$D:$D, 131)="", NA(), INDEX(Iqbal!$D:$D, 131))</f>
        <v>#N/A</v>
      </c>
      <c r="D731" t="e">
        <f>IF(INDEX(Iqbal!$D:$D, 131)="", NA(), INDEX(Iqbal!$E:$E, 131))</f>
        <v>#N/A</v>
      </c>
      <c r="E731" s="13" t="e">
        <f>IF(INDEX(Iqbal!$D:$D, 131)="", NA(), INDEX(Iqbal!$K:$K, 131))</f>
        <v>#N/A</v>
      </c>
      <c r="F731" t="e">
        <f t="shared" si="22"/>
        <v>#N/A</v>
      </c>
      <c r="G731" s="13" t="e">
        <f>IF(INDEX(Iqbal!$D:$D, 131)="", NA(), INDEX(Iqbal!$L:$L, 131))</f>
        <v>#N/A</v>
      </c>
      <c r="H731" t="e">
        <f t="shared" si="23"/>
        <v>#N/A</v>
      </c>
    </row>
    <row r="732" spans="1:8" x14ac:dyDescent="0.2">
      <c r="A732" t="e">
        <f>IF(INDEX(Iqbal!$D:$D, 132)="", NA(), "Iqbal (Developer)")</f>
        <v>#N/A</v>
      </c>
      <c r="B732" t="e">
        <f>IF(INDEX(Iqbal!$D:$D, 132)="", NA(), INDEX(Iqbal!$B:$B, 132))</f>
        <v>#N/A</v>
      </c>
      <c r="C732" t="e">
        <f>IF(INDEX(Iqbal!$D:$D, 132)="", NA(), INDEX(Iqbal!$D:$D, 132))</f>
        <v>#N/A</v>
      </c>
      <c r="D732" t="e">
        <f>IF(INDEX(Iqbal!$D:$D, 132)="", NA(), INDEX(Iqbal!$E:$E, 132))</f>
        <v>#N/A</v>
      </c>
      <c r="E732" s="13" t="e">
        <f>IF(INDEX(Iqbal!$D:$D, 132)="", NA(), INDEX(Iqbal!$K:$K, 132))</f>
        <v>#N/A</v>
      </c>
      <c r="F732" t="e">
        <f t="shared" si="22"/>
        <v>#N/A</v>
      </c>
      <c r="G732" s="13" t="e">
        <f>IF(INDEX(Iqbal!$D:$D, 132)="", NA(), INDEX(Iqbal!$L:$L, 132))</f>
        <v>#N/A</v>
      </c>
      <c r="H732" t="e">
        <f t="shared" si="23"/>
        <v>#N/A</v>
      </c>
    </row>
    <row r="733" spans="1:8" x14ac:dyDescent="0.2">
      <c r="A733" t="e">
        <f>IF(INDEX(Iqbal!$D:$D, 133)="", NA(), "Iqbal (Developer)")</f>
        <v>#N/A</v>
      </c>
      <c r="B733" t="e">
        <f>IF(INDEX(Iqbal!$D:$D, 133)="", NA(), INDEX(Iqbal!$B:$B, 133))</f>
        <v>#N/A</v>
      </c>
      <c r="C733" t="e">
        <f>IF(INDEX(Iqbal!$D:$D, 133)="", NA(), INDEX(Iqbal!$D:$D, 133))</f>
        <v>#N/A</v>
      </c>
      <c r="D733" t="e">
        <f>IF(INDEX(Iqbal!$D:$D, 133)="", NA(), INDEX(Iqbal!$E:$E, 133))</f>
        <v>#N/A</v>
      </c>
      <c r="E733" s="13" t="e">
        <f>IF(INDEX(Iqbal!$D:$D, 133)="", NA(), INDEX(Iqbal!$K:$K, 133))</f>
        <v>#N/A</v>
      </c>
      <c r="F733" t="e">
        <f t="shared" si="22"/>
        <v>#N/A</v>
      </c>
      <c r="G733" s="13" t="e">
        <f>IF(INDEX(Iqbal!$D:$D, 133)="", NA(), INDEX(Iqbal!$L:$L, 133))</f>
        <v>#N/A</v>
      </c>
      <c r="H733" t="e">
        <f t="shared" si="23"/>
        <v>#N/A</v>
      </c>
    </row>
    <row r="734" spans="1:8" x14ac:dyDescent="0.2">
      <c r="A734" t="e">
        <f>IF(INDEX(Iqbal!$D:$D, 134)="", NA(), "Iqbal (Developer)")</f>
        <v>#N/A</v>
      </c>
      <c r="B734" t="e">
        <f>IF(INDEX(Iqbal!$D:$D, 134)="", NA(), INDEX(Iqbal!$B:$B, 134))</f>
        <v>#N/A</v>
      </c>
      <c r="C734" t="e">
        <f>IF(INDEX(Iqbal!$D:$D, 134)="", NA(), INDEX(Iqbal!$D:$D, 134))</f>
        <v>#N/A</v>
      </c>
      <c r="D734" t="e">
        <f>IF(INDEX(Iqbal!$D:$D, 134)="", NA(), INDEX(Iqbal!$E:$E, 134))</f>
        <v>#N/A</v>
      </c>
      <c r="E734" s="13" t="e">
        <f>IF(INDEX(Iqbal!$D:$D, 134)="", NA(), INDEX(Iqbal!$K:$K, 134))</f>
        <v>#N/A</v>
      </c>
      <c r="F734" t="e">
        <f t="shared" si="22"/>
        <v>#N/A</v>
      </c>
      <c r="G734" s="13" t="e">
        <f>IF(INDEX(Iqbal!$D:$D, 134)="", NA(), INDEX(Iqbal!$L:$L, 134))</f>
        <v>#N/A</v>
      </c>
      <c r="H734" t="e">
        <f t="shared" si="23"/>
        <v>#N/A</v>
      </c>
    </row>
    <row r="735" spans="1:8" x14ac:dyDescent="0.2">
      <c r="A735" t="e">
        <f>IF(INDEX(Iqbal!$D:$D, 135)="", NA(), "Iqbal (Developer)")</f>
        <v>#N/A</v>
      </c>
      <c r="B735" t="e">
        <f>IF(INDEX(Iqbal!$D:$D, 135)="", NA(), INDEX(Iqbal!$B:$B, 135))</f>
        <v>#N/A</v>
      </c>
      <c r="C735" t="e">
        <f>IF(INDEX(Iqbal!$D:$D, 135)="", NA(), INDEX(Iqbal!$D:$D, 135))</f>
        <v>#N/A</v>
      </c>
      <c r="D735" t="e">
        <f>IF(INDEX(Iqbal!$D:$D, 135)="", NA(), INDEX(Iqbal!$E:$E, 135))</f>
        <v>#N/A</v>
      </c>
      <c r="E735" s="13" t="e">
        <f>IF(INDEX(Iqbal!$D:$D, 135)="", NA(), INDEX(Iqbal!$K:$K, 135))</f>
        <v>#N/A</v>
      </c>
      <c r="F735" t="e">
        <f t="shared" si="22"/>
        <v>#N/A</v>
      </c>
      <c r="G735" s="13" t="e">
        <f>IF(INDEX(Iqbal!$D:$D, 135)="", NA(), INDEX(Iqbal!$L:$L, 135))</f>
        <v>#N/A</v>
      </c>
      <c r="H735" t="e">
        <f t="shared" si="23"/>
        <v>#N/A</v>
      </c>
    </row>
    <row r="736" spans="1:8" x14ac:dyDescent="0.2">
      <c r="A736" t="e">
        <f>IF(INDEX(Iqbal!$D:$D, 136)="", NA(), "Iqbal (Developer)")</f>
        <v>#N/A</v>
      </c>
      <c r="B736" t="e">
        <f>IF(INDEX(Iqbal!$D:$D, 136)="", NA(), INDEX(Iqbal!$B:$B, 136))</f>
        <v>#N/A</v>
      </c>
      <c r="C736" t="e">
        <f>IF(INDEX(Iqbal!$D:$D, 136)="", NA(), INDEX(Iqbal!$D:$D, 136))</f>
        <v>#N/A</v>
      </c>
      <c r="D736" t="e">
        <f>IF(INDEX(Iqbal!$D:$D, 136)="", NA(), INDEX(Iqbal!$E:$E, 136))</f>
        <v>#N/A</v>
      </c>
      <c r="E736" s="13" t="e">
        <f>IF(INDEX(Iqbal!$D:$D, 136)="", NA(), INDEX(Iqbal!$K:$K, 136))</f>
        <v>#N/A</v>
      </c>
      <c r="F736" t="e">
        <f t="shared" si="22"/>
        <v>#N/A</v>
      </c>
      <c r="G736" s="13" t="e">
        <f>IF(INDEX(Iqbal!$D:$D, 136)="", NA(), INDEX(Iqbal!$L:$L, 136))</f>
        <v>#N/A</v>
      </c>
      <c r="H736" t="e">
        <f t="shared" si="23"/>
        <v>#N/A</v>
      </c>
    </row>
    <row r="737" spans="1:8" x14ac:dyDescent="0.2">
      <c r="A737" t="e">
        <f>IF(INDEX(Iqbal!$D:$D, 137)="", NA(), "Iqbal (Developer)")</f>
        <v>#N/A</v>
      </c>
      <c r="B737" t="e">
        <f>IF(INDEX(Iqbal!$D:$D, 137)="", NA(), INDEX(Iqbal!$B:$B, 137))</f>
        <v>#N/A</v>
      </c>
      <c r="C737" t="e">
        <f>IF(INDEX(Iqbal!$D:$D, 137)="", NA(), INDEX(Iqbal!$D:$D, 137))</f>
        <v>#N/A</v>
      </c>
      <c r="D737" t="e">
        <f>IF(INDEX(Iqbal!$D:$D, 137)="", NA(), INDEX(Iqbal!$E:$E, 137))</f>
        <v>#N/A</v>
      </c>
      <c r="E737" s="13" t="e">
        <f>IF(INDEX(Iqbal!$D:$D, 137)="", NA(), INDEX(Iqbal!$K:$K, 137))</f>
        <v>#N/A</v>
      </c>
      <c r="F737" t="e">
        <f t="shared" si="22"/>
        <v>#N/A</v>
      </c>
      <c r="G737" s="13" t="e">
        <f>IF(INDEX(Iqbal!$D:$D, 137)="", NA(), INDEX(Iqbal!$L:$L, 137))</f>
        <v>#N/A</v>
      </c>
      <c r="H737" t="e">
        <f t="shared" si="23"/>
        <v>#N/A</v>
      </c>
    </row>
    <row r="738" spans="1:8" x14ac:dyDescent="0.2">
      <c r="A738" t="e">
        <f>IF(INDEX(Iqbal!$D:$D, 138)="", NA(), "Iqbal (Developer)")</f>
        <v>#N/A</v>
      </c>
      <c r="B738" t="e">
        <f>IF(INDEX(Iqbal!$D:$D, 138)="", NA(), INDEX(Iqbal!$B:$B, 138))</f>
        <v>#N/A</v>
      </c>
      <c r="C738" t="e">
        <f>IF(INDEX(Iqbal!$D:$D, 138)="", NA(), INDEX(Iqbal!$D:$D, 138))</f>
        <v>#N/A</v>
      </c>
      <c r="D738" t="e">
        <f>IF(INDEX(Iqbal!$D:$D, 138)="", NA(), INDEX(Iqbal!$E:$E, 138))</f>
        <v>#N/A</v>
      </c>
      <c r="E738" s="13" t="e">
        <f>IF(INDEX(Iqbal!$D:$D, 138)="", NA(), INDEX(Iqbal!$K:$K, 138))</f>
        <v>#N/A</v>
      </c>
      <c r="F738" t="e">
        <f t="shared" si="22"/>
        <v>#N/A</v>
      </c>
      <c r="G738" s="13" t="e">
        <f>IF(INDEX(Iqbal!$D:$D, 138)="", NA(), INDEX(Iqbal!$L:$L, 138))</f>
        <v>#N/A</v>
      </c>
      <c r="H738" t="e">
        <f t="shared" si="23"/>
        <v>#N/A</v>
      </c>
    </row>
    <row r="739" spans="1:8" x14ac:dyDescent="0.2">
      <c r="A739" t="e">
        <f>IF(INDEX(Iqbal!$D:$D, 139)="", NA(), "Iqbal (Developer)")</f>
        <v>#N/A</v>
      </c>
      <c r="B739" t="e">
        <f>IF(INDEX(Iqbal!$D:$D, 139)="", NA(), INDEX(Iqbal!$B:$B, 139))</f>
        <v>#N/A</v>
      </c>
      <c r="C739" t="e">
        <f>IF(INDEX(Iqbal!$D:$D, 139)="", NA(), INDEX(Iqbal!$D:$D, 139))</f>
        <v>#N/A</v>
      </c>
      <c r="D739" t="e">
        <f>IF(INDEX(Iqbal!$D:$D, 139)="", NA(), INDEX(Iqbal!$E:$E, 139))</f>
        <v>#N/A</v>
      </c>
      <c r="E739" s="13" t="e">
        <f>IF(INDEX(Iqbal!$D:$D, 139)="", NA(), INDEX(Iqbal!$K:$K, 139))</f>
        <v>#N/A</v>
      </c>
      <c r="F739" t="e">
        <f t="shared" si="22"/>
        <v>#N/A</v>
      </c>
      <c r="G739" s="13" t="e">
        <f>IF(INDEX(Iqbal!$D:$D, 139)="", NA(), INDEX(Iqbal!$L:$L, 139))</f>
        <v>#N/A</v>
      </c>
      <c r="H739" t="e">
        <f t="shared" si="23"/>
        <v>#N/A</v>
      </c>
    </row>
    <row r="740" spans="1:8" x14ac:dyDescent="0.2">
      <c r="A740" t="e">
        <f>IF(INDEX(Iqbal!$D:$D, 140)="", NA(), "Iqbal (Developer)")</f>
        <v>#N/A</v>
      </c>
      <c r="B740" t="e">
        <f>IF(INDEX(Iqbal!$D:$D, 140)="", NA(), INDEX(Iqbal!$B:$B, 140))</f>
        <v>#N/A</v>
      </c>
      <c r="C740" t="e">
        <f>IF(INDEX(Iqbal!$D:$D, 140)="", NA(), INDEX(Iqbal!$D:$D, 140))</f>
        <v>#N/A</v>
      </c>
      <c r="D740" t="e">
        <f>IF(INDEX(Iqbal!$D:$D, 140)="", NA(), INDEX(Iqbal!$E:$E, 140))</f>
        <v>#N/A</v>
      </c>
      <c r="E740" s="13" t="e">
        <f>IF(INDEX(Iqbal!$D:$D, 140)="", NA(), INDEX(Iqbal!$K:$K, 140))</f>
        <v>#N/A</v>
      </c>
      <c r="F740" t="e">
        <f t="shared" si="22"/>
        <v>#N/A</v>
      </c>
      <c r="G740" s="13" t="e">
        <f>IF(INDEX(Iqbal!$D:$D, 140)="", NA(), INDEX(Iqbal!$L:$L, 140))</f>
        <v>#N/A</v>
      </c>
      <c r="H740" t="e">
        <f t="shared" si="23"/>
        <v>#N/A</v>
      </c>
    </row>
    <row r="741" spans="1:8" x14ac:dyDescent="0.2">
      <c r="A741" t="e">
        <f>IF(INDEX(Iqbal!$D:$D, 141)="", NA(), "Iqbal (Developer)")</f>
        <v>#N/A</v>
      </c>
      <c r="B741" t="e">
        <f>IF(INDEX(Iqbal!$D:$D, 141)="", NA(), INDEX(Iqbal!$B:$B, 141))</f>
        <v>#N/A</v>
      </c>
      <c r="C741" t="e">
        <f>IF(INDEX(Iqbal!$D:$D, 141)="", NA(), INDEX(Iqbal!$D:$D, 141))</f>
        <v>#N/A</v>
      </c>
      <c r="D741" t="e">
        <f>IF(INDEX(Iqbal!$D:$D, 141)="", NA(), INDEX(Iqbal!$E:$E, 141))</f>
        <v>#N/A</v>
      </c>
      <c r="E741" s="13" t="e">
        <f>IF(INDEX(Iqbal!$D:$D, 141)="", NA(), INDEX(Iqbal!$K:$K, 141))</f>
        <v>#N/A</v>
      </c>
      <c r="F741" t="e">
        <f t="shared" si="22"/>
        <v>#N/A</v>
      </c>
      <c r="G741" s="13" t="e">
        <f>IF(INDEX(Iqbal!$D:$D, 141)="", NA(), INDEX(Iqbal!$L:$L, 141))</f>
        <v>#N/A</v>
      </c>
      <c r="H741" t="e">
        <f t="shared" si="23"/>
        <v>#N/A</v>
      </c>
    </row>
    <row r="742" spans="1:8" x14ac:dyDescent="0.2">
      <c r="A742" t="e">
        <f>IF(INDEX(Iqbal!$D:$D, 142)="", NA(), "Iqbal (Developer)")</f>
        <v>#N/A</v>
      </c>
      <c r="B742" t="e">
        <f>IF(INDEX(Iqbal!$D:$D, 142)="", NA(), INDEX(Iqbal!$B:$B, 142))</f>
        <v>#N/A</v>
      </c>
      <c r="C742" t="e">
        <f>IF(INDEX(Iqbal!$D:$D, 142)="", NA(), INDEX(Iqbal!$D:$D, 142))</f>
        <v>#N/A</v>
      </c>
      <c r="D742" t="e">
        <f>IF(INDEX(Iqbal!$D:$D, 142)="", NA(), INDEX(Iqbal!$E:$E, 142))</f>
        <v>#N/A</v>
      </c>
      <c r="E742" s="13" t="e">
        <f>IF(INDEX(Iqbal!$D:$D, 142)="", NA(), INDEX(Iqbal!$K:$K, 142))</f>
        <v>#N/A</v>
      </c>
      <c r="F742" t="e">
        <f t="shared" si="22"/>
        <v>#N/A</v>
      </c>
      <c r="G742" s="13" t="e">
        <f>IF(INDEX(Iqbal!$D:$D, 142)="", NA(), INDEX(Iqbal!$L:$L, 142))</f>
        <v>#N/A</v>
      </c>
      <c r="H742" t="e">
        <f t="shared" si="23"/>
        <v>#N/A</v>
      </c>
    </row>
    <row r="743" spans="1:8" x14ac:dyDescent="0.2">
      <c r="A743" t="e">
        <f>IF(INDEX(Iqbal!$D:$D, 143)="", NA(), "Iqbal (Developer)")</f>
        <v>#N/A</v>
      </c>
      <c r="B743" t="e">
        <f>IF(INDEX(Iqbal!$D:$D, 143)="", NA(), INDEX(Iqbal!$B:$B, 143))</f>
        <v>#N/A</v>
      </c>
      <c r="C743" t="e">
        <f>IF(INDEX(Iqbal!$D:$D, 143)="", NA(), INDEX(Iqbal!$D:$D, 143))</f>
        <v>#N/A</v>
      </c>
      <c r="D743" t="e">
        <f>IF(INDEX(Iqbal!$D:$D, 143)="", NA(), INDEX(Iqbal!$E:$E, 143))</f>
        <v>#N/A</v>
      </c>
      <c r="E743" s="13" t="e">
        <f>IF(INDEX(Iqbal!$D:$D, 143)="", NA(), INDEX(Iqbal!$K:$K, 143))</f>
        <v>#N/A</v>
      </c>
      <c r="F743" t="e">
        <f t="shared" si="22"/>
        <v>#N/A</v>
      </c>
      <c r="G743" s="13" t="e">
        <f>IF(INDEX(Iqbal!$D:$D, 143)="", NA(), INDEX(Iqbal!$L:$L, 143))</f>
        <v>#N/A</v>
      </c>
      <c r="H743" t="e">
        <f t="shared" si="23"/>
        <v>#N/A</v>
      </c>
    </row>
    <row r="744" spans="1:8" x14ac:dyDescent="0.2">
      <c r="A744" t="e">
        <f>IF(INDEX(Iqbal!$D:$D, 144)="", NA(), "Iqbal (Developer)")</f>
        <v>#N/A</v>
      </c>
      <c r="B744" t="e">
        <f>IF(INDEX(Iqbal!$D:$D, 144)="", NA(), INDEX(Iqbal!$B:$B, 144))</f>
        <v>#N/A</v>
      </c>
      <c r="C744" t="e">
        <f>IF(INDEX(Iqbal!$D:$D, 144)="", NA(), INDEX(Iqbal!$D:$D, 144))</f>
        <v>#N/A</v>
      </c>
      <c r="D744" t="e">
        <f>IF(INDEX(Iqbal!$D:$D, 144)="", NA(), INDEX(Iqbal!$E:$E, 144))</f>
        <v>#N/A</v>
      </c>
      <c r="E744" s="13" t="e">
        <f>IF(INDEX(Iqbal!$D:$D, 144)="", NA(), INDEX(Iqbal!$K:$K, 144))</f>
        <v>#N/A</v>
      </c>
      <c r="F744" t="e">
        <f t="shared" si="22"/>
        <v>#N/A</v>
      </c>
      <c r="G744" s="13" t="e">
        <f>IF(INDEX(Iqbal!$D:$D, 144)="", NA(), INDEX(Iqbal!$L:$L, 144))</f>
        <v>#N/A</v>
      </c>
      <c r="H744" t="e">
        <f t="shared" si="23"/>
        <v>#N/A</v>
      </c>
    </row>
    <row r="745" spans="1:8" x14ac:dyDescent="0.2">
      <c r="A745" t="e">
        <f>IF(INDEX(Iqbal!$D:$D, 145)="", NA(), "Iqbal (Developer)")</f>
        <v>#N/A</v>
      </c>
      <c r="B745" t="e">
        <f>IF(INDEX(Iqbal!$D:$D, 145)="", NA(), INDEX(Iqbal!$B:$B, 145))</f>
        <v>#N/A</v>
      </c>
      <c r="C745" t="e">
        <f>IF(INDEX(Iqbal!$D:$D, 145)="", NA(), INDEX(Iqbal!$D:$D, 145))</f>
        <v>#N/A</v>
      </c>
      <c r="D745" t="e">
        <f>IF(INDEX(Iqbal!$D:$D, 145)="", NA(), INDEX(Iqbal!$E:$E, 145))</f>
        <v>#N/A</v>
      </c>
      <c r="E745" s="13" t="e">
        <f>IF(INDEX(Iqbal!$D:$D, 145)="", NA(), INDEX(Iqbal!$K:$K, 145))</f>
        <v>#N/A</v>
      </c>
      <c r="F745" t="e">
        <f t="shared" si="22"/>
        <v>#N/A</v>
      </c>
      <c r="G745" s="13" t="e">
        <f>IF(INDEX(Iqbal!$D:$D, 145)="", NA(), INDEX(Iqbal!$L:$L, 145))</f>
        <v>#N/A</v>
      </c>
      <c r="H745" t="e">
        <f t="shared" si="23"/>
        <v>#N/A</v>
      </c>
    </row>
    <row r="746" spans="1:8" x14ac:dyDescent="0.2">
      <c r="A746" t="e">
        <f>IF(INDEX(Iqbal!$D:$D, 146)="", NA(), "Iqbal (Developer)")</f>
        <v>#N/A</v>
      </c>
      <c r="B746" t="e">
        <f>IF(INDEX(Iqbal!$D:$D, 146)="", NA(), INDEX(Iqbal!$B:$B, 146))</f>
        <v>#N/A</v>
      </c>
      <c r="C746" t="e">
        <f>IF(INDEX(Iqbal!$D:$D, 146)="", NA(), INDEX(Iqbal!$D:$D, 146))</f>
        <v>#N/A</v>
      </c>
      <c r="D746" t="e">
        <f>IF(INDEX(Iqbal!$D:$D, 146)="", NA(), INDEX(Iqbal!$E:$E, 146))</f>
        <v>#N/A</v>
      </c>
      <c r="E746" s="13" t="e">
        <f>IF(INDEX(Iqbal!$D:$D, 146)="", NA(), INDEX(Iqbal!$K:$K, 146))</f>
        <v>#N/A</v>
      </c>
      <c r="F746" t="e">
        <f t="shared" si="22"/>
        <v>#N/A</v>
      </c>
      <c r="G746" s="13" t="e">
        <f>IF(INDEX(Iqbal!$D:$D, 146)="", NA(), INDEX(Iqbal!$L:$L, 146))</f>
        <v>#N/A</v>
      </c>
      <c r="H746" t="e">
        <f t="shared" si="23"/>
        <v>#N/A</v>
      </c>
    </row>
    <row r="747" spans="1:8" x14ac:dyDescent="0.2">
      <c r="A747" t="e">
        <f>IF(INDEX(Iqbal!$D:$D, 147)="", NA(), "Iqbal (Developer)")</f>
        <v>#N/A</v>
      </c>
      <c r="B747" t="e">
        <f>IF(INDEX(Iqbal!$D:$D, 147)="", NA(), INDEX(Iqbal!$B:$B, 147))</f>
        <v>#N/A</v>
      </c>
      <c r="C747" t="e">
        <f>IF(INDEX(Iqbal!$D:$D, 147)="", NA(), INDEX(Iqbal!$D:$D, 147))</f>
        <v>#N/A</v>
      </c>
      <c r="D747" t="e">
        <f>IF(INDEX(Iqbal!$D:$D, 147)="", NA(), INDEX(Iqbal!$E:$E, 147))</f>
        <v>#N/A</v>
      </c>
      <c r="E747" s="13" t="e">
        <f>IF(INDEX(Iqbal!$D:$D, 147)="", NA(), INDEX(Iqbal!$K:$K, 147))</f>
        <v>#N/A</v>
      </c>
      <c r="F747" t="e">
        <f t="shared" si="22"/>
        <v>#N/A</v>
      </c>
      <c r="G747" s="13" t="e">
        <f>IF(INDEX(Iqbal!$D:$D, 147)="", NA(), INDEX(Iqbal!$L:$L, 147))</f>
        <v>#N/A</v>
      </c>
      <c r="H747" t="e">
        <f t="shared" si="23"/>
        <v>#N/A</v>
      </c>
    </row>
    <row r="748" spans="1:8" x14ac:dyDescent="0.2">
      <c r="A748" t="e">
        <f>IF(INDEX(Iqbal!$D:$D, 148)="", NA(), "Iqbal (Developer)")</f>
        <v>#N/A</v>
      </c>
      <c r="B748" t="e">
        <f>IF(INDEX(Iqbal!$D:$D, 148)="", NA(), INDEX(Iqbal!$B:$B, 148))</f>
        <v>#N/A</v>
      </c>
      <c r="C748" t="e">
        <f>IF(INDEX(Iqbal!$D:$D, 148)="", NA(), INDEX(Iqbal!$D:$D, 148))</f>
        <v>#N/A</v>
      </c>
      <c r="D748" t="e">
        <f>IF(INDEX(Iqbal!$D:$D, 148)="", NA(), INDEX(Iqbal!$E:$E, 148))</f>
        <v>#N/A</v>
      </c>
      <c r="E748" s="13" t="e">
        <f>IF(INDEX(Iqbal!$D:$D, 148)="", NA(), INDEX(Iqbal!$K:$K, 148))</f>
        <v>#N/A</v>
      </c>
      <c r="F748" t="e">
        <f t="shared" si="22"/>
        <v>#N/A</v>
      </c>
      <c r="G748" s="13" t="e">
        <f>IF(INDEX(Iqbal!$D:$D, 148)="", NA(), INDEX(Iqbal!$L:$L, 148))</f>
        <v>#N/A</v>
      </c>
      <c r="H748" t="e">
        <f t="shared" si="23"/>
        <v>#N/A</v>
      </c>
    </row>
    <row r="749" spans="1:8" x14ac:dyDescent="0.2">
      <c r="A749" t="e">
        <f>IF(INDEX(Iqbal!$D:$D, 149)="", NA(), "Iqbal (Developer)")</f>
        <v>#N/A</v>
      </c>
      <c r="B749" t="e">
        <f>IF(INDEX(Iqbal!$D:$D, 149)="", NA(), INDEX(Iqbal!$B:$B, 149))</f>
        <v>#N/A</v>
      </c>
      <c r="C749" t="e">
        <f>IF(INDEX(Iqbal!$D:$D, 149)="", NA(), INDEX(Iqbal!$D:$D, 149))</f>
        <v>#N/A</v>
      </c>
      <c r="D749" t="e">
        <f>IF(INDEX(Iqbal!$D:$D, 149)="", NA(), INDEX(Iqbal!$E:$E, 149))</f>
        <v>#N/A</v>
      </c>
      <c r="E749" s="13" t="e">
        <f>IF(INDEX(Iqbal!$D:$D, 149)="", NA(), INDEX(Iqbal!$K:$K, 149))</f>
        <v>#N/A</v>
      </c>
      <c r="F749" t="e">
        <f t="shared" si="22"/>
        <v>#N/A</v>
      </c>
      <c r="G749" s="13" t="e">
        <f>IF(INDEX(Iqbal!$D:$D, 149)="", NA(), INDEX(Iqbal!$L:$L, 149))</f>
        <v>#N/A</v>
      </c>
      <c r="H749" t="e">
        <f t="shared" si="23"/>
        <v>#N/A</v>
      </c>
    </row>
    <row r="750" spans="1:8" x14ac:dyDescent="0.2">
      <c r="A750" t="e">
        <f>IF(INDEX(Iqbal!$D:$D, 150)="", NA(), "Iqbal (Developer)")</f>
        <v>#N/A</v>
      </c>
      <c r="B750" t="e">
        <f>IF(INDEX(Iqbal!$D:$D, 150)="", NA(), INDEX(Iqbal!$B:$B, 150))</f>
        <v>#N/A</v>
      </c>
      <c r="C750" t="e">
        <f>IF(INDEX(Iqbal!$D:$D, 150)="", NA(), INDEX(Iqbal!$D:$D, 150))</f>
        <v>#N/A</v>
      </c>
      <c r="D750" t="e">
        <f>IF(INDEX(Iqbal!$D:$D, 150)="", NA(), INDEX(Iqbal!$E:$E, 150))</f>
        <v>#N/A</v>
      </c>
      <c r="E750" s="13" t="e">
        <f>IF(INDEX(Iqbal!$D:$D, 150)="", NA(), INDEX(Iqbal!$K:$K, 150))</f>
        <v>#N/A</v>
      </c>
      <c r="F750" t="e">
        <f t="shared" si="22"/>
        <v>#N/A</v>
      </c>
      <c r="G750" s="13" t="e">
        <f>IF(INDEX(Iqbal!$D:$D, 150)="", NA(), INDEX(Iqbal!$L:$L, 150))</f>
        <v>#N/A</v>
      </c>
      <c r="H750" t="e">
        <f t="shared" si="23"/>
        <v>#N/A</v>
      </c>
    </row>
    <row r="751" spans="1:8" x14ac:dyDescent="0.2">
      <c r="A751" t="e">
        <f>IF(INDEX(Iqbal!$D:$D, 151)="", NA(), "Iqbal (Developer)")</f>
        <v>#N/A</v>
      </c>
      <c r="B751" t="e">
        <f>IF(INDEX(Iqbal!$D:$D, 151)="", NA(), INDEX(Iqbal!$B:$B, 151))</f>
        <v>#N/A</v>
      </c>
      <c r="C751" t="e">
        <f>IF(INDEX(Iqbal!$D:$D, 151)="", NA(), INDEX(Iqbal!$D:$D, 151))</f>
        <v>#N/A</v>
      </c>
      <c r="D751" t="e">
        <f>IF(INDEX(Iqbal!$D:$D, 151)="", NA(), INDEX(Iqbal!$E:$E, 151))</f>
        <v>#N/A</v>
      </c>
      <c r="E751" s="13" t="e">
        <f>IF(INDEX(Iqbal!$D:$D, 151)="", NA(), INDEX(Iqbal!$K:$K, 151))</f>
        <v>#N/A</v>
      </c>
      <c r="F751" t="e">
        <f t="shared" si="22"/>
        <v>#N/A</v>
      </c>
      <c r="G751" s="13" t="e">
        <f>IF(INDEX(Iqbal!$D:$D, 151)="", NA(), INDEX(Iqbal!$L:$L, 151))</f>
        <v>#N/A</v>
      </c>
      <c r="H751" t="e">
        <f t="shared" si="23"/>
        <v>#N/A</v>
      </c>
    </row>
    <row r="752" spans="1:8" x14ac:dyDescent="0.2">
      <c r="A752" t="str">
        <f>IF(INDEX(Glenn!$D:$D, 2)="", NA(), "Glenn (Developer)")</f>
        <v>Glenn (Developer)</v>
      </c>
      <c r="B752" t="str">
        <f>IF(INDEX(Glenn!$D:$D, 2)="", NA(), INDEX(Glenn!$B:$B, 2))</f>
        <v>DOTS</v>
      </c>
      <c r="C752" t="str">
        <f>IF(INDEX(Glenn!$D:$D, 2)="", NA(), INDEX(Glenn!$D:$D, 2))</f>
        <v>Transfer Knowledge &amp; Ekspor Data Login User Pada DOTS</v>
      </c>
      <c r="D752" t="str">
        <f>IF(INDEX(Glenn!$D:$D, 2)="", NA(), INDEX(Glenn!$E:$E, 2))</f>
        <v>DONE</v>
      </c>
      <c r="E752" s="13">
        <f>IF(INDEX(Glenn!$D:$D, 2)="", NA(), INDEX(Glenn!$K:$K, 2))</f>
        <v>46238</v>
      </c>
      <c r="F752">
        <f t="shared" si="22"/>
        <v>1</v>
      </c>
      <c r="G752" s="13">
        <f>IF(INDEX(Glenn!$D:$D, 2)="", NA(), INDEX(Glenn!$L:$L, 2))</f>
        <v>46238</v>
      </c>
      <c r="H752" t="str">
        <f t="shared" si="23"/>
        <v>Glenn (Developer) - DOTS - Transfer Knowledge &amp; Ekspor Data Login User Pada DOTS</v>
      </c>
    </row>
    <row r="753" spans="1:8" x14ac:dyDescent="0.2">
      <c r="A753" t="str">
        <f>IF(INDEX(Glenn!$D:$D, 3)="", NA(), "Glenn (Developer)")</f>
        <v>Glenn (Developer)</v>
      </c>
      <c r="B753" t="str">
        <f>IF(INDEX(Glenn!$D:$D, 3)="", NA(), INDEX(Glenn!$B:$B, 3))</f>
        <v>DOTS</v>
      </c>
      <c r="C753" t="str">
        <f>IF(INDEX(Glenn!$D:$D, 3)="", NA(), INDEX(Glenn!$D:$D, 3))</f>
        <v>Sharing knowledge</v>
      </c>
      <c r="D753" t="str">
        <f>IF(INDEX(Glenn!$D:$D, 3)="", NA(), INDEX(Glenn!$E:$E, 3))</f>
        <v>DONE</v>
      </c>
      <c r="E753" s="13">
        <f>IF(INDEX(Glenn!$D:$D, 3)="", NA(), INDEX(Glenn!$K:$K, 3))</f>
        <v>46239</v>
      </c>
      <c r="F753">
        <f t="shared" si="22"/>
        <v>1</v>
      </c>
      <c r="G753" s="13">
        <f>IF(INDEX(Glenn!$D:$D, 3)="", NA(), INDEX(Glenn!$L:$L, 3))</f>
        <v>46239</v>
      </c>
      <c r="H753" t="str">
        <f t="shared" si="23"/>
        <v>Glenn (Developer) - DOTS - Sharing knowledge</v>
      </c>
    </row>
    <row r="754" spans="1:8" x14ac:dyDescent="0.2">
      <c r="A754" t="str">
        <f>IF(INDEX(Glenn!$D:$D, 4)="", NA(), "Glenn (Developer)")</f>
        <v>Glenn (Developer)</v>
      </c>
      <c r="B754" t="str">
        <f>IF(INDEX(Glenn!$D:$D, 4)="", NA(), INDEX(Glenn!$B:$B, 4))</f>
        <v>DOTS</v>
      </c>
      <c r="C754" t="str">
        <f>IF(INDEX(Glenn!$D:$D, 4)="", NA(), INDEX(Glenn!$D:$D, 4))</f>
        <v>Menambahkan validasi DOTS - Implementasi Validasi Format Input Nomor Memo Internal Sesuai Standar Tugu pada Transaksi DOTS.</v>
      </c>
      <c r="D754" t="str">
        <f>IF(INDEX(Glenn!$D:$D, 4)="", NA(), INDEX(Glenn!$E:$E, 4))</f>
        <v>DONE</v>
      </c>
      <c r="E754" s="13">
        <f>IF(INDEX(Glenn!$D:$D, 4)="", NA(), INDEX(Glenn!$K:$K, 4))</f>
        <v>46240</v>
      </c>
      <c r="F754">
        <f t="shared" si="22"/>
        <v>4</v>
      </c>
      <c r="G754" s="13">
        <f>IF(INDEX(Glenn!$D:$D, 4)="", NA(), INDEX(Glenn!$L:$L, 4))</f>
        <v>46244</v>
      </c>
      <c r="H754" t="str">
        <f t="shared" si="23"/>
        <v>Glenn (Developer) - DOTS - Menambahkan validasi DOTS - Implementasi Validasi Format Input Nomor Memo Internal Sesuai Standar Tugu pada Transaksi DOTS.</v>
      </c>
    </row>
    <row r="755" spans="1:8" x14ac:dyDescent="0.2">
      <c r="A755" t="str">
        <f>IF(INDEX(Glenn!$D:$D, 5)="", NA(), "Glenn (Developer)")</f>
        <v>Glenn (Developer)</v>
      </c>
      <c r="B755" t="str">
        <f>IF(INDEX(Glenn!$D:$D, 5)="", NA(), INDEX(Glenn!$B:$B, 5))</f>
        <v>DOTS</v>
      </c>
      <c r="C755" t="str">
        <f>IF(INDEX(Glenn!$D:$D, 5)="", NA(), INDEX(Glenn!$D:$D, 5))</f>
        <v>Enhancement DOTS - Implementasi Modal Pop-up Verifikasi Informasi Pembayaran pada Form Pembuatan Transaksi DOTS.</v>
      </c>
      <c r="D755" t="str">
        <f>IF(INDEX(Glenn!$D:$D, 5)="", NA(), INDEX(Glenn!$E:$E, 5))</f>
        <v>DONE</v>
      </c>
      <c r="E755" s="13">
        <f>IF(INDEX(Glenn!$D:$D, 5)="", NA(), INDEX(Glenn!$K:$K, 5))</f>
        <v>46240</v>
      </c>
      <c r="F755">
        <f t="shared" si="22"/>
        <v>4</v>
      </c>
      <c r="G755" s="13">
        <f>IF(INDEX(Glenn!$D:$D, 5)="", NA(), INDEX(Glenn!$L:$L, 5))</f>
        <v>46244</v>
      </c>
      <c r="H755" t="str">
        <f t="shared" si="23"/>
        <v>Glenn (Developer) - DOTS - Enhancement DOTS - Implementasi Modal Pop-up Verifikasi Informasi Pembayaran pada Form Pembuatan Transaksi DOTS.</v>
      </c>
    </row>
    <row r="756" spans="1:8" x14ac:dyDescent="0.2">
      <c r="A756" t="str">
        <f>IF(INDEX(Glenn!$D:$D, 6)="", NA(), "Glenn (Developer)")</f>
        <v>Glenn (Developer)</v>
      </c>
      <c r="B756" t="str">
        <f>IF(INDEX(Glenn!$D:$D, 6)="", NA(), INDEX(Glenn!$B:$B, 6))</f>
        <v>DOTS</v>
      </c>
      <c r="C756" t="str">
        <f>IF(INDEX(Glenn!$D:$D, 6)="", NA(), INDEX(Glenn!$D:$D, 6))</f>
        <v>Enhancement DOTS -  Penyesuaian Modal Submission &amp; Approval Persetujuan Kebenaran Rekening Bank pada Transaksi DOTS.</v>
      </c>
      <c r="D756" t="str">
        <f>IF(INDEX(Glenn!$D:$D, 6)="", NA(), INDEX(Glenn!$E:$E, 6))</f>
        <v>DONE</v>
      </c>
      <c r="E756" s="13">
        <f>IF(INDEX(Glenn!$D:$D, 6)="", NA(), INDEX(Glenn!$K:$K, 6))</f>
        <v>46240</v>
      </c>
      <c r="F756">
        <f t="shared" si="22"/>
        <v>4</v>
      </c>
      <c r="G756" s="13">
        <f>IF(INDEX(Glenn!$D:$D, 6)="", NA(), INDEX(Glenn!$L:$L, 6))</f>
        <v>46244</v>
      </c>
      <c r="H756" t="str">
        <f t="shared" si="23"/>
        <v>Glenn (Developer) - DOTS - Enhancement DOTS -  Penyesuaian Modal Submission &amp; Approval Persetujuan Kebenaran Rekening Bank pada Transaksi DOTS.</v>
      </c>
    </row>
    <row r="757" spans="1:8" x14ac:dyDescent="0.2">
      <c r="A757" t="str">
        <f>IF(INDEX(Glenn!$D:$D, 7)="", NA(), "Glenn (Developer)")</f>
        <v>Glenn (Developer)</v>
      </c>
      <c r="B757" t="str">
        <f>IF(INDEX(Glenn!$D:$D, 7)="", NA(), INDEX(Glenn!$B:$B, 7))</f>
        <v>DOTS</v>
      </c>
      <c r="C757" t="str">
        <f>IF(INDEX(Glenn!$D:$D, 7)="", NA(), INDEX(Glenn!$D:$D, 7))</f>
        <v>Menambahkan validasi DOTS - Integrasi API SharePoint untuk Validasi Status Approval Nomor Memo pada Transaksi DOTS.</v>
      </c>
      <c r="D757" t="str">
        <f>IF(INDEX(Glenn!$D:$D, 7)="", NA(), INDEX(Glenn!$E:$E, 7))</f>
        <v>DONE</v>
      </c>
      <c r="E757" s="13">
        <f>IF(INDEX(Glenn!$D:$D, 7)="", NA(), INDEX(Glenn!$K:$K, 7))</f>
        <v>46240</v>
      </c>
      <c r="F757">
        <f t="shared" si="22"/>
        <v>4</v>
      </c>
      <c r="G757" s="13">
        <f>IF(INDEX(Glenn!$D:$D, 7)="", NA(), INDEX(Glenn!$L:$L, 7))</f>
        <v>46244</v>
      </c>
      <c r="H757" t="str">
        <f t="shared" si="23"/>
        <v>Glenn (Developer) - DOTS - Menambahkan validasi DOTS - Integrasi API SharePoint untuk Validasi Status Approval Nomor Memo pada Transaksi DOTS.</v>
      </c>
    </row>
    <row r="758" spans="1:8" x14ac:dyDescent="0.2">
      <c r="A758" t="str">
        <f>IF(INDEX(Glenn!$D:$D, 8)="", NA(), "Glenn (Developer)")</f>
        <v>Glenn (Developer)</v>
      </c>
      <c r="B758" t="str">
        <f>IF(INDEX(Glenn!$D:$D, 8)="", NA(), INDEX(Glenn!$B:$B, 8))</f>
        <v>DOTS</v>
      </c>
      <c r="C758" t="str">
        <f>IF(INDEX(Glenn!$D:$D, 8)="", NA(), INDEX(Glenn!$D:$D, 8))</f>
        <v>Enhancement DOTS: Memunculkan modal konfirmasi rekening pada step payment informasi di create awal DOTS</v>
      </c>
      <c r="D758" t="str">
        <f>IF(INDEX(Glenn!$D:$D, 8)="", NA(), INDEX(Glenn!$E:$E, 8))</f>
        <v>DONE</v>
      </c>
      <c r="E758" s="13">
        <f>IF(INDEX(Glenn!$D:$D, 8)="", NA(), INDEX(Glenn!$K:$K, 8))</f>
        <v>46246</v>
      </c>
      <c r="F758">
        <f t="shared" si="22"/>
        <v>2</v>
      </c>
      <c r="G758" s="13">
        <f>IF(INDEX(Glenn!$D:$D, 8)="", NA(), INDEX(Glenn!$L:$L, 8))</f>
        <v>46248</v>
      </c>
      <c r="H758" t="str">
        <f t="shared" si="23"/>
        <v>Glenn (Developer) - DOTS - Enhancement DOTS: Memunculkan modal konfirmasi rekening pada step payment informasi di create awal DOTS</v>
      </c>
    </row>
    <row r="759" spans="1:8" x14ac:dyDescent="0.2">
      <c r="A759" t="str">
        <f>IF(INDEX(Glenn!$D:$D, 9)="", NA(), "Glenn (Developer)")</f>
        <v>Glenn (Developer)</v>
      </c>
      <c r="B759" t="str">
        <f>IF(INDEX(Glenn!$D:$D, 9)="", NA(), INDEX(Glenn!$B:$B, 9))</f>
        <v>DOTS</v>
      </c>
      <c r="C759" t="str">
        <f>IF(INDEX(Glenn!$D:$D, 9)="", NA(), INDEX(Glenn!$D:$D, 9))</f>
        <v>Melakukan cherry-pick perubahan validasi nomor rekening ke branch main</v>
      </c>
      <c r="D759" t="str">
        <f>IF(INDEX(Glenn!$D:$D, 9)="", NA(), INDEX(Glenn!$E:$E, 9))</f>
        <v>DONE</v>
      </c>
      <c r="E759" s="13">
        <f>IF(INDEX(Glenn!$D:$D, 9)="", NA(), INDEX(Glenn!$K:$K, 9))</f>
        <v>46246</v>
      </c>
      <c r="F759">
        <f t="shared" si="22"/>
        <v>2</v>
      </c>
      <c r="G759" s="13">
        <f>IF(INDEX(Glenn!$D:$D, 9)="", NA(), INDEX(Glenn!$L:$L, 9))</f>
        <v>46248</v>
      </c>
      <c r="H759" t="str">
        <f t="shared" si="23"/>
        <v>Glenn (Developer) - DOTS - Melakukan cherry-pick perubahan validasi nomor rekening ke branch main</v>
      </c>
    </row>
    <row r="760" spans="1:8" x14ac:dyDescent="0.2">
      <c r="A760" t="str">
        <f>IF(INDEX(Glenn!$D:$D, 10)="", NA(), "Glenn (Developer)")</f>
        <v>Glenn (Developer)</v>
      </c>
      <c r="B760" t="str">
        <f>IF(INDEX(Glenn!$D:$D, 10)="", NA(), INDEX(Glenn!$B:$B, 10))</f>
        <v>DOTS</v>
      </c>
      <c r="C760" t="str">
        <f>IF(INDEX(Glenn!$D:$D, 10)="", NA(), INDEX(Glenn!$D:$D, 10))</f>
        <v>Analisis dan Dokumentasi Kode Enum, Status Transaksi, serta Role Sistem DOTS &amp; TKYC.</v>
      </c>
      <c r="D760" t="str">
        <f>IF(INDEX(Glenn!$D:$D, 10)="", NA(), INDEX(Glenn!$E:$E, 10))</f>
        <v>DONE</v>
      </c>
      <c r="E760" s="13">
        <f>IF(INDEX(Glenn!$D:$D, 10)="", NA(), INDEX(Glenn!$K:$K, 10))</f>
        <v>46252</v>
      </c>
      <c r="F760">
        <f t="shared" si="22"/>
        <v>1</v>
      </c>
      <c r="G760" s="13">
        <f>IF(INDEX(Glenn!$D:$D, 10)="", NA(), INDEX(Glenn!$L:$L, 10))</f>
        <v>46252</v>
      </c>
      <c r="H760" t="str">
        <f t="shared" si="23"/>
        <v>Glenn (Developer) - DOTS - Analisis dan Dokumentasi Kode Enum, Status Transaksi, serta Role Sistem DOTS &amp; TKYC.</v>
      </c>
    </row>
    <row r="761" spans="1:8" x14ac:dyDescent="0.2">
      <c r="A761" t="str">
        <f>IF(INDEX(Glenn!$D:$D, 11)="", NA(), "Glenn (Developer)")</f>
        <v>Glenn (Developer)</v>
      </c>
      <c r="B761" t="str">
        <f>IF(INDEX(Glenn!$D:$D, 11)="", NA(), INDEX(Glenn!$B:$B, 11))</f>
        <v>TICS-POLICY-CORPORATE</v>
      </c>
      <c r="C761" t="str">
        <f>IF(INDEX(Glenn!$D:$D, 11)="", NA(), INDEX(Glenn!$D:$D, 11))</f>
        <v>Pemahaman dan Analisis Repository TICS Policy Corporate Khususnya pada Modul Master Data.</v>
      </c>
      <c r="D761" t="str">
        <f>IF(INDEX(Glenn!$D:$D, 11)="", NA(), INDEX(Glenn!$E:$E, 11))</f>
        <v>DONE</v>
      </c>
      <c r="E761" s="13">
        <f>IF(INDEX(Glenn!$D:$D, 11)="", NA(), INDEX(Glenn!$K:$K, 11))</f>
        <v>46253</v>
      </c>
      <c r="F761">
        <f t="shared" si="22"/>
        <v>1</v>
      </c>
      <c r="G761" s="13">
        <f>IF(INDEX(Glenn!$D:$D, 11)="", NA(), INDEX(Glenn!$L:$L, 11))</f>
        <v>46253</v>
      </c>
      <c r="H761" t="str">
        <f t="shared" si="23"/>
        <v>Glenn (Developer) - TICS-POLICY-CORPORATE - Pemahaman dan Analisis Repository TICS Policy Corporate Khususnya pada Modul Master Data.</v>
      </c>
    </row>
    <row r="762" spans="1:8" x14ac:dyDescent="0.2">
      <c r="A762" t="str">
        <f>IF(INDEX(Glenn!$D:$D, 12)="", NA(), "Glenn (Developer)")</f>
        <v>Glenn (Developer)</v>
      </c>
      <c r="B762" t="str">
        <f>IF(INDEX(Glenn!$D:$D, 12)="", NA(), INDEX(Glenn!$B:$B, 12))</f>
        <v>TICS - Corporate</v>
      </c>
      <c r="C762" t="str">
        <f>IF(INDEX(Glenn!$D:$D, 12)="", NA(), INDEX(Glenn!$D:$D, 12))</f>
        <v>Pemahaman dan Analisis Repository TICS Policy Corporate Khususnya pada Modul Master Data.</v>
      </c>
      <c r="D762" t="str">
        <f>IF(INDEX(Glenn!$D:$D, 12)="", NA(), INDEX(Glenn!$E:$E, 12))</f>
        <v>DONE</v>
      </c>
      <c r="E762" s="13">
        <f>IF(INDEX(Glenn!$D:$D, 12)="", NA(), INDEX(Glenn!$K:$K, 12))</f>
        <v>46253</v>
      </c>
      <c r="F762">
        <f t="shared" si="22"/>
        <v>1</v>
      </c>
      <c r="G762" s="13">
        <f>IF(INDEX(Glenn!$D:$D, 12)="", NA(), INDEX(Glenn!$L:$L, 12))</f>
        <v>46253</v>
      </c>
      <c r="H762" t="str">
        <f t="shared" si="23"/>
        <v>Glenn (Developer) - TICS - Corporate - Pemahaman dan Analisis Repository TICS Policy Corporate Khususnya pada Modul Master Data.</v>
      </c>
    </row>
    <row r="763" spans="1:8" x14ac:dyDescent="0.2">
      <c r="A763" t="str">
        <f>IF(INDEX(Glenn!$D:$D, 13)="", NA(), "Glenn (Developer)")</f>
        <v>Glenn (Developer)</v>
      </c>
      <c r="B763" t="str">
        <f>IF(INDEX(Glenn!$D:$D, 13)="", NA(), INDEX(Glenn!$B:$B, 13))</f>
        <v>TICS_V2 - RnD</v>
      </c>
      <c r="C763" t="str">
        <f>IF(INDEX(Glenn!$D:$D, 13)="", NA(), INDEX(Glenn!$D:$D, 13))</f>
        <v>Setup TICS_V2 di local development untuk persiapan pengembangan modul master data</v>
      </c>
      <c r="D763" t="str">
        <f>IF(INDEX(Glenn!$D:$D, 13)="", NA(), INDEX(Glenn!$E:$E, 13))</f>
        <v>DONE</v>
      </c>
      <c r="E763" s="13">
        <f>IF(INDEX(Glenn!$D:$D, 13)="", NA(), INDEX(Glenn!$K:$K, 13))</f>
        <v>46254</v>
      </c>
      <c r="F763">
        <f t="shared" si="22"/>
        <v>1</v>
      </c>
      <c r="G763" s="13">
        <f>IF(INDEX(Glenn!$D:$D, 13)="", NA(), INDEX(Glenn!$L:$L, 13))</f>
        <v>46254</v>
      </c>
      <c r="H763" t="str">
        <f t="shared" si="23"/>
        <v>Glenn (Developer) - TICS_V2 - RnD - Setup TICS_V2 di local development untuk persiapan pengembangan modul master data</v>
      </c>
    </row>
    <row r="764" spans="1:8" x14ac:dyDescent="0.2">
      <c r="A764" t="str">
        <f>IF(INDEX(Glenn!$D:$D, 14)="", NA(), "Glenn (Developer)")</f>
        <v>Glenn (Developer)</v>
      </c>
      <c r="B764" t="str">
        <f>IF(INDEX(Glenn!$D:$D, 14)="", NA(), INDEX(Glenn!$B:$B, 14))</f>
        <v>TICS_V2 - RnD</v>
      </c>
      <c r="C764" t="str">
        <f>IF(INDEX(Glenn!$D:$D, 14)="", NA(), INDEX(Glenn!$D:$D, 14))</f>
        <v>Develop User Management service pada TICS_V2 agar schema db, fitur, logic, dan flownya sama dengan TICS saat ini</v>
      </c>
      <c r="D764" t="str">
        <f>IF(INDEX(Glenn!$D:$D, 14)="", NA(), INDEX(Glenn!$E:$E, 14))</f>
        <v>DONE</v>
      </c>
      <c r="E764" s="13">
        <f>IF(INDEX(Glenn!$D:$D, 14)="", NA(), INDEX(Glenn!$K:$K, 14))</f>
        <v>46255</v>
      </c>
      <c r="F764">
        <f t="shared" si="22"/>
        <v>1</v>
      </c>
      <c r="G764" s="13">
        <f>IF(INDEX(Glenn!$D:$D, 14)="", NA(), INDEX(Glenn!$L:$L, 14))</f>
        <v>46255</v>
      </c>
      <c r="H764" t="str">
        <f t="shared" si="23"/>
        <v>Glenn (Developer) - TICS_V2 - RnD - Develop User Management service pada TICS_V2 agar schema db, fitur, logic, dan flownya sama dengan TICS saat ini</v>
      </c>
    </row>
    <row r="765" spans="1:8" x14ac:dyDescent="0.2">
      <c r="A765" t="str">
        <f>IF(INDEX(Glenn!$D:$D, 15)="", NA(), "Glenn (Developer)")</f>
        <v>Glenn (Developer)</v>
      </c>
      <c r="B765" t="str">
        <f>IF(INDEX(Glenn!$D:$D, 15)="", NA(), INDEX(Glenn!$B:$B, 15))</f>
        <v>TICS_V2 - RnD</v>
      </c>
      <c r="C765" t="str">
        <f>IF(INDEX(Glenn!$D:$D, 15)="", NA(), INDEX(Glenn!$D:$D, 15))</f>
        <v>Penyesuaian role dan permission management pada TICS V2 agar sesuai dengan TICS eksisting</v>
      </c>
      <c r="D765" t="str">
        <f>IF(INDEX(Glenn!$D:$D, 15)="", NA(), INDEX(Glenn!$E:$E, 15))</f>
        <v>DONE</v>
      </c>
      <c r="E765" s="13">
        <f>IF(INDEX(Glenn!$D:$D, 15)="", NA(), INDEX(Glenn!$K:$K, 15))</f>
        <v>46258</v>
      </c>
      <c r="F765">
        <f t="shared" si="22"/>
        <v>1</v>
      </c>
      <c r="G765" s="13">
        <f>IF(INDEX(Glenn!$D:$D, 15)="", NA(), INDEX(Glenn!$L:$L, 15))</f>
        <v>46258</v>
      </c>
      <c r="H765" t="str">
        <f t="shared" si="23"/>
        <v>Glenn (Developer) - TICS_V2 - RnD - Penyesuaian role dan permission management pada TICS V2 agar sesuai dengan TICS eksisting</v>
      </c>
    </row>
    <row r="766" spans="1:8" x14ac:dyDescent="0.2">
      <c r="A766" t="str">
        <f>IF(INDEX(Glenn!$D:$D, 16)="", NA(), "Glenn (Developer)")</f>
        <v>Glenn (Developer)</v>
      </c>
      <c r="B766" t="str">
        <f>IF(INDEX(Glenn!$D:$D, 16)="", NA(), INDEX(Glenn!$B:$B, 16))</f>
        <v>TICS_V2 - RnD</v>
      </c>
      <c r="C766" t="str">
        <f>IF(INDEX(Glenn!$D:$D, 16)="", NA(), INDEX(Glenn!$D:$D, 16))</f>
        <v>Penyesuaian tabel skema user pada TICS V2 agar sesuai dengan tics yang sudah ada saat ini</v>
      </c>
      <c r="D766" t="str">
        <f>IF(INDEX(Glenn!$D:$D, 16)="", NA(), INDEX(Glenn!$E:$E, 16))</f>
        <v>DONE</v>
      </c>
      <c r="E766" s="13">
        <f>IF(INDEX(Glenn!$D:$D, 16)="", NA(), INDEX(Glenn!$K:$K, 16))</f>
        <v>46258</v>
      </c>
      <c r="F766">
        <f t="shared" si="22"/>
        <v>1</v>
      </c>
      <c r="G766" s="13">
        <f>IF(INDEX(Glenn!$D:$D, 16)="", NA(), INDEX(Glenn!$L:$L, 16))</f>
        <v>46258</v>
      </c>
      <c r="H766" t="str">
        <f t="shared" si="23"/>
        <v>Glenn (Developer) - TICS_V2 - RnD - Penyesuaian tabel skema user pada TICS V2 agar sesuai dengan tics yang sudah ada saat ini</v>
      </c>
    </row>
    <row r="767" spans="1:8" x14ac:dyDescent="0.2">
      <c r="A767" t="str">
        <f>IF(INDEX(Glenn!$D:$D, 17)="", NA(), "Glenn (Developer)")</f>
        <v>Glenn (Developer)</v>
      </c>
      <c r="B767" t="str">
        <f>IF(INDEX(Glenn!$D:$D, 17)="", NA(), INDEX(Glenn!$B:$B, 17))</f>
        <v>TICS_V2 - RnD</v>
      </c>
      <c r="C767" t="str">
        <f>IF(INDEX(Glenn!$D:$D, 17)="", NA(), INDEX(Glenn!$D:$D, 17))</f>
        <v xml:space="preserve">Meeting bersama tim dari Tugu Insurance, mengenai progres kerja yang sudah dikerjakan selama 3 minggu sebelumnya </v>
      </c>
      <c r="D767" t="str">
        <f>IF(INDEX(Glenn!$D:$D, 17)="", NA(), INDEX(Glenn!$E:$E, 17))</f>
        <v>DONE</v>
      </c>
      <c r="E767" s="13">
        <f>IF(INDEX(Glenn!$D:$D, 17)="", NA(), INDEX(Glenn!$K:$K, 17))</f>
        <v>46258</v>
      </c>
      <c r="F767">
        <f t="shared" si="22"/>
        <v>1</v>
      </c>
      <c r="G767" s="13">
        <f>IF(INDEX(Glenn!$D:$D, 17)="", NA(), INDEX(Glenn!$L:$L, 17))</f>
        <v>46258</v>
      </c>
      <c r="H767" t="str">
        <f t="shared" si="23"/>
        <v xml:space="preserve">Glenn (Developer) - TICS_V2 - RnD - Meeting bersama tim dari Tugu Insurance, mengenai progres kerja yang sudah dikerjakan selama 3 minggu sebelumnya </v>
      </c>
    </row>
    <row r="768" spans="1:8" x14ac:dyDescent="0.2">
      <c r="A768" t="str">
        <f>IF(INDEX(Glenn!$D:$D, 18)="", NA(), "Glenn (Developer)")</f>
        <v>Glenn (Developer)</v>
      </c>
      <c r="B768" t="str">
        <f>IF(INDEX(Glenn!$D:$D, 18)="", NA(), INDEX(Glenn!$B:$B, 18))</f>
        <v>TICS_V2 - RnD</v>
      </c>
      <c r="C768" t="str">
        <f>IF(INDEX(Glenn!$D:$D, 18)="", NA(), INDEX(Glenn!$D:$D, 18))</f>
        <v>Penyelarasan Navigasi CRUD dan Breadcrumb pada Modul User &amp; Role Management TICS v2.</v>
      </c>
      <c r="D768" t="str">
        <f>IF(INDEX(Glenn!$D:$D, 18)="", NA(), INDEX(Glenn!$E:$E, 18))</f>
        <v>DONE</v>
      </c>
      <c r="E768" s="13">
        <f>IF(INDEX(Glenn!$D:$D, 18)="", NA(), INDEX(Glenn!$K:$K, 18))</f>
        <v>46260</v>
      </c>
      <c r="F768">
        <f t="shared" si="22"/>
        <v>1</v>
      </c>
      <c r="G768" s="13">
        <f>IF(INDEX(Glenn!$D:$D, 18)="", NA(), INDEX(Glenn!$L:$L, 18))</f>
        <v>46260</v>
      </c>
      <c r="H768" t="str">
        <f t="shared" si="23"/>
        <v>Glenn (Developer) - TICS_V2 - RnD - Penyelarasan Navigasi CRUD dan Breadcrumb pada Modul User &amp; Role Management TICS v2.</v>
      </c>
    </row>
    <row r="769" spans="1:8" x14ac:dyDescent="0.2">
      <c r="A769" t="str">
        <f>IF(INDEX(Glenn!$D:$D, 19)="", NA(), "Glenn (Developer)")</f>
        <v>Glenn (Developer)</v>
      </c>
      <c r="B769" t="str">
        <f>IF(INDEX(Glenn!$D:$D, 19)="", NA(), INDEX(Glenn!$B:$B, 19))</f>
        <v>TICS_V2 - RnD</v>
      </c>
      <c r="C769" t="str">
        <f>IF(INDEX(Glenn!$D:$D, 19)="", NA(), INDEX(Glenn!$D:$D, 19))</f>
        <v>Penyelarasan Hak Akses Granular (RBAC Permission) Service Master Data TICS v2.</v>
      </c>
      <c r="D769" t="str">
        <f>IF(INDEX(Glenn!$D:$D, 19)="", NA(), INDEX(Glenn!$E:$E, 19))</f>
        <v>DONE</v>
      </c>
      <c r="E769" s="13">
        <f>IF(INDEX(Glenn!$D:$D, 19)="", NA(), INDEX(Glenn!$K:$K, 19))</f>
        <v>46260</v>
      </c>
      <c r="F769">
        <f t="shared" si="22"/>
        <v>1</v>
      </c>
      <c r="G769" s="13">
        <f>IF(INDEX(Glenn!$D:$D, 19)="", NA(), INDEX(Glenn!$L:$L, 19))</f>
        <v>46260</v>
      </c>
      <c r="H769" t="str">
        <f t="shared" si="23"/>
        <v>Glenn (Developer) - TICS_V2 - RnD - Penyelarasan Hak Akses Granular (RBAC Permission) Service Master Data TICS v2.</v>
      </c>
    </row>
    <row r="770" spans="1:8" x14ac:dyDescent="0.2">
      <c r="A770" t="str">
        <f>IF(INDEX(Glenn!$D:$D, 20)="", NA(), "Glenn (Developer)")</f>
        <v>Glenn (Developer)</v>
      </c>
      <c r="B770" t="str">
        <f>IF(INDEX(Glenn!$D:$D, 20)="", NA(), INDEX(Glenn!$B:$B, 20))</f>
        <v>TICS_V2 - RnD</v>
      </c>
      <c r="C770" t="str">
        <f>IF(INDEX(Glenn!$D:$D, 20)="", NA(), INDEX(Glenn!$D:$D, 20))</f>
        <v>Migrasi, Penyelarasan Parity, dan Refaktor Arsitektur 7 Modul Master Data TICS v2</v>
      </c>
      <c r="D770" t="str">
        <f>IF(INDEX(Glenn!$D:$D, 20)="", NA(), INDEX(Glenn!$E:$E, 20))</f>
        <v>DONE</v>
      </c>
      <c r="E770" s="13">
        <f>IF(INDEX(Glenn!$D:$D, 20)="", NA(), INDEX(Glenn!$K:$K, 20))</f>
        <v>46260</v>
      </c>
      <c r="F770">
        <f t="shared" ref="F770:F833" si="24">IF(OR(E770="", ISNA(E770), ISNA(G770)), 0, MAX(1, G770-E770))</f>
        <v>1</v>
      </c>
      <c r="G770" s="13">
        <f>IF(INDEX(Glenn!$D:$D, 20)="", NA(), INDEX(Glenn!$L:$L, 20))</f>
        <v>46261</v>
      </c>
      <c r="H770" t="str">
        <f t="shared" ref="H770:H833" si="25">IF(ISNA(C770), NA(), A770 &amp; " - " &amp; B770 &amp; " - " &amp; C770)</f>
        <v>Glenn (Developer) - TICS_V2 - RnD - Migrasi, Penyelarasan Parity, dan Refaktor Arsitektur 7 Modul Master Data TICS v2</v>
      </c>
    </row>
    <row r="771" spans="1:8" x14ac:dyDescent="0.2">
      <c r="A771" t="str">
        <f>IF(INDEX(Glenn!$D:$D, 21)="", NA(), "Glenn (Developer)")</f>
        <v>Glenn (Developer)</v>
      </c>
      <c r="B771" t="str">
        <f>IF(INDEX(Glenn!$D:$D, 21)="", NA(), INDEX(Glenn!$B:$B, 21))</f>
        <v>TICS_V2 - RnD</v>
      </c>
      <c r="C771" t="str">
        <f>IF(INDEX(Glenn!$D:$D, 21)="", NA(), INDEX(Glenn!$D:$D, 21))</f>
        <v>Penyelarasan Modul Underwriter Authority dan Master Ref Table serta Standarisasi Tombol Aksi Reusable di TICS v2.</v>
      </c>
      <c r="D771" t="str">
        <f>IF(INDEX(Glenn!$D:$D, 21)="", NA(), INDEX(Glenn!$E:$E, 21))</f>
        <v>DONE</v>
      </c>
      <c r="E771" s="13">
        <f>IF(INDEX(Glenn!$D:$D, 21)="", NA(), INDEX(Glenn!$K:$K, 21))</f>
        <v>46260</v>
      </c>
      <c r="F771">
        <f t="shared" si="24"/>
        <v>2</v>
      </c>
      <c r="G771" s="13">
        <f>IF(INDEX(Glenn!$D:$D, 21)="", NA(), INDEX(Glenn!$L:$L, 21))</f>
        <v>46262</v>
      </c>
      <c r="H771" t="str">
        <f t="shared" si="25"/>
        <v>Glenn (Developer) - TICS_V2 - RnD - Penyelarasan Modul Underwriter Authority dan Master Ref Table serta Standarisasi Tombol Aksi Reusable di TICS v2.</v>
      </c>
    </row>
    <row r="772" spans="1:8" x14ac:dyDescent="0.2">
      <c r="A772" t="str">
        <f>IF(INDEX(Glenn!$D:$D, 22)="", NA(), "Glenn (Developer)")</f>
        <v>Glenn (Developer)</v>
      </c>
      <c r="B772" t="str">
        <f>IF(INDEX(Glenn!$D:$D, 22)="", NA(), INDEX(Glenn!$B:$B, 22))</f>
        <v>TICS_V2 - RnD</v>
      </c>
      <c r="C772" t="str">
        <f>IF(INDEX(Glenn!$D:$D, 22)="", NA(), INDEX(Glenn!$D:$D, 22))</f>
        <v>Implementasi Engine Penyimpanan File Fisik Lokal, Penyesuaian Batas Payload, dan Proxy Preview Berkas di TICS v2.</v>
      </c>
      <c r="D772" t="str">
        <f>IF(INDEX(Glenn!$D:$D, 22)="", NA(), INDEX(Glenn!$E:$E, 22))</f>
        <v>DONE</v>
      </c>
      <c r="E772" s="13">
        <f>IF(INDEX(Glenn!$D:$D, 22)="", NA(), INDEX(Glenn!$K:$K, 22))</f>
        <v>46260</v>
      </c>
      <c r="F772">
        <f t="shared" si="24"/>
        <v>2</v>
      </c>
      <c r="G772" s="13">
        <f>IF(INDEX(Glenn!$D:$D, 22)="", NA(), INDEX(Glenn!$L:$L, 22))</f>
        <v>46262</v>
      </c>
      <c r="H772" t="str">
        <f t="shared" si="25"/>
        <v>Glenn (Developer) - TICS_V2 - RnD - Implementasi Engine Penyimpanan File Fisik Lokal, Penyesuaian Batas Payload, dan Proxy Preview Berkas di TICS v2.</v>
      </c>
    </row>
    <row r="773" spans="1:8" x14ac:dyDescent="0.2">
      <c r="A773" t="str">
        <f>IF(INDEX(Glenn!$D:$D, 23)="", NA(), "Glenn (Developer)")</f>
        <v>Glenn (Developer)</v>
      </c>
      <c r="B773" t="str">
        <f>IF(INDEX(Glenn!$D:$D, 23)="", NA(), INDEX(Glenn!$B:$B, 23))</f>
        <v>DOTS</v>
      </c>
      <c r="C773" t="str">
        <f>IF(INDEX(Glenn!$D:$D, 23)="", NA(), INDEX(Glenn!$D:$D, 23))</f>
        <v>Refactor dan Optimasi Create Transaction DOTS dengan Asynchronous SharePoint Queue.</v>
      </c>
      <c r="D773" t="str">
        <f>IF(INDEX(Glenn!$D:$D, 23)="", NA(), INDEX(Glenn!$E:$E, 23))</f>
        <v>DONE</v>
      </c>
      <c r="E773" s="13">
        <f>IF(INDEX(Glenn!$D:$D, 23)="", NA(), INDEX(Glenn!$K:$K, 23))</f>
        <v>46265</v>
      </c>
      <c r="F773">
        <f t="shared" si="24"/>
        <v>1</v>
      </c>
      <c r="G773" s="13">
        <f>IF(INDEX(Glenn!$D:$D, 23)="", NA(), INDEX(Glenn!$L:$L, 23))</f>
        <v>46265</v>
      </c>
      <c r="H773" t="str">
        <f t="shared" si="25"/>
        <v>Glenn (Developer) - DOTS - Refactor dan Optimasi Create Transaction DOTS dengan Asynchronous SharePoint Queue.</v>
      </c>
    </row>
    <row r="774" spans="1:8" x14ac:dyDescent="0.2">
      <c r="A774" t="str">
        <f>IF(INDEX(Glenn!$D:$D, 24)="", NA(), "Glenn (Developer)")</f>
        <v>Glenn (Developer)</v>
      </c>
      <c r="B774" t="str">
        <f>IF(INDEX(Glenn!$D:$D, 24)="", NA(), INDEX(Glenn!$B:$B, 24))</f>
        <v>DOTS</v>
      </c>
      <c r="C774" t="str">
        <f>IF(INDEX(Glenn!$D:$D, 24)="", NA(), INDEX(Glenn!$D:$D, 24))</f>
        <v>Penanganan cold start delay pada endpoint /api/dots-approval di TKYC.</v>
      </c>
      <c r="D774" t="str">
        <f>IF(INDEX(Glenn!$D:$D, 24)="", NA(), INDEX(Glenn!$E:$E, 24))</f>
        <v>DONE</v>
      </c>
      <c r="E774" s="13">
        <f>IF(INDEX(Glenn!$D:$D, 24)="", NA(), INDEX(Glenn!$K:$K, 24))</f>
        <v>46266</v>
      </c>
      <c r="F774">
        <f t="shared" si="24"/>
        <v>1</v>
      </c>
      <c r="G774" s="13">
        <f>IF(INDEX(Glenn!$D:$D, 24)="", NA(), INDEX(Glenn!$L:$L, 24))</f>
        <v>46266</v>
      </c>
      <c r="H774" t="str">
        <f t="shared" si="25"/>
        <v>Glenn (Developer) - DOTS - Penanganan cold start delay pada endpoint /api/dots-approval di TKYC.</v>
      </c>
    </row>
    <row r="775" spans="1:8" x14ac:dyDescent="0.2">
      <c r="A775" t="str">
        <f>IF(INDEX(Glenn!$D:$D, 25)="", NA(), "Glenn (Developer)")</f>
        <v>Glenn (Developer)</v>
      </c>
      <c r="B775" t="str">
        <f>IF(INDEX(Glenn!$D:$D, 25)="", NA(), INDEX(Glenn!$B:$B, 25))</f>
        <v>DOTS</v>
      </c>
      <c r="C775" t="str">
        <f>IF(INDEX(Glenn!$D:$D, 25)="", NA(), INDEX(Glenn!$D:$D, 25))</f>
        <v>Dual-Mode SharePoint Provisioning &amp; Code Quality Hardening (api-dots)</v>
      </c>
      <c r="D775" t="str">
        <f>IF(INDEX(Glenn!$D:$D, 25)="", NA(), INDEX(Glenn!$E:$E, 25))</f>
        <v>DONE</v>
      </c>
      <c r="E775" s="13">
        <f>IF(INDEX(Glenn!$D:$D, 25)="", NA(), INDEX(Glenn!$K:$K, 25))</f>
        <v>46267</v>
      </c>
      <c r="F775">
        <f t="shared" si="24"/>
        <v>1</v>
      </c>
      <c r="G775" s="13">
        <f>IF(INDEX(Glenn!$D:$D, 25)="", NA(), INDEX(Glenn!$L:$L, 25))</f>
        <v>46267</v>
      </c>
      <c r="H775" t="str">
        <f t="shared" si="25"/>
        <v>Glenn (Developer) - DOTS - Dual-Mode SharePoint Provisioning &amp; Code Quality Hardening (api-dots)</v>
      </c>
    </row>
    <row r="776" spans="1:8" x14ac:dyDescent="0.2">
      <c r="A776" t="str">
        <f>IF(INDEX(Glenn!$D:$D, 26)="", NA(), "Glenn (Developer)")</f>
        <v>Glenn (Developer)</v>
      </c>
      <c r="B776" t="str">
        <f>IF(INDEX(Glenn!$D:$D, 26)="", NA(), INDEX(Glenn!$B:$B, 26))</f>
        <v>DOTS</v>
      </c>
      <c r="C776" t="str">
        <f>IF(INDEX(Glenn!$D:$D, 26)="", NA(), INDEX(Glenn!$D:$D, 26))</f>
        <v>Refactor lanjutan terkait pengurangan god object dan setup aturan job worker pada api-dots</v>
      </c>
      <c r="D776" t="str">
        <f>IF(INDEX(Glenn!$D:$D, 26)="", NA(), INDEX(Glenn!$E:$E, 26))</f>
        <v>DONE</v>
      </c>
      <c r="E776" s="13">
        <f>IF(INDEX(Glenn!$D:$D, 26)="", NA(), INDEX(Glenn!$K:$K, 26))</f>
        <v>46268</v>
      </c>
      <c r="F776">
        <f t="shared" si="24"/>
        <v>1</v>
      </c>
      <c r="G776" s="13">
        <f>IF(INDEX(Glenn!$D:$D, 26)="", NA(), INDEX(Glenn!$L:$L, 26))</f>
        <v>46268</v>
      </c>
      <c r="H776" t="str">
        <f t="shared" si="25"/>
        <v>Glenn (Developer) - DOTS - Refactor lanjutan terkait pengurangan god object dan setup aturan job worker pada api-dots</v>
      </c>
    </row>
    <row r="777" spans="1:8" x14ac:dyDescent="0.2">
      <c r="A777" t="str">
        <f>IF(INDEX(Glenn!$D:$D, 27)="", NA(), "Glenn (Developer)")</f>
        <v>Glenn (Developer)</v>
      </c>
      <c r="B777" t="str">
        <f>IF(INDEX(Glenn!$D:$D, 27)="", NA(), INDEX(Glenn!$B:$B, 27))</f>
        <v>DOTS</v>
      </c>
      <c r="C777" t="str">
        <f>IF(INDEX(Glenn!$D:$D, 27)="", NA(), INDEX(Glenn!$D:$D, 27))</f>
        <v>Meeting bersama user DOTS dan develop penyesuain dots terutama yang berhubungan cash and bank</v>
      </c>
      <c r="D777" t="str">
        <f>IF(INDEX(Glenn!$D:$D, 27)="", NA(), INDEX(Glenn!$E:$E, 27))</f>
        <v>DONE</v>
      </c>
      <c r="E777" s="13">
        <f>IF(INDEX(Glenn!$D:$D, 27)="", NA(), INDEX(Glenn!$K:$K, 27))</f>
        <v>46269</v>
      </c>
      <c r="F777">
        <f t="shared" si="24"/>
        <v>1</v>
      </c>
      <c r="G777" s="13">
        <f>IF(INDEX(Glenn!$D:$D, 27)="", NA(), INDEX(Glenn!$L:$L, 27))</f>
        <v>46269</v>
      </c>
      <c r="H777" t="str">
        <f t="shared" si="25"/>
        <v>Glenn (Developer) - DOTS - Meeting bersama user DOTS dan develop penyesuain dots terutama yang berhubungan cash and bank</v>
      </c>
    </row>
    <row r="778" spans="1:8" x14ac:dyDescent="0.2">
      <c r="A778" t="str">
        <f>IF(INDEX(Glenn!$D:$D, 28)="", NA(), "Glenn (Developer)")</f>
        <v>Glenn (Developer)</v>
      </c>
      <c r="B778" t="str">
        <f>IF(INDEX(Glenn!$D:$D, 28)="", NA(), INDEX(Glenn!$B:$B, 28))</f>
        <v>DOTS</v>
      </c>
      <c r="C778" t="str">
        <f>IF(INDEX(Glenn!$D:$D, 28)="", NA(), INDEX(Glenn!$D:$D, 28))</f>
        <v>Implementasi Focus-Based Collaborative Row Lock dan Release Cooldown pada Modul Cash &amp; Bank serta meeting progress bersama tim ERP TUGU</v>
      </c>
      <c r="D778" t="str">
        <f>IF(INDEX(Glenn!$D:$D, 28)="", NA(), INDEX(Glenn!$E:$E, 28))</f>
        <v>DONE</v>
      </c>
      <c r="E778" s="13">
        <f>IF(INDEX(Glenn!$D:$D, 28)="", NA(), INDEX(Glenn!$K:$K, 28))</f>
        <v>46269</v>
      </c>
      <c r="F778">
        <f t="shared" si="24"/>
        <v>3</v>
      </c>
      <c r="G778" s="13">
        <f>IF(INDEX(Glenn!$D:$D, 28)="", NA(), INDEX(Glenn!$L:$L, 28))</f>
        <v>46272</v>
      </c>
      <c r="H778" t="str">
        <f t="shared" si="25"/>
        <v>Glenn (Developer) - DOTS - Implementasi Focus-Based Collaborative Row Lock dan Release Cooldown pada Modul Cash &amp; Bank serta meeting progress bersama tim ERP TUGU</v>
      </c>
    </row>
    <row r="779" spans="1:8" x14ac:dyDescent="0.2">
      <c r="A779" t="str">
        <f>IF(INDEX(Glenn!$D:$D, 29)="", NA(), "Glenn (Developer)")</f>
        <v>Glenn (Developer)</v>
      </c>
      <c r="B779" t="str">
        <f>IF(INDEX(Glenn!$D:$D, 29)="", NA(), INDEX(Glenn!$B:$B, 29))</f>
        <v>DOTS</v>
      </c>
      <c r="C779" t="str">
        <f>IF(INDEX(Glenn!$D:$D, 29)="", NA(), INDEX(Glenn!$D:$D, 29))</f>
        <v>Implementasi Range Selection &amp; Multi-Row Copy ke SAP serta Refaktorisasi Cell Applicability pada Cash &amp; Bank Grid</v>
      </c>
      <c r="D779" t="str">
        <f>IF(INDEX(Glenn!$D:$D, 29)="", NA(), INDEX(Glenn!$E:$E, 29))</f>
        <v>DONE</v>
      </c>
      <c r="E779" s="13">
        <f>IF(INDEX(Glenn!$D:$D, 29)="", NA(), INDEX(Glenn!$K:$K, 29))</f>
        <v>46269</v>
      </c>
      <c r="F779">
        <f t="shared" si="24"/>
        <v>5</v>
      </c>
      <c r="G779" s="13">
        <f>IF(INDEX(Glenn!$D:$D, 29)="", NA(), INDEX(Glenn!$L:$L, 29))</f>
        <v>46274</v>
      </c>
      <c r="H779" t="str">
        <f t="shared" si="25"/>
        <v>Glenn (Developer) - DOTS - Implementasi Range Selection &amp; Multi-Row Copy ke SAP serta Refaktorisasi Cell Applicability pada Cash &amp; Bank Grid</v>
      </c>
    </row>
    <row r="780" spans="1:8" x14ac:dyDescent="0.2">
      <c r="A780" t="str">
        <f>IF(INDEX(Glenn!$D:$D, 30)="", NA(), "Glenn (Developer)")</f>
        <v>Glenn (Developer)</v>
      </c>
      <c r="B780" t="str">
        <f>IF(INDEX(Glenn!$D:$D, 30)="", NA(), INDEX(Glenn!$B:$B, 30))</f>
        <v>TICS - Policy Retail</v>
      </c>
      <c r="C780" t="str">
        <f>IF(INDEX(Glenn!$D:$D, 30)="", NA(), INDEX(Glenn!$D:$D, 30))</f>
        <v>Analisis Arsitektur Integrasi End-to-End Transaksi Polis ke SAP dan Monitoring Isu Integrasi TICS Policy Retail.</v>
      </c>
      <c r="D780" t="str">
        <f>IF(INDEX(Glenn!$D:$D, 30)="", NA(), INDEX(Glenn!$E:$E, 30))</f>
        <v>DONE</v>
      </c>
      <c r="E780" s="13">
        <f>IF(INDEX(Glenn!$D:$D, 30)="", NA(), INDEX(Glenn!$K:$K, 30))</f>
        <v>46274</v>
      </c>
      <c r="F780">
        <f t="shared" si="24"/>
        <v>1</v>
      </c>
      <c r="G780" s="13">
        <f>IF(INDEX(Glenn!$D:$D, 30)="", NA(), INDEX(Glenn!$L:$L, 30))</f>
        <v>46274</v>
      </c>
      <c r="H780" t="str">
        <f t="shared" si="25"/>
        <v>Glenn (Developer) - TICS - Policy Retail - Analisis Arsitektur Integrasi End-to-End Transaksi Polis ke SAP dan Monitoring Isu Integrasi TICS Policy Retail.</v>
      </c>
    </row>
    <row r="781" spans="1:8" x14ac:dyDescent="0.2">
      <c r="A781" t="str">
        <f>IF(INDEX(Glenn!$D:$D, 31)="", NA(), "Glenn (Developer)")</f>
        <v>Glenn (Developer)</v>
      </c>
      <c r="B781" t="str">
        <f>IF(INDEX(Glenn!$D:$D, 31)="", NA(), INDEX(Glenn!$B:$B, 31))</f>
        <v>DOTS</v>
      </c>
      <c r="C781" t="str">
        <f>IF(INDEX(Glenn!$D:$D, 31)="", NA(), INDEX(Glenn!$D:$D, 31))</f>
        <v>Action-Driven Batch Row Lock on Cell Selection</v>
      </c>
      <c r="D781" t="str">
        <f>IF(INDEX(Glenn!$D:$D, 31)="", NA(), INDEX(Glenn!$E:$E, 31))</f>
        <v>DONE</v>
      </c>
      <c r="E781" s="13">
        <f>IF(INDEX(Glenn!$D:$D, 31)="", NA(), INDEX(Glenn!$K:$K, 31))</f>
        <v>46275</v>
      </c>
      <c r="F781">
        <f t="shared" si="24"/>
        <v>1</v>
      </c>
      <c r="G781" s="13">
        <f>IF(INDEX(Glenn!$D:$D, 31)="", NA(), INDEX(Glenn!$L:$L, 31))</f>
        <v>46275</v>
      </c>
      <c r="H781" t="str">
        <f t="shared" si="25"/>
        <v>Glenn (Developer) - DOTS - Action-Driven Batch Row Lock on Cell Selection</v>
      </c>
    </row>
    <row r="782" spans="1:8" x14ac:dyDescent="0.2">
      <c r="A782" t="str">
        <f>IF(INDEX(Glenn!$D:$D, 32)="", NA(), "Glenn (Developer)")</f>
        <v>Glenn (Developer)</v>
      </c>
      <c r="B782" t="str">
        <f>IF(INDEX(Glenn!$D:$D, 32)="", NA(), INDEX(Glenn!$B:$B, 32))</f>
        <v>TICS - Policy Retail</v>
      </c>
      <c r="C782" t="str">
        <f>IF(INDEX(Glenn!$D:$D, 32)="", NA(), INDEX(Glenn!$D:$D, 32))</f>
        <v>Pendalaman Alur Bisnis Integrasi TICS–SAP dan Penyiapan Database Lokal.</v>
      </c>
      <c r="D782" t="str">
        <f>IF(INDEX(Glenn!$D:$D, 32)="", NA(), INDEX(Glenn!$E:$E, 32))</f>
        <v>DONE</v>
      </c>
      <c r="E782" s="13">
        <f>IF(INDEX(Glenn!$D:$D, 32)="", NA(), INDEX(Glenn!$K:$K, 32))</f>
        <v>46276</v>
      </c>
      <c r="F782">
        <f t="shared" si="24"/>
        <v>1</v>
      </c>
      <c r="G782" s="13">
        <f>IF(INDEX(Glenn!$D:$D, 32)="", NA(), INDEX(Glenn!$L:$L, 32))</f>
        <v>46276</v>
      </c>
      <c r="H782" t="str">
        <f t="shared" si="25"/>
        <v>Glenn (Developer) - TICS - Policy Retail - Pendalaman Alur Bisnis Integrasi TICS–SAP dan Penyiapan Database Lokal.</v>
      </c>
    </row>
    <row r="783" spans="1:8" x14ac:dyDescent="0.2">
      <c r="A783" t="str">
        <f>IF(INDEX(Glenn!$D:$D, 33)="", NA(), "Glenn (Developer)")</f>
        <v>Glenn (Developer)</v>
      </c>
      <c r="B783" t="str">
        <f>IF(INDEX(Glenn!$D:$D, 33)="", NA(), INDEX(Glenn!$B:$B, 33))</f>
        <v>TICS - Policy Retail</v>
      </c>
      <c r="C783" t="str">
        <f>IF(INDEX(Glenn!$D:$D, 33)="", NA(), INDEX(Glenn!$D:$D, 33))</f>
        <v>Audit Prosedur Enforce Polis Database dan Analisis Arsitektur Refactoring.</v>
      </c>
      <c r="D783" t="str">
        <f>IF(INDEX(Glenn!$D:$D, 33)="", NA(), INDEX(Glenn!$E:$E, 33))</f>
        <v>DONE</v>
      </c>
      <c r="E783" s="13">
        <f>IF(INDEX(Glenn!$D:$D, 33)="", NA(), INDEX(Glenn!$K:$K, 33))</f>
        <v>46279</v>
      </c>
      <c r="F783">
        <f t="shared" si="24"/>
        <v>1</v>
      </c>
      <c r="G783" s="13">
        <f>IF(INDEX(Glenn!$D:$D, 33)="", NA(), INDEX(Glenn!$L:$L, 33))</f>
        <v>46279</v>
      </c>
      <c r="H783" t="str">
        <f t="shared" si="25"/>
        <v>Glenn (Developer) - TICS - Policy Retail - Audit Prosedur Enforce Polis Database dan Analisis Arsitektur Refactoring.</v>
      </c>
    </row>
    <row r="784" spans="1:8" x14ac:dyDescent="0.2">
      <c r="A784" t="str">
        <f>IF(INDEX(Glenn!$D:$D, 34)="", NA(), "Glenn (Developer)")</f>
        <v>Glenn (Developer)</v>
      </c>
      <c r="B784" t="str">
        <f>IF(INDEX(Glenn!$D:$D, 34)="", NA(), INDEX(Glenn!$B:$B, 34))</f>
        <v>TICS - Policy Retail</v>
      </c>
      <c r="C784" t="str">
        <f>IF(INDEX(Glenn!$D:$D, 34)="", NA(), INDEX(Glenn!$D:$D, 34))</f>
        <v>UI Improvement pada halaman home tics retail mass product</v>
      </c>
      <c r="D784" t="str">
        <f>IF(INDEX(Glenn!$D:$D, 34)="", NA(), INDEX(Glenn!$E:$E, 34))</f>
        <v>DONE</v>
      </c>
      <c r="E784" s="13">
        <f>IF(INDEX(Glenn!$D:$D, 34)="", NA(), INDEX(Glenn!$K:$K, 34))</f>
        <v>46280</v>
      </c>
      <c r="F784">
        <f t="shared" si="24"/>
        <v>1</v>
      </c>
      <c r="G784" s="13">
        <f>IF(INDEX(Glenn!$D:$D, 34)="", NA(), INDEX(Glenn!$L:$L, 34))</f>
        <v>46280</v>
      </c>
      <c r="H784" t="str">
        <f t="shared" si="25"/>
        <v>Glenn (Developer) - TICS - Policy Retail - UI Improvement pada halaman home tics retail mass product</v>
      </c>
    </row>
    <row r="785" spans="1:8" x14ac:dyDescent="0.2">
      <c r="A785" t="str">
        <f>IF(INDEX(Glenn!$D:$D, 35)="", NA(), "Glenn (Developer)")</f>
        <v>Glenn (Developer)</v>
      </c>
      <c r="B785" t="str">
        <f>IF(INDEX(Glenn!$D:$D, 35)="", NA(), INDEX(Glenn!$B:$B, 35))</f>
        <v>DOTS</v>
      </c>
      <c r="C785" t="str">
        <f>IF(INDEX(Glenn!$D:$D, 35)="", NA(), INDEX(Glenn!$D:$D, 35))</f>
        <v>Implementasi Fitur Rollback Status Pembayaran Cash &amp; Bank (*060 ke *050)</v>
      </c>
      <c r="D785" t="str">
        <f>IF(INDEX(Glenn!$D:$D, 35)="", NA(), INDEX(Glenn!$E:$E, 35))</f>
        <v>DONE</v>
      </c>
      <c r="E785" s="13">
        <f>IF(INDEX(Glenn!$D:$D, 35)="", NA(), INDEX(Glenn!$K:$K, 35))</f>
        <v>46281</v>
      </c>
      <c r="F785">
        <f t="shared" si="24"/>
        <v>1</v>
      </c>
      <c r="G785" s="13">
        <f>IF(INDEX(Glenn!$D:$D, 35)="", NA(), INDEX(Glenn!$L:$L, 35))</f>
        <v>46281</v>
      </c>
      <c r="H785" t="str">
        <f t="shared" si="25"/>
        <v>Glenn (Developer) - DOTS - Implementasi Fitur Rollback Status Pembayaran Cash &amp; Bank (*060 ke *050)</v>
      </c>
    </row>
    <row r="786" spans="1:8" x14ac:dyDescent="0.2">
      <c r="A786" t="str">
        <f>IF(INDEX(Glenn!$D:$D, 36)="", NA(), "Glenn (Developer)")</f>
        <v>Glenn (Developer)</v>
      </c>
      <c r="B786" t="str">
        <f>IF(INDEX(Glenn!$D:$D, 36)="", NA(), INDEX(Glenn!$B:$B, 36))</f>
        <v>TICS - Policy Retail</v>
      </c>
      <c r="C786" t="str">
        <f>IF(INDEX(Glenn!$D:$D, 36)="", NA(), INDEX(Glenn!$D:$D, 36))</f>
        <v>Modernisasi dan Optimalisasi Responsivitas Tampilan Dashboard TICS Retail Non-MV</v>
      </c>
      <c r="D786" t="str">
        <f>IF(INDEX(Glenn!$D:$D, 36)="", NA(), INDEX(Glenn!$E:$E, 36))</f>
        <v>DONE</v>
      </c>
      <c r="E786" s="13">
        <f>IF(INDEX(Glenn!$D:$D, 36)="", NA(), INDEX(Glenn!$K:$K, 36))</f>
        <v>46282</v>
      </c>
      <c r="F786">
        <f t="shared" si="24"/>
        <v>1</v>
      </c>
      <c r="G786" s="13">
        <f>IF(INDEX(Glenn!$D:$D, 36)="", NA(), INDEX(Glenn!$L:$L, 36))</f>
        <v>46282</v>
      </c>
      <c r="H786" t="str">
        <f t="shared" si="25"/>
        <v>Glenn (Developer) - TICS - Policy Retail - Modernisasi dan Optimalisasi Responsivitas Tampilan Dashboard TICS Retail Non-MV</v>
      </c>
    </row>
    <row r="787" spans="1:8" x14ac:dyDescent="0.2">
      <c r="A787" t="str">
        <f>IF(INDEX(Glenn!$D:$D, 37)="", NA(), "Glenn (Developer)")</f>
        <v>Glenn (Developer)</v>
      </c>
      <c r="B787" t="str">
        <f>IF(INDEX(Glenn!$D:$D, 37)="", NA(), INDEX(Glenn!$B:$B, 37))</f>
        <v>TICS - Policy Retail</v>
      </c>
      <c r="C787" t="str">
        <f>IF(INDEX(Glenn!$D:$D, 37)="", NA(), INDEX(Glenn!$D:$D, 37))</f>
        <v>Query alignment untuk hanya mendapatkan data acceptance non-mv dan retail</v>
      </c>
      <c r="D787" t="str">
        <f>IF(INDEX(Glenn!$D:$D, 37)="", NA(), INDEX(Glenn!$E:$E, 37))</f>
        <v>DONE</v>
      </c>
      <c r="E787" s="13">
        <f>IF(INDEX(Glenn!$D:$D, 37)="", NA(), INDEX(Glenn!$K:$K, 37))</f>
        <v>46283</v>
      </c>
      <c r="F787">
        <f t="shared" si="24"/>
        <v>1</v>
      </c>
      <c r="G787" s="13">
        <f>IF(INDEX(Glenn!$D:$D, 37)="", NA(), INDEX(Glenn!$L:$L, 37))</f>
        <v>46283</v>
      </c>
      <c r="H787" t="str">
        <f t="shared" si="25"/>
        <v>Glenn (Developer) - TICS - Policy Retail - Query alignment untuk hanya mendapatkan data acceptance non-mv dan retail</v>
      </c>
    </row>
    <row r="788" spans="1:8" x14ac:dyDescent="0.2">
      <c r="A788" t="str">
        <f>IF(INDEX(Glenn!$D:$D, 38)="", NA(), "Glenn (Developer)")</f>
        <v>Glenn (Developer)</v>
      </c>
      <c r="B788" t="str">
        <f>IF(INDEX(Glenn!$D:$D, 38)="", NA(), INDEX(Glenn!$B:$B, 38))</f>
        <v>TICS - Policy Retail</v>
      </c>
      <c r="C788" t="str">
        <f>IF(INDEX(Glenn!$D:$D, 38)="", NA(), INDEX(Glenn!$D:$D, 38))</f>
        <v>Pembaruan UI Halaman Login dengan Identitas Retail Non-MV dan mengaragkan direct link modules selain policy automation ke tics corp</v>
      </c>
      <c r="D788" t="str">
        <f>IF(INDEX(Glenn!$D:$D, 38)="", NA(), INDEX(Glenn!$E:$E, 38))</f>
        <v>DONE</v>
      </c>
      <c r="E788" s="13">
        <f>IF(INDEX(Glenn!$D:$D, 38)="", NA(), INDEX(Glenn!$K:$K, 38))</f>
        <v>46286</v>
      </c>
      <c r="F788">
        <f t="shared" si="24"/>
        <v>1</v>
      </c>
      <c r="G788" s="13">
        <f>IF(INDEX(Glenn!$D:$D, 38)="", NA(), INDEX(Glenn!$L:$L, 38))</f>
        <v>46286</v>
      </c>
      <c r="H788" t="str">
        <f t="shared" si="25"/>
        <v>Glenn (Developer) - TICS - Policy Retail - Pembaruan UI Halaman Login dengan Identitas Retail Non-MV dan mengaragkan direct link modules selain policy automation ke tics corp</v>
      </c>
    </row>
    <row r="789" spans="1:8" x14ac:dyDescent="0.2">
      <c r="A789" t="str">
        <f>IF(INDEX(Glenn!$D:$D, 39)="", NA(), "Glenn (Developer)")</f>
        <v>Glenn (Developer)</v>
      </c>
      <c r="B789" t="str">
        <f>IF(INDEX(Glenn!$D:$D, 39)="", NA(), INDEX(Glenn!$B:$B, 39))</f>
        <v>TICS - Policy Retail</v>
      </c>
      <c r="C789" t="str">
        <f>IF(INDEX(Glenn!$D:$D, 39)="", NA(), INDEX(Glenn!$D:$D, 39))</f>
        <v>Investigasi Kendala Latensi Ekstrem pada Query Data Premium Overdue</v>
      </c>
      <c r="D789" t="str">
        <f>IF(INDEX(Glenn!$D:$D, 39)="", NA(), INDEX(Glenn!$E:$E, 39))</f>
        <v>DONE</v>
      </c>
      <c r="E789" s="13">
        <f>IF(INDEX(Glenn!$D:$D, 39)="", NA(), INDEX(Glenn!$K:$K, 39))</f>
        <v>46287</v>
      </c>
      <c r="F789">
        <f t="shared" si="24"/>
        <v>1</v>
      </c>
      <c r="G789" s="13">
        <f>IF(INDEX(Glenn!$D:$D, 39)="", NA(), INDEX(Glenn!$L:$L, 39))</f>
        <v>46287</v>
      </c>
      <c r="H789" t="str">
        <f t="shared" si="25"/>
        <v>Glenn (Developer) - TICS - Policy Retail - Investigasi Kendala Latensi Ekstrem pada Query Data Premium Overdue</v>
      </c>
    </row>
    <row r="790" spans="1:8" x14ac:dyDescent="0.2">
      <c r="A790" t="str">
        <f>IF(INDEX(Glenn!$D:$D, 40)="", NA(), "Glenn (Developer)")</f>
        <v>Glenn (Developer)</v>
      </c>
      <c r="B790" t="str">
        <f>IF(INDEX(Glenn!$D:$D, 40)="", NA(), INDEX(Glenn!$B:$B, 40))</f>
        <v>TICS - Policy Retail</v>
      </c>
      <c r="C790" t="str">
        <f>IF(INDEX(Glenn!$D:$D, 40)="", NA(), INDEX(Glenn!$D:$D, 40))</f>
        <v xml:space="preserve">Diskusi dan PR ke mas Riyan terkait penyesuaian query dan route tics policy retail </v>
      </c>
      <c r="D790" t="str">
        <f>IF(INDEX(Glenn!$D:$D, 40)="", NA(), INDEX(Glenn!$E:$E, 40))</f>
        <v>DONE</v>
      </c>
      <c r="E790" s="13">
        <f>IF(INDEX(Glenn!$D:$D, 40)="", NA(), INDEX(Glenn!$K:$K, 40))</f>
        <v>46288</v>
      </c>
      <c r="F790">
        <f t="shared" si="24"/>
        <v>1</v>
      </c>
      <c r="G790" s="13">
        <f>IF(INDEX(Glenn!$D:$D, 40)="", NA(), INDEX(Glenn!$L:$L, 40))</f>
        <v>46288</v>
      </c>
      <c r="H790" t="str">
        <f t="shared" si="25"/>
        <v xml:space="preserve">Glenn (Developer) - TICS - Policy Retail - Diskusi dan PR ke mas Riyan terkait penyesuaian query dan route tics policy retail </v>
      </c>
    </row>
    <row r="791" spans="1:8" x14ac:dyDescent="0.2">
      <c r="A791" t="str">
        <f>IF(INDEX(Glenn!$D:$D, 41)="", NA(), "Glenn (Developer)")</f>
        <v>Glenn (Developer)</v>
      </c>
      <c r="B791" t="str">
        <f>IF(INDEX(Glenn!$D:$D, 41)="", NA(), INDEX(Glenn!$B:$B, 41))</f>
        <v>TICS - Policy Retail</v>
      </c>
      <c r="C791" t="str">
        <f>IF(INDEX(Glenn!$D:$D, 41)="", NA(), INDEX(Glenn!$D:$D, 41))</f>
        <v>Sentralisasi Base URL dan Routing Dinamis Berdasarkan Konfigurasi APP_URL</v>
      </c>
      <c r="D791" t="str">
        <f>IF(INDEX(Glenn!$D:$D, 41)="", NA(), INDEX(Glenn!$E:$E, 41))</f>
        <v>DONE</v>
      </c>
      <c r="E791" s="13">
        <f>IF(INDEX(Glenn!$D:$D, 41)="", NA(), INDEX(Glenn!$K:$K, 41))</f>
        <v>46289</v>
      </c>
      <c r="F791">
        <f t="shared" si="24"/>
        <v>1</v>
      </c>
      <c r="G791" s="13">
        <f>IF(INDEX(Glenn!$D:$D, 41)="", NA(), INDEX(Glenn!$L:$L, 41))</f>
        <v>46289</v>
      </c>
      <c r="H791" t="str">
        <f t="shared" si="25"/>
        <v>Glenn (Developer) - TICS - Policy Retail - Sentralisasi Base URL dan Routing Dinamis Berdasarkan Konfigurasi APP_URL</v>
      </c>
    </row>
    <row r="792" spans="1:8" x14ac:dyDescent="0.2">
      <c r="A792" t="str">
        <f>IF(INDEX(Glenn!$D:$D, 42)="", NA(), "Glenn (Developer)")</f>
        <v>Glenn (Developer)</v>
      </c>
      <c r="B792" t="str">
        <f>IF(INDEX(Glenn!$D:$D, 42)="", NA(), INDEX(Glenn!$B:$B, 42))</f>
        <v>TKYC</v>
      </c>
      <c r="C792" t="str">
        <f>IF(INDEX(Glenn!$D:$D, 42)="", NA(), INDEX(Glenn!$D:$D, 42))</f>
        <v>Resolusi 168 Kerentanan Dependabot pada Dependensi Python, NPM, dan Composer di TKYC.</v>
      </c>
      <c r="D792" t="str">
        <f>IF(INDEX(Glenn!$D:$D, 42)="", NA(), INDEX(Glenn!$E:$E, 42))</f>
        <v>DONE</v>
      </c>
      <c r="E792" s="13">
        <f>IF(INDEX(Glenn!$D:$D, 42)="", NA(), INDEX(Glenn!$K:$K, 42))</f>
        <v>46290</v>
      </c>
      <c r="F792">
        <f t="shared" si="24"/>
        <v>1</v>
      </c>
      <c r="G792" s="13">
        <f>IF(INDEX(Glenn!$D:$D, 42)="", NA(), INDEX(Glenn!$L:$L, 42))</f>
        <v>46290</v>
      </c>
      <c r="H792" t="str">
        <f t="shared" si="25"/>
        <v>Glenn (Developer) - TKYC - Resolusi 168 Kerentanan Dependabot pada Dependensi Python, NPM, dan Composer di TKYC.</v>
      </c>
    </row>
    <row r="793" spans="1:8" x14ac:dyDescent="0.2">
      <c r="A793" t="str">
        <f>IF(INDEX(Glenn!$D:$D, 43)="", NA(), "Glenn (Developer)")</f>
        <v>Glenn (Developer)</v>
      </c>
      <c r="B793" t="str">
        <f>IF(INDEX(Glenn!$D:$D, 43)="", NA(), INDEX(Glenn!$B:$B, 43))</f>
        <v>TKYC</v>
      </c>
      <c r="C793" t="str">
        <f>IF(INDEX(Glenn!$D:$D, 43)="", NA(), INDEX(Glenn!$D:$D, 43))</f>
        <v>Pembaruan Dependensi Composer Terkait Temuan Vulnerability Tambahan</v>
      </c>
      <c r="D793" t="str">
        <f>IF(INDEX(Glenn!$D:$D, 43)="", NA(), INDEX(Glenn!$E:$E, 43))</f>
        <v>DONE</v>
      </c>
      <c r="E793" s="13">
        <f>IF(INDEX(Glenn!$D:$D, 43)="", NA(), INDEX(Glenn!$K:$K, 43))</f>
        <v>46293</v>
      </c>
      <c r="F793">
        <f t="shared" si="24"/>
        <v>1</v>
      </c>
      <c r="G793" s="13">
        <f>IF(INDEX(Glenn!$D:$D, 43)="", NA(), INDEX(Glenn!$L:$L, 43))</f>
        <v>46293</v>
      </c>
      <c r="H793" t="str">
        <f t="shared" si="25"/>
        <v>Glenn (Developer) - TKYC - Pembaruan Dependensi Composer Terkait Temuan Vulnerability Tambahan</v>
      </c>
    </row>
    <row r="794" spans="1:8" x14ac:dyDescent="0.2">
      <c r="A794" t="str">
        <f>IF(INDEX(Glenn!$D:$D, 44)="", NA(), "Glenn (Developer)")</f>
        <v>Glenn (Developer)</v>
      </c>
      <c r="B794" t="str">
        <f>IF(INDEX(Glenn!$D:$D, 44)="", NA(), INDEX(Glenn!$B:$B, 44))</f>
        <v>TICS - Policy Retail</v>
      </c>
      <c r="C794" t="str">
        <f>IF(INDEX(Glenn!$D:$D, 44)="", NA(), INDEX(Glenn!$D:$D, 44))</f>
        <v>Audit Teknis dan Penyusunan Blueprint Optimasi Sistem TICS</v>
      </c>
      <c r="D794" t="str">
        <f>IF(INDEX(Glenn!$D:$D, 44)="", NA(), INDEX(Glenn!$E:$E, 44))</f>
        <v>DONE</v>
      </c>
      <c r="E794" s="13">
        <f>IF(INDEX(Glenn!$D:$D, 44)="", NA(), INDEX(Glenn!$K:$K, 44))</f>
        <v>46294</v>
      </c>
      <c r="F794">
        <f t="shared" si="24"/>
        <v>1</v>
      </c>
      <c r="G794" s="13">
        <f>IF(INDEX(Glenn!$D:$D, 44)="", NA(), INDEX(Glenn!$L:$L, 44))</f>
        <v>46294</v>
      </c>
      <c r="H794" t="str">
        <f t="shared" si="25"/>
        <v>Glenn (Developer) - TICS - Policy Retail - Audit Teknis dan Penyusunan Blueprint Optimasi Sistem TICS</v>
      </c>
    </row>
    <row r="795" spans="1:8" x14ac:dyDescent="0.2">
      <c r="A795" t="str">
        <f>IF(INDEX(Glenn!$D:$D, 45)="", NA(), "Glenn (Developer)")</f>
        <v>Glenn (Developer)</v>
      </c>
      <c r="B795" t="str">
        <f>IF(INDEX(Glenn!$D:$D, 45)="", NA(), INDEX(Glenn!$B:$B, 45))</f>
        <v>TICS - Policy Corp</v>
      </c>
      <c r="C795" t="str">
        <f>IF(INDEX(Glenn!$D:$D, 45)="", NA(), INDEX(Glenn!$D:$D, 45))</f>
        <v xml:space="preserve">Sharing Knowledge dengan Mas Egi (internal TUGU Insurance) terkait perbaikan format template document control pada TICS CORP </v>
      </c>
      <c r="D795" t="str">
        <f>IF(INDEX(Glenn!$D:$D, 45)="", NA(), INDEX(Glenn!$E:$E, 45))</f>
        <v>DONE</v>
      </c>
      <c r="E795" s="13">
        <f>IF(INDEX(Glenn!$D:$D, 45)="", NA(), INDEX(Glenn!$K:$K, 45))</f>
        <v>46295</v>
      </c>
      <c r="F795">
        <f t="shared" si="24"/>
        <v>1</v>
      </c>
      <c r="G795" s="13">
        <f>IF(INDEX(Glenn!$D:$D, 45)="", NA(), INDEX(Glenn!$L:$L, 45))</f>
        <v>46295</v>
      </c>
      <c r="H795" t="str">
        <f t="shared" si="25"/>
        <v xml:space="preserve">Glenn (Developer) - TICS - Policy Corp - Sharing Knowledge dengan Mas Egi (internal TUGU Insurance) terkait perbaikan format template document control pada TICS CORP </v>
      </c>
    </row>
    <row r="796" spans="1:8" x14ac:dyDescent="0.2">
      <c r="A796" t="str">
        <f>IF(INDEX(Glenn!$D:$D, 46)="", NA(), "Glenn (Developer)")</f>
        <v>Glenn (Developer)</v>
      </c>
      <c r="B796" t="str">
        <f>IF(INDEX(Glenn!$D:$D, 46)="", NA(), INDEX(Glenn!$B:$B, 46))</f>
        <v>TICS - Policy Corp</v>
      </c>
      <c r="C796" t="str">
        <f>IF(INDEX(Glenn!$D:$D, 46)="", NA(), INDEX(Glenn!$D:$D, 46))</f>
        <v xml:space="preserve">Perbaikan error saat ingin melakukan print dokumen output </v>
      </c>
      <c r="D796" t="str">
        <f>IF(INDEX(Glenn!$D:$D, 46)="", NA(), INDEX(Glenn!$E:$E, 46))</f>
        <v>DONE</v>
      </c>
      <c r="E796" s="13">
        <f>IF(INDEX(Glenn!$D:$D, 46)="", NA(), INDEX(Glenn!$K:$K, 46))</f>
        <v>46296</v>
      </c>
      <c r="F796">
        <f t="shared" si="24"/>
        <v>1</v>
      </c>
      <c r="G796" s="13">
        <f>IF(INDEX(Glenn!$D:$D, 46)="", NA(), INDEX(Glenn!$L:$L, 46))</f>
        <v>46296</v>
      </c>
      <c r="H796" t="str">
        <f t="shared" si="25"/>
        <v xml:space="preserve">Glenn (Developer) - TICS - Policy Corp - Perbaikan error saat ingin melakukan print dokumen output </v>
      </c>
    </row>
    <row r="797" spans="1:8" x14ac:dyDescent="0.2">
      <c r="A797" t="str">
        <f>IF(INDEX(Glenn!$D:$D, 47)="", NA(), "Glenn (Developer)")</f>
        <v>Glenn (Developer)</v>
      </c>
      <c r="B797" t="str">
        <f>IF(INDEX(Glenn!$D:$D, 47)="", NA(), INDEX(Glenn!$B:$B, 47))</f>
        <v>TICS - Policy Corp</v>
      </c>
      <c r="C797" t="str">
        <f>IF(INDEX(Glenn!$D:$D, 47)="", NA(), INDEX(Glenn!$D:$D, 47))</f>
        <v>Refaktorisasi OOP Modul Document Output dan Standarisasi Handler COB Fire</v>
      </c>
      <c r="D797" t="str">
        <f>IF(INDEX(Glenn!$D:$D, 47)="", NA(), INDEX(Glenn!$E:$E, 47))</f>
        <v>DONE</v>
      </c>
      <c r="E797" s="13">
        <f>IF(INDEX(Glenn!$D:$D, 47)="", NA(), INDEX(Glenn!$K:$K, 47))</f>
        <v>46297</v>
      </c>
      <c r="F797">
        <f t="shared" si="24"/>
        <v>1</v>
      </c>
      <c r="G797" s="13">
        <f>IF(INDEX(Glenn!$D:$D, 47)="", NA(), INDEX(Glenn!$L:$L, 47))</f>
        <v>46297</v>
      </c>
      <c r="H797" t="str">
        <f t="shared" si="25"/>
        <v>Glenn (Developer) - TICS - Policy Corp - Refaktorisasi OOP Modul Document Output dan Standarisasi Handler COB Fire</v>
      </c>
    </row>
    <row r="798" spans="1:8" x14ac:dyDescent="0.2">
      <c r="A798" t="str">
        <f>IF(INDEX(Glenn!$D:$D, 48)="", NA(), "Glenn (Developer)")</f>
        <v>Glenn (Developer)</v>
      </c>
      <c r="B798" t="str">
        <f>IF(INDEX(Glenn!$D:$D, 48)="", NA(), INDEX(Glenn!$B:$B, 48))</f>
        <v>TICS - Policy Corp</v>
      </c>
      <c r="C798" t="str">
        <f>IF(INDEX(Glenn!$D:$D, 48)="", NA(), INDEX(Glenn!$D:$D, 48))</f>
        <v>PR ke lingkungan UAT terkait perbaikan format output document COB Fire dan melakukan resolve terkait review PR yang dikembalikan</v>
      </c>
      <c r="D798" t="str">
        <f>IF(INDEX(Glenn!$D:$D, 48)="", NA(), INDEX(Glenn!$E:$E, 48))</f>
        <v>DONE</v>
      </c>
      <c r="E798" s="13">
        <f>IF(INDEX(Glenn!$D:$D, 48)="", NA(), INDEX(Glenn!$K:$K, 48))</f>
        <v>46300</v>
      </c>
      <c r="F798">
        <f t="shared" si="24"/>
        <v>1</v>
      </c>
      <c r="G798" s="13">
        <f>IF(INDEX(Glenn!$D:$D, 48)="", NA(), INDEX(Glenn!$L:$L, 48))</f>
        <v>46300</v>
      </c>
      <c r="H798" t="str">
        <f t="shared" si="25"/>
        <v>Glenn (Developer) - TICS - Policy Corp - PR ke lingkungan UAT terkait perbaikan format output document COB Fire dan melakukan resolve terkait review PR yang dikembalikan</v>
      </c>
    </row>
    <row r="799" spans="1:8" x14ac:dyDescent="0.2">
      <c r="A799" t="str">
        <f>IF(INDEX(Glenn!$D:$D, 49)="", NA(), "Glenn (Developer)")</f>
        <v>Glenn (Developer)</v>
      </c>
      <c r="B799" t="str">
        <f>IF(INDEX(Glenn!$D:$D, 49)="", NA(), INDEX(Glenn!$B:$B, 49))</f>
        <v>TICS - Policy Corp</v>
      </c>
      <c r="C799" t="str">
        <f>IF(INDEX(Glenn!$D:$D, 49)="", NA(), INDEX(Glenn!$D:$D, 49))</f>
        <v>Optimalisasi Layout dan Perbaikan Format Output Dokumen Polis Fire (POLICY – FIRE EQ SIMPLE RISK - FLEXAS+ &amp; EQVET)</v>
      </c>
      <c r="D799" t="str">
        <f>IF(INDEX(Glenn!$D:$D, 49)="", NA(), INDEX(Glenn!$E:$E, 49))</f>
        <v>IN_PROGRESS</v>
      </c>
      <c r="E799" s="13">
        <f>IF(INDEX(Glenn!$D:$D, 49)="", NA(), INDEX(Glenn!$K:$K, 49))</f>
        <v>46300</v>
      </c>
      <c r="F799">
        <f t="shared" si="24"/>
        <v>5</v>
      </c>
      <c r="G799" s="13">
        <f>IF(INDEX(Glenn!$D:$D, 49)="", NA(), INDEX(Glenn!$L:$L, 49))</f>
        <v>46305</v>
      </c>
      <c r="H799" t="str">
        <f t="shared" si="25"/>
        <v>Glenn (Developer) - TICS - Policy Corp - Optimalisasi Layout dan Perbaikan Format Output Dokumen Polis Fire (POLICY – FIRE EQ SIMPLE RISK - FLEXAS+ &amp; EQVET)</v>
      </c>
    </row>
    <row r="800" spans="1:8" x14ac:dyDescent="0.2">
      <c r="A800" t="str">
        <f>IF(INDEX(Glenn!$D:$D, 50)="", NA(), "Glenn (Developer)")</f>
        <v>Glenn (Developer)</v>
      </c>
      <c r="B800" t="str">
        <f>IF(INDEX(Glenn!$D:$D, 50)="", NA(), INDEX(Glenn!$B:$B, 50))</f>
        <v>TICS - Policy Corp</v>
      </c>
      <c r="C800" t="str">
        <f>IF(INDEX(Glenn!$D:$D, 50)="", NA(), INDEX(Glenn!$D:$D, 50))</f>
        <v>Penyesuaian document output untuk COB FIRE template POLICY – FIRE EQ SIMPLE RISK - FLEXAS+ &amp; EQVET terhadap polis yang punya multiple object list</v>
      </c>
      <c r="D800" t="str">
        <f>IF(INDEX(Glenn!$D:$D, 50)="", NA(), INDEX(Glenn!$E:$E, 50))</f>
        <v>DONE</v>
      </c>
      <c r="E800" s="13">
        <f>IF(INDEX(Glenn!$D:$D, 50)="", NA(), INDEX(Glenn!$K:$K, 50))</f>
        <v>46304</v>
      </c>
      <c r="F800">
        <f t="shared" si="24"/>
        <v>8</v>
      </c>
      <c r="G800" s="13">
        <f>IF(INDEX(Glenn!$D:$D, 50)="", NA(), INDEX(Glenn!$L:$L, 50))</f>
        <v>46312</v>
      </c>
      <c r="H800" t="str">
        <f t="shared" si="25"/>
        <v>Glenn (Developer) - TICS - Policy Corp - Penyesuaian document output untuk COB FIRE template POLICY – FIRE EQ SIMPLE RISK - FLEXAS+ &amp; EQVET terhadap polis yang punya multiple object list</v>
      </c>
    </row>
    <row r="801" spans="1:8" x14ac:dyDescent="0.2">
      <c r="A801" t="str">
        <f>IF(INDEX(Glenn!$D:$D, 51)="", NA(), "Glenn (Developer)")</f>
        <v>Glenn (Developer)</v>
      </c>
      <c r="B801" t="str">
        <f>IF(INDEX(Glenn!$D:$D, 51)="", NA(), INDEX(Glenn!$B:$B, 51))</f>
        <v>DOTS</v>
      </c>
      <c r="C801" t="str">
        <f>IF(INDEX(Glenn!$D:$D, 51)="", NA(), INDEX(Glenn!$D:$D, 51))</f>
        <v>Fix Kegagalan CI Unit Test pada SQLite In-Memory</v>
      </c>
      <c r="D801" t="str">
        <f>IF(INDEX(Glenn!$D:$D, 51)="", NA(), INDEX(Glenn!$E:$E, 51))</f>
        <v>DONE</v>
      </c>
      <c r="E801" s="13">
        <f>IF(INDEX(Glenn!$D:$D, 51)="", NA(), INDEX(Glenn!$K:$K, 51))</f>
        <v>46308</v>
      </c>
      <c r="F801">
        <f t="shared" si="24"/>
        <v>1</v>
      </c>
      <c r="G801" s="13">
        <f>IF(INDEX(Glenn!$D:$D, 51)="", NA(), INDEX(Glenn!$L:$L, 51))</f>
        <v>46308</v>
      </c>
      <c r="H801" t="str">
        <f t="shared" si="25"/>
        <v>Glenn (Developer) - DOTS - Fix Kegagalan CI Unit Test pada SQLite In-Memory</v>
      </c>
    </row>
    <row r="802" spans="1:8" x14ac:dyDescent="0.2">
      <c r="A802" t="str">
        <f>IF(INDEX(Glenn!$D:$D, 52)="", NA(), "Glenn (Developer)")</f>
        <v>Glenn (Developer)</v>
      </c>
      <c r="B802" t="str">
        <f>IF(INDEX(Glenn!$D:$D, 52)="", NA(), INDEX(Glenn!$B:$B, 52))</f>
        <v>DOTS</v>
      </c>
      <c r="C802" t="str">
        <f>IF(INDEX(Glenn!$D:$D, 52)="", NA(), INDEX(Glenn!$D:$D, 52))</f>
        <v>Fix Provisioning SharePoint &amp; Sinkronisasi Path Folder Transaksi Budget</v>
      </c>
      <c r="D802" t="str">
        <f>IF(INDEX(Glenn!$D:$D, 52)="", NA(), INDEX(Glenn!$E:$E, 52))</f>
        <v>DONE</v>
      </c>
      <c r="E802" s="13">
        <f>IF(INDEX(Glenn!$D:$D, 52)="", NA(), INDEX(Glenn!$K:$K, 52))</f>
        <v>46309</v>
      </c>
      <c r="F802">
        <f t="shared" si="24"/>
        <v>1</v>
      </c>
      <c r="G802" s="13">
        <f>IF(INDEX(Glenn!$D:$D, 52)="", NA(), INDEX(Glenn!$L:$L, 52))</f>
        <v>46309</v>
      </c>
      <c r="H802" t="str">
        <f t="shared" si="25"/>
        <v>Glenn (Developer) - DOTS - Fix Provisioning SharePoint &amp; Sinkronisasi Path Folder Transaksi Budget</v>
      </c>
    </row>
    <row r="803" spans="1:8" x14ac:dyDescent="0.2">
      <c r="A803" t="str">
        <f>IF(INDEX(Glenn!$D:$D, 53)="", NA(), "Glenn (Developer)")</f>
        <v>Glenn (Developer)</v>
      </c>
      <c r="B803" t="str">
        <f>IF(INDEX(Glenn!$D:$D, 53)="", NA(), INDEX(Glenn!$B:$B, 53))</f>
        <v>DOTS</v>
      </c>
      <c r="C803" t="str">
        <f>IF(INDEX(Glenn!$D:$D, 53)="", NA(), INDEX(Glenn!$D:$D, 53))</f>
        <v>Proteksi Scheduler Retry SharePoint &amp; Penanganan Transaksi Historis</v>
      </c>
      <c r="D803" t="str">
        <f>IF(INDEX(Glenn!$D:$D, 53)="", NA(), INDEX(Glenn!$E:$E, 53))</f>
        <v>DONE</v>
      </c>
      <c r="E803" s="13">
        <f>IF(INDEX(Glenn!$D:$D, 53)="", NA(), INDEX(Glenn!$K:$K, 53))</f>
        <v>46310</v>
      </c>
      <c r="F803">
        <f t="shared" si="24"/>
        <v>1</v>
      </c>
      <c r="G803" s="13">
        <f>IF(INDEX(Glenn!$D:$D, 53)="", NA(), INDEX(Glenn!$L:$L, 53))</f>
        <v>46310</v>
      </c>
      <c r="H803" t="str">
        <f t="shared" si="25"/>
        <v>Glenn (Developer) - DOTS - Proteksi Scheduler Retry SharePoint &amp; Penanganan Transaksi Historis</v>
      </c>
    </row>
    <row r="804" spans="1:8" x14ac:dyDescent="0.2">
      <c r="A804" t="str">
        <f>IF(INDEX(Glenn!$D:$D, 54)="", NA(), "Glenn (Developer)")</f>
        <v>Glenn (Developer)</v>
      </c>
      <c r="B804" t="str">
        <f>IF(INDEX(Glenn!$D:$D, 54)="", NA(), INDEX(Glenn!$B:$B, 54))</f>
        <v>TICS - Policy Corp</v>
      </c>
      <c r="C804" t="str">
        <f>IF(INDEX(Glenn!$D:$D, 54)="", NA(), INDEX(Glenn!$D:$D, 54))</f>
        <v>Refactoring Polimorfisme Output Dokumen &amp; Rincian Suku Premi Fire</v>
      </c>
      <c r="D804" t="str">
        <f>IF(INDEX(Glenn!$D:$D, 54)="", NA(), INDEX(Glenn!$E:$E, 54))</f>
        <v>DONE</v>
      </c>
      <c r="E804" s="13">
        <f>IF(INDEX(Glenn!$D:$D, 54)="", NA(), INDEX(Glenn!$K:$K, 54))</f>
        <v>46311</v>
      </c>
      <c r="F804">
        <f t="shared" si="24"/>
        <v>1</v>
      </c>
      <c r="G804" s="13">
        <f>IF(INDEX(Glenn!$D:$D, 54)="", NA(), INDEX(Glenn!$L:$L, 54))</f>
        <v>46311</v>
      </c>
      <c r="H804" t="str">
        <f t="shared" si="25"/>
        <v>Glenn (Developer) - TICS - Policy Corp - Refactoring Polimorfisme Output Dokumen &amp; Rincian Suku Premi Fire</v>
      </c>
    </row>
    <row r="805" spans="1:8" x14ac:dyDescent="0.2">
      <c r="A805" t="str">
        <f>IF(INDEX(Glenn!$D:$D, 55)="", NA(), "Glenn (Developer)")</f>
        <v>Glenn (Developer)</v>
      </c>
      <c r="B805" t="str">
        <f>IF(INDEX(Glenn!$D:$D, 55)="", NA(), INDEX(Glenn!$B:$B, 55))</f>
        <v>TICS - Policy Corp</v>
      </c>
      <c r="C805" t="str">
        <f>IF(INDEX(Glenn!$D:$D, 55)="", NA(), INDEX(Glenn!$D:$D, 55))</f>
        <v>Resolusi Konflik Merge UAT, Preservasi Fitur Marine, &amp; Label Objek Fire</v>
      </c>
      <c r="D805" t="str">
        <f>IF(INDEX(Glenn!$D:$D, 55)="", NA(), INDEX(Glenn!$E:$E, 55))</f>
        <v>DONE</v>
      </c>
      <c r="E805" s="13">
        <f>IF(INDEX(Glenn!$D:$D, 55)="", NA(), INDEX(Glenn!$K:$K, 55))</f>
        <v>46314</v>
      </c>
      <c r="F805">
        <f t="shared" si="24"/>
        <v>1</v>
      </c>
      <c r="G805" s="13">
        <f>IF(INDEX(Glenn!$D:$D, 55)="", NA(), INDEX(Glenn!$L:$L, 55))</f>
        <v>46314</v>
      </c>
      <c r="H805" t="str">
        <f t="shared" si="25"/>
        <v>Glenn (Developer) - TICS - Policy Corp - Resolusi Konflik Merge UAT, Preservasi Fitur Marine, &amp; Label Objek Fire</v>
      </c>
    </row>
    <row r="806" spans="1:8" x14ac:dyDescent="0.2">
      <c r="A806" t="str">
        <f>IF(INDEX(Glenn!$D:$D, 56)="", NA(), "Glenn (Developer)")</f>
        <v>Glenn (Developer)</v>
      </c>
      <c r="B806" t="str">
        <f>IF(INDEX(Glenn!$D:$D, 56)="", NA(), INDEX(Glenn!$B:$B, 56))</f>
        <v>TICS - Policy Corp</v>
      </c>
      <c r="C806" t="str">
        <f>IF(INDEX(Glenn!$D:$D, 56)="", NA(), INDEX(Glenn!$D:$D, 56))</f>
        <v>Optimasi performa dan pembersihan sisa percabangan prosedural pada trait modul document output.</v>
      </c>
      <c r="D806" t="str">
        <f>IF(INDEX(Glenn!$D:$D, 56)="", NA(), INDEX(Glenn!$E:$E, 56))</f>
        <v>DONE</v>
      </c>
      <c r="E806" s="13">
        <f>IF(INDEX(Glenn!$D:$D, 56)="", NA(), INDEX(Glenn!$K:$K, 56))</f>
        <v>46315</v>
      </c>
      <c r="F806">
        <f t="shared" si="24"/>
        <v>1</v>
      </c>
      <c r="G806" s="13">
        <f>IF(INDEX(Glenn!$D:$D, 56)="", NA(), INDEX(Glenn!$L:$L, 56))</f>
        <v>46315</v>
      </c>
      <c r="H806" t="str">
        <f t="shared" si="25"/>
        <v>Glenn (Developer) - TICS - Policy Corp - Optimasi performa dan pembersihan sisa percabangan prosedural pada trait modul document output.</v>
      </c>
    </row>
    <row r="807" spans="1:8" x14ac:dyDescent="0.2">
      <c r="A807" t="str">
        <f>IF(INDEX(Glenn!$D:$D, 57)="", NA(), "Glenn (Developer)")</f>
        <v>Glenn (Developer)</v>
      </c>
      <c r="B807" t="str">
        <f>IF(INDEX(Glenn!$D:$D, 57)="", NA(), INDEX(Glenn!$B:$B, 57))</f>
        <v>TICS - Policy Corp</v>
      </c>
      <c r="C807" t="str">
        <f>IF(INDEX(Glenn!$D:$D, 57)="", NA(), INDEX(Glenn!$D:$D, 57))</f>
        <v>Ekstraksi logika akuntansi premium analysis ke domain service terpisah dan perapihan controller.</v>
      </c>
      <c r="D807" t="str">
        <f>IF(INDEX(Glenn!$D:$D, 57)="", NA(), INDEX(Glenn!$E:$E, 57))</f>
        <v>DONE</v>
      </c>
      <c r="E807" s="13">
        <f>IF(INDEX(Glenn!$D:$D, 57)="", NA(), INDEX(Glenn!$K:$K, 57))</f>
        <v>46316</v>
      </c>
      <c r="F807">
        <f t="shared" si="24"/>
        <v>1</v>
      </c>
      <c r="G807" s="13">
        <f>IF(INDEX(Glenn!$D:$D, 57)="", NA(), INDEX(Glenn!$L:$L, 57))</f>
        <v>46316</v>
      </c>
      <c r="H807" t="str">
        <f t="shared" si="25"/>
        <v>Glenn (Developer) - TICS - Policy Corp - Ekstraksi logika akuntansi premium analysis ke domain service terpisah dan perapihan controller.</v>
      </c>
    </row>
    <row r="808" spans="1:8" x14ac:dyDescent="0.2">
      <c r="A808" t="str">
        <f>IF(INDEX(Glenn!$D:$D, 58)="", NA(), "Glenn (Developer)")</f>
        <v>Glenn (Developer)</v>
      </c>
      <c r="B808" t="str">
        <f>IF(INDEX(Glenn!$D:$D, 58)="", NA(), INDEX(Glenn!$B:$B, 58))</f>
        <v>DOTS</v>
      </c>
      <c r="C808" t="str">
        <f>IF(INDEX(Glenn!$D:$D, 58)="", NA(), INDEX(Glenn!$D:$D, 58))</f>
        <v>Penelaahan kebutuhan teknis integrasi pagu dana sistem DOTS dengan data riil pada SAP.</v>
      </c>
      <c r="D808" t="str">
        <f>IF(INDEX(Glenn!$D:$D, 58)="", NA(), INDEX(Glenn!$E:$E, 58))</f>
        <v>DONE</v>
      </c>
      <c r="E808" s="13">
        <f>IF(INDEX(Glenn!$D:$D, 58)="", NA(), INDEX(Glenn!$K:$K, 58))</f>
        <v>46317</v>
      </c>
      <c r="F808">
        <f t="shared" si="24"/>
        <v>1</v>
      </c>
      <c r="G808" s="13">
        <f>IF(INDEX(Glenn!$D:$D, 58)="", NA(), INDEX(Glenn!$L:$L, 58))</f>
        <v>46317</v>
      </c>
      <c r="H808" t="str">
        <f t="shared" si="25"/>
        <v>Glenn (Developer) - DOTS - Penelaahan kebutuhan teknis integrasi pagu dana sistem DOTS dengan data riil pada SAP.</v>
      </c>
    </row>
    <row r="809" spans="1:8" x14ac:dyDescent="0.2">
      <c r="A809" t="str">
        <f>IF(INDEX(Glenn!$D:$D, 59)="", NA(), "Glenn (Developer)")</f>
        <v>Glenn (Developer)</v>
      </c>
      <c r="B809" t="str">
        <f>IF(INDEX(Glenn!$D:$D, 59)="", NA(), INDEX(Glenn!$B:$B, 59))</f>
        <v>DOTS</v>
      </c>
      <c r="C809" t="str">
        <f>IF(INDEX(Glenn!$D:$D, 59)="", NA(), INDEX(Glenn!$D:$D, 59))</f>
        <v>Rapat koordinasi bulanan bersama tim internal ERP Tugu terkait progres dan rencana pengembangan ke depan.</v>
      </c>
      <c r="D809" t="str">
        <f>IF(INDEX(Glenn!$D:$D, 59)="", NA(), INDEX(Glenn!$E:$E, 59))</f>
        <v>DONE</v>
      </c>
      <c r="E809" s="13">
        <f>IF(INDEX(Glenn!$D:$D, 59)="", NA(), INDEX(Glenn!$K:$K, 59))</f>
        <v>46318</v>
      </c>
      <c r="F809">
        <f t="shared" si="24"/>
        <v>1</v>
      </c>
      <c r="G809" s="13">
        <f>IF(INDEX(Glenn!$D:$D, 59)="", NA(), INDEX(Glenn!$L:$L, 59))</f>
        <v>46318</v>
      </c>
      <c r="H809" t="str">
        <f t="shared" si="25"/>
        <v>Glenn (Developer) - DOTS - Rapat koordinasi bulanan bersama tim internal ERP Tugu terkait progres dan rencana pengembangan ke depan.</v>
      </c>
    </row>
    <row r="810" spans="1:8" x14ac:dyDescent="0.2">
      <c r="A810" t="e">
        <f>IF(INDEX(Glenn!$D:$D, 60)="", NA(), "Glenn (Developer)")</f>
        <v>#N/A</v>
      </c>
      <c r="B810" t="e">
        <f>IF(INDEX(Glenn!$D:$D, 60)="", NA(), INDEX(Glenn!$B:$B, 60))</f>
        <v>#N/A</v>
      </c>
      <c r="C810" t="e">
        <f>IF(INDEX(Glenn!$D:$D, 60)="", NA(), INDEX(Glenn!$D:$D, 60))</f>
        <v>#N/A</v>
      </c>
      <c r="D810" t="e">
        <f>IF(INDEX(Glenn!$D:$D, 60)="", NA(), INDEX(Glenn!$E:$E, 60))</f>
        <v>#N/A</v>
      </c>
      <c r="E810" s="13" t="e">
        <f>IF(INDEX(Glenn!$D:$D, 60)="", NA(), INDEX(Glenn!$K:$K, 60))</f>
        <v>#N/A</v>
      </c>
      <c r="F810" t="e">
        <f t="shared" si="24"/>
        <v>#N/A</v>
      </c>
      <c r="G810" s="13" t="e">
        <f>IF(INDEX(Glenn!$D:$D, 60)="", NA(), INDEX(Glenn!$L:$L, 60))</f>
        <v>#N/A</v>
      </c>
      <c r="H810" t="e">
        <f t="shared" si="25"/>
        <v>#N/A</v>
      </c>
    </row>
    <row r="811" spans="1:8" x14ac:dyDescent="0.2">
      <c r="A811" t="e">
        <f>IF(INDEX(Glenn!$D:$D, 61)="", NA(), "Glenn (Developer)")</f>
        <v>#N/A</v>
      </c>
      <c r="B811" t="e">
        <f>IF(INDEX(Glenn!$D:$D, 61)="", NA(), INDEX(Glenn!$B:$B, 61))</f>
        <v>#N/A</v>
      </c>
      <c r="C811" t="e">
        <f>IF(INDEX(Glenn!$D:$D, 61)="", NA(), INDEX(Glenn!$D:$D, 61))</f>
        <v>#N/A</v>
      </c>
      <c r="D811" t="e">
        <f>IF(INDEX(Glenn!$D:$D, 61)="", NA(), INDEX(Glenn!$E:$E, 61))</f>
        <v>#N/A</v>
      </c>
      <c r="E811" s="13" t="e">
        <f>IF(INDEX(Glenn!$D:$D, 61)="", NA(), INDEX(Glenn!$K:$K, 61))</f>
        <v>#N/A</v>
      </c>
      <c r="F811" t="e">
        <f t="shared" si="24"/>
        <v>#N/A</v>
      </c>
      <c r="G811" s="13" t="e">
        <f>IF(INDEX(Glenn!$D:$D, 61)="", NA(), INDEX(Glenn!$L:$L, 61))</f>
        <v>#N/A</v>
      </c>
      <c r="H811" t="e">
        <f t="shared" si="25"/>
        <v>#N/A</v>
      </c>
    </row>
    <row r="812" spans="1:8" x14ac:dyDescent="0.2">
      <c r="A812" t="e">
        <f>IF(INDEX(Glenn!$D:$D, 62)="", NA(), "Glenn (Developer)")</f>
        <v>#N/A</v>
      </c>
      <c r="B812" t="e">
        <f>IF(INDEX(Glenn!$D:$D, 62)="", NA(), INDEX(Glenn!$B:$B, 62))</f>
        <v>#N/A</v>
      </c>
      <c r="C812" t="e">
        <f>IF(INDEX(Glenn!$D:$D, 62)="", NA(), INDEX(Glenn!$D:$D, 62))</f>
        <v>#N/A</v>
      </c>
      <c r="D812" t="e">
        <f>IF(INDEX(Glenn!$D:$D, 62)="", NA(), INDEX(Glenn!$E:$E, 62))</f>
        <v>#N/A</v>
      </c>
      <c r="E812" s="13" t="e">
        <f>IF(INDEX(Glenn!$D:$D, 62)="", NA(), INDEX(Glenn!$K:$K, 62))</f>
        <v>#N/A</v>
      </c>
      <c r="F812" t="e">
        <f t="shared" si="24"/>
        <v>#N/A</v>
      </c>
      <c r="G812" s="13" t="e">
        <f>IF(INDEX(Glenn!$D:$D, 62)="", NA(), INDEX(Glenn!$L:$L, 62))</f>
        <v>#N/A</v>
      </c>
      <c r="H812" t="e">
        <f t="shared" si="25"/>
        <v>#N/A</v>
      </c>
    </row>
    <row r="813" spans="1:8" x14ac:dyDescent="0.2">
      <c r="A813" t="e">
        <f>IF(INDEX(Glenn!$D:$D, 63)="", NA(), "Glenn (Developer)")</f>
        <v>#N/A</v>
      </c>
      <c r="B813" t="e">
        <f>IF(INDEX(Glenn!$D:$D, 63)="", NA(), INDEX(Glenn!$B:$B, 63))</f>
        <v>#N/A</v>
      </c>
      <c r="C813" t="e">
        <f>IF(INDEX(Glenn!$D:$D, 63)="", NA(), INDEX(Glenn!$D:$D, 63))</f>
        <v>#N/A</v>
      </c>
      <c r="D813" t="e">
        <f>IF(INDEX(Glenn!$D:$D, 63)="", NA(), INDEX(Glenn!$E:$E, 63))</f>
        <v>#N/A</v>
      </c>
      <c r="E813" s="13" t="e">
        <f>IF(INDEX(Glenn!$D:$D, 63)="", NA(), INDEX(Glenn!$K:$K, 63))</f>
        <v>#N/A</v>
      </c>
      <c r="F813" t="e">
        <f t="shared" si="24"/>
        <v>#N/A</v>
      </c>
      <c r="G813" s="13" t="e">
        <f>IF(INDEX(Glenn!$D:$D, 63)="", NA(), INDEX(Glenn!$L:$L, 63))</f>
        <v>#N/A</v>
      </c>
      <c r="H813" t="e">
        <f t="shared" si="25"/>
        <v>#N/A</v>
      </c>
    </row>
    <row r="814" spans="1:8" x14ac:dyDescent="0.2">
      <c r="A814" t="e">
        <f>IF(INDEX(Glenn!$D:$D, 64)="", NA(), "Glenn (Developer)")</f>
        <v>#N/A</v>
      </c>
      <c r="B814" t="e">
        <f>IF(INDEX(Glenn!$D:$D, 64)="", NA(), INDEX(Glenn!$B:$B, 64))</f>
        <v>#N/A</v>
      </c>
      <c r="C814" t="e">
        <f>IF(INDEX(Glenn!$D:$D, 64)="", NA(), INDEX(Glenn!$D:$D, 64))</f>
        <v>#N/A</v>
      </c>
      <c r="D814" t="e">
        <f>IF(INDEX(Glenn!$D:$D, 64)="", NA(), INDEX(Glenn!$E:$E, 64))</f>
        <v>#N/A</v>
      </c>
      <c r="E814" s="13" t="e">
        <f>IF(INDEX(Glenn!$D:$D, 64)="", NA(), INDEX(Glenn!$K:$K, 64))</f>
        <v>#N/A</v>
      </c>
      <c r="F814" t="e">
        <f t="shared" si="24"/>
        <v>#N/A</v>
      </c>
      <c r="G814" s="13" t="e">
        <f>IF(INDEX(Glenn!$D:$D, 64)="", NA(), INDEX(Glenn!$L:$L, 64))</f>
        <v>#N/A</v>
      </c>
      <c r="H814" t="e">
        <f t="shared" si="25"/>
        <v>#N/A</v>
      </c>
    </row>
    <row r="815" spans="1:8" x14ac:dyDescent="0.2">
      <c r="A815" t="e">
        <f>IF(INDEX(Glenn!$D:$D, 65)="", NA(), "Glenn (Developer)")</f>
        <v>#N/A</v>
      </c>
      <c r="B815" t="e">
        <f>IF(INDEX(Glenn!$D:$D, 65)="", NA(), INDEX(Glenn!$B:$B, 65))</f>
        <v>#N/A</v>
      </c>
      <c r="C815" t="e">
        <f>IF(INDEX(Glenn!$D:$D, 65)="", NA(), INDEX(Glenn!$D:$D, 65))</f>
        <v>#N/A</v>
      </c>
      <c r="D815" t="e">
        <f>IF(INDEX(Glenn!$D:$D, 65)="", NA(), INDEX(Glenn!$E:$E, 65))</f>
        <v>#N/A</v>
      </c>
      <c r="E815" s="13" t="e">
        <f>IF(INDEX(Glenn!$D:$D, 65)="", NA(), INDEX(Glenn!$K:$K, 65))</f>
        <v>#N/A</v>
      </c>
      <c r="F815" t="e">
        <f t="shared" si="24"/>
        <v>#N/A</v>
      </c>
      <c r="G815" s="13" t="e">
        <f>IF(INDEX(Glenn!$D:$D, 65)="", NA(), INDEX(Glenn!$L:$L, 65))</f>
        <v>#N/A</v>
      </c>
      <c r="H815" t="e">
        <f t="shared" si="25"/>
        <v>#N/A</v>
      </c>
    </row>
    <row r="816" spans="1:8" x14ac:dyDescent="0.2">
      <c r="A816" t="e">
        <f>IF(INDEX(Glenn!$D:$D, 66)="", NA(), "Glenn (Developer)")</f>
        <v>#N/A</v>
      </c>
      <c r="B816" t="e">
        <f>IF(INDEX(Glenn!$D:$D, 66)="", NA(), INDEX(Glenn!$B:$B, 66))</f>
        <v>#N/A</v>
      </c>
      <c r="C816" t="e">
        <f>IF(INDEX(Glenn!$D:$D, 66)="", NA(), INDEX(Glenn!$D:$D, 66))</f>
        <v>#N/A</v>
      </c>
      <c r="D816" t="e">
        <f>IF(INDEX(Glenn!$D:$D, 66)="", NA(), INDEX(Glenn!$E:$E, 66))</f>
        <v>#N/A</v>
      </c>
      <c r="E816" s="13" t="e">
        <f>IF(INDEX(Glenn!$D:$D, 66)="", NA(), INDEX(Glenn!$K:$K, 66))</f>
        <v>#N/A</v>
      </c>
      <c r="F816" t="e">
        <f t="shared" si="24"/>
        <v>#N/A</v>
      </c>
      <c r="G816" s="13" t="e">
        <f>IF(INDEX(Glenn!$D:$D, 66)="", NA(), INDEX(Glenn!$L:$L, 66))</f>
        <v>#N/A</v>
      </c>
      <c r="H816" t="e">
        <f t="shared" si="25"/>
        <v>#N/A</v>
      </c>
    </row>
    <row r="817" spans="1:8" x14ac:dyDescent="0.2">
      <c r="A817" t="e">
        <f>IF(INDEX(Glenn!$D:$D, 67)="", NA(), "Glenn (Developer)")</f>
        <v>#N/A</v>
      </c>
      <c r="B817" t="e">
        <f>IF(INDEX(Glenn!$D:$D, 67)="", NA(), INDEX(Glenn!$B:$B, 67))</f>
        <v>#N/A</v>
      </c>
      <c r="C817" t="e">
        <f>IF(INDEX(Glenn!$D:$D, 67)="", NA(), INDEX(Glenn!$D:$D, 67))</f>
        <v>#N/A</v>
      </c>
      <c r="D817" t="e">
        <f>IF(INDEX(Glenn!$D:$D, 67)="", NA(), INDEX(Glenn!$E:$E, 67))</f>
        <v>#N/A</v>
      </c>
      <c r="E817" s="13" t="e">
        <f>IF(INDEX(Glenn!$D:$D, 67)="", NA(), INDEX(Glenn!$K:$K, 67))</f>
        <v>#N/A</v>
      </c>
      <c r="F817" t="e">
        <f t="shared" si="24"/>
        <v>#N/A</v>
      </c>
      <c r="G817" s="13" t="e">
        <f>IF(INDEX(Glenn!$D:$D, 67)="", NA(), INDEX(Glenn!$L:$L, 67))</f>
        <v>#N/A</v>
      </c>
      <c r="H817" t="e">
        <f t="shared" si="25"/>
        <v>#N/A</v>
      </c>
    </row>
    <row r="818" spans="1:8" x14ac:dyDescent="0.2">
      <c r="A818" t="e">
        <f>IF(INDEX(Glenn!$D:$D, 68)="", NA(), "Glenn (Developer)")</f>
        <v>#N/A</v>
      </c>
      <c r="B818" t="e">
        <f>IF(INDEX(Glenn!$D:$D, 68)="", NA(), INDEX(Glenn!$B:$B, 68))</f>
        <v>#N/A</v>
      </c>
      <c r="C818" t="e">
        <f>IF(INDEX(Glenn!$D:$D, 68)="", NA(), INDEX(Glenn!$D:$D, 68))</f>
        <v>#N/A</v>
      </c>
      <c r="D818" t="e">
        <f>IF(INDEX(Glenn!$D:$D, 68)="", NA(), INDEX(Glenn!$E:$E, 68))</f>
        <v>#N/A</v>
      </c>
      <c r="E818" s="13" t="e">
        <f>IF(INDEX(Glenn!$D:$D, 68)="", NA(), INDEX(Glenn!$K:$K, 68))</f>
        <v>#N/A</v>
      </c>
      <c r="F818" t="e">
        <f t="shared" si="24"/>
        <v>#N/A</v>
      </c>
      <c r="G818" s="13" t="e">
        <f>IF(INDEX(Glenn!$D:$D, 68)="", NA(), INDEX(Glenn!$L:$L, 68))</f>
        <v>#N/A</v>
      </c>
      <c r="H818" t="e">
        <f t="shared" si="25"/>
        <v>#N/A</v>
      </c>
    </row>
    <row r="819" spans="1:8" x14ac:dyDescent="0.2">
      <c r="A819" t="e">
        <f>IF(INDEX(Glenn!$D:$D, 69)="", NA(), "Glenn (Developer)")</f>
        <v>#N/A</v>
      </c>
      <c r="B819" t="e">
        <f>IF(INDEX(Glenn!$D:$D, 69)="", NA(), INDEX(Glenn!$B:$B, 69))</f>
        <v>#N/A</v>
      </c>
      <c r="C819" t="e">
        <f>IF(INDEX(Glenn!$D:$D, 69)="", NA(), INDEX(Glenn!$D:$D, 69))</f>
        <v>#N/A</v>
      </c>
      <c r="D819" t="e">
        <f>IF(INDEX(Glenn!$D:$D, 69)="", NA(), INDEX(Glenn!$E:$E, 69))</f>
        <v>#N/A</v>
      </c>
      <c r="E819" s="13" t="e">
        <f>IF(INDEX(Glenn!$D:$D, 69)="", NA(), INDEX(Glenn!$K:$K, 69))</f>
        <v>#N/A</v>
      </c>
      <c r="F819" t="e">
        <f t="shared" si="24"/>
        <v>#N/A</v>
      </c>
      <c r="G819" s="13" t="e">
        <f>IF(INDEX(Glenn!$D:$D, 69)="", NA(), INDEX(Glenn!$L:$L, 69))</f>
        <v>#N/A</v>
      </c>
      <c r="H819" t="e">
        <f t="shared" si="25"/>
        <v>#N/A</v>
      </c>
    </row>
    <row r="820" spans="1:8" x14ac:dyDescent="0.2">
      <c r="A820" t="e">
        <f>IF(INDEX(Glenn!$D:$D, 70)="", NA(), "Glenn (Developer)")</f>
        <v>#N/A</v>
      </c>
      <c r="B820" t="e">
        <f>IF(INDEX(Glenn!$D:$D, 70)="", NA(), INDEX(Glenn!$B:$B, 70))</f>
        <v>#N/A</v>
      </c>
      <c r="C820" t="e">
        <f>IF(INDEX(Glenn!$D:$D, 70)="", NA(), INDEX(Glenn!$D:$D, 70))</f>
        <v>#N/A</v>
      </c>
      <c r="D820" t="e">
        <f>IF(INDEX(Glenn!$D:$D, 70)="", NA(), INDEX(Glenn!$E:$E, 70))</f>
        <v>#N/A</v>
      </c>
      <c r="E820" s="13" t="e">
        <f>IF(INDEX(Glenn!$D:$D, 70)="", NA(), INDEX(Glenn!$K:$K, 70))</f>
        <v>#N/A</v>
      </c>
      <c r="F820" t="e">
        <f t="shared" si="24"/>
        <v>#N/A</v>
      </c>
      <c r="G820" s="13" t="e">
        <f>IF(INDEX(Glenn!$D:$D, 70)="", NA(), INDEX(Glenn!$L:$L, 70))</f>
        <v>#N/A</v>
      </c>
      <c r="H820" t="e">
        <f t="shared" si="25"/>
        <v>#N/A</v>
      </c>
    </row>
    <row r="821" spans="1:8" x14ac:dyDescent="0.2">
      <c r="A821" t="e">
        <f>IF(INDEX(Glenn!$D:$D, 71)="", NA(), "Glenn (Developer)")</f>
        <v>#N/A</v>
      </c>
      <c r="B821" t="e">
        <f>IF(INDEX(Glenn!$D:$D, 71)="", NA(), INDEX(Glenn!$B:$B, 71))</f>
        <v>#N/A</v>
      </c>
      <c r="C821" t="e">
        <f>IF(INDEX(Glenn!$D:$D, 71)="", NA(), INDEX(Glenn!$D:$D, 71))</f>
        <v>#N/A</v>
      </c>
      <c r="D821" t="e">
        <f>IF(INDEX(Glenn!$D:$D, 71)="", NA(), INDEX(Glenn!$E:$E, 71))</f>
        <v>#N/A</v>
      </c>
      <c r="E821" s="13" t="e">
        <f>IF(INDEX(Glenn!$D:$D, 71)="", NA(), INDEX(Glenn!$K:$K, 71))</f>
        <v>#N/A</v>
      </c>
      <c r="F821" t="e">
        <f t="shared" si="24"/>
        <v>#N/A</v>
      </c>
      <c r="G821" s="13" t="e">
        <f>IF(INDEX(Glenn!$D:$D, 71)="", NA(), INDEX(Glenn!$L:$L, 71))</f>
        <v>#N/A</v>
      </c>
      <c r="H821" t="e">
        <f t="shared" si="25"/>
        <v>#N/A</v>
      </c>
    </row>
    <row r="822" spans="1:8" x14ac:dyDescent="0.2">
      <c r="A822" t="e">
        <f>IF(INDEX(Glenn!$D:$D, 72)="", NA(), "Glenn (Developer)")</f>
        <v>#N/A</v>
      </c>
      <c r="B822" t="e">
        <f>IF(INDEX(Glenn!$D:$D, 72)="", NA(), INDEX(Glenn!$B:$B, 72))</f>
        <v>#N/A</v>
      </c>
      <c r="C822" t="e">
        <f>IF(INDEX(Glenn!$D:$D, 72)="", NA(), INDEX(Glenn!$D:$D, 72))</f>
        <v>#N/A</v>
      </c>
      <c r="D822" t="e">
        <f>IF(INDEX(Glenn!$D:$D, 72)="", NA(), INDEX(Glenn!$E:$E, 72))</f>
        <v>#N/A</v>
      </c>
      <c r="E822" s="13" t="e">
        <f>IF(INDEX(Glenn!$D:$D, 72)="", NA(), INDEX(Glenn!$K:$K, 72))</f>
        <v>#N/A</v>
      </c>
      <c r="F822" t="e">
        <f t="shared" si="24"/>
        <v>#N/A</v>
      </c>
      <c r="G822" s="13" t="e">
        <f>IF(INDEX(Glenn!$D:$D, 72)="", NA(), INDEX(Glenn!$L:$L, 72))</f>
        <v>#N/A</v>
      </c>
      <c r="H822" t="e">
        <f t="shared" si="25"/>
        <v>#N/A</v>
      </c>
    </row>
    <row r="823" spans="1:8" x14ac:dyDescent="0.2">
      <c r="A823" t="e">
        <f>IF(INDEX(Glenn!$D:$D, 73)="", NA(), "Glenn (Developer)")</f>
        <v>#N/A</v>
      </c>
      <c r="B823" t="e">
        <f>IF(INDEX(Glenn!$D:$D, 73)="", NA(), INDEX(Glenn!$B:$B, 73))</f>
        <v>#N/A</v>
      </c>
      <c r="C823" t="e">
        <f>IF(INDEX(Glenn!$D:$D, 73)="", NA(), INDEX(Glenn!$D:$D, 73))</f>
        <v>#N/A</v>
      </c>
      <c r="D823" t="e">
        <f>IF(INDEX(Glenn!$D:$D, 73)="", NA(), INDEX(Glenn!$E:$E, 73))</f>
        <v>#N/A</v>
      </c>
      <c r="E823" s="13" t="e">
        <f>IF(INDEX(Glenn!$D:$D, 73)="", NA(), INDEX(Glenn!$K:$K, 73))</f>
        <v>#N/A</v>
      </c>
      <c r="F823" t="e">
        <f t="shared" si="24"/>
        <v>#N/A</v>
      </c>
      <c r="G823" s="13" t="e">
        <f>IF(INDEX(Glenn!$D:$D, 73)="", NA(), INDEX(Glenn!$L:$L, 73))</f>
        <v>#N/A</v>
      </c>
      <c r="H823" t="e">
        <f t="shared" si="25"/>
        <v>#N/A</v>
      </c>
    </row>
    <row r="824" spans="1:8" x14ac:dyDescent="0.2">
      <c r="A824" t="e">
        <f>IF(INDEX(Glenn!$D:$D, 74)="", NA(), "Glenn (Developer)")</f>
        <v>#N/A</v>
      </c>
      <c r="B824" t="e">
        <f>IF(INDEX(Glenn!$D:$D, 74)="", NA(), INDEX(Glenn!$B:$B, 74))</f>
        <v>#N/A</v>
      </c>
      <c r="C824" t="e">
        <f>IF(INDEX(Glenn!$D:$D, 74)="", NA(), INDEX(Glenn!$D:$D, 74))</f>
        <v>#N/A</v>
      </c>
      <c r="D824" t="e">
        <f>IF(INDEX(Glenn!$D:$D, 74)="", NA(), INDEX(Glenn!$E:$E, 74))</f>
        <v>#N/A</v>
      </c>
      <c r="E824" s="13" t="e">
        <f>IF(INDEX(Glenn!$D:$D, 74)="", NA(), INDEX(Glenn!$K:$K, 74))</f>
        <v>#N/A</v>
      </c>
      <c r="F824" t="e">
        <f t="shared" si="24"/>
        <v>#N/A</v>
      </c>
      <c r="G824" s="13" t="e">
        <f>IF(INDEX(Glenn!$D:$D, 74)="", NA(), INDEX(Glenn!$L:$L, 74))</f>
        <v>#N/A</v>
      </c>
      <c r="H824" t="e">
        <f t="shared" si="25"/>
        <v>#N/A</v>
      </c>
    </row>
    <row r="825" spans="1:8" x14ac:dyDescent="0.2">
      <c r="A825" t="e">
        <f>IF(INDEX(Glenn!$D:$D, 75)="", NA(), "Glenn (Developer)")</f>
        <v>#N/A</v>
      </c>
      <c r="B825" t="e">
        <f>IF(INDEX(Glenn!$D:$D, 75)="", NA(), INDEX(Glenn!$B:$B, 75))</f>
        <v>#N/A</v>
      </c>
      <c r="C825" t="e">
        <f>IF(INDEX(Glenn!$D:$D, 75)="", NA(), INDEX(Glenn!$D:$D, 75))</f>
        <v>#N/A</v>
      </c>
      <c r="D825" t="e">
        <f>IF(INDEX(Glenn!$D:$D, 75)="", NA(), INDEX(Glenn!$E:$E, 75))</f>
        <v>#N/A</v>
      </c>
      <c r="E825" s="13" t="e">
        <f>IF(INDEX(Glenn!$D:$D, 75)="", NA(), INDEX(Glenn!$K:$K, 75))</f>
        <v>#N/A</v>
      </c>
      <c r="F825" t="e">
        <f t="shared" si="24"/>
        <v>#N/A</v>
      </c>
      <c r="G825" s="13" t="e">
        <f>IF(INDEX(Glenn!$D:$D, 75)="", NA(), INDEX(Glenn!$L:$L, 75))</f>
        <v>#N/A</v>
      </c>
      <c r="H825" t="e">
        <f t="shared" si="25"/>
        <v>#N/A</v>
      </c>
    </row>
    <row r="826" spans="1:8" x14ac:dyDescent="0.2">
      <c r="A826" t="e">
        <f>IF(INDEX(Glenn!$D:$D, 76)="", NA(), "Glenn (Developer)")</f>
        <v>#N/A</v>
      </c>
      <c r="B826" t="e">
        <f>IF(INDEX(Glenn!$D:$D, 76)="", NA(), INDEX(Glenn!$B:$B, 76))</f>
        <v>#N/A</v>
      </c>
      <c r="C826" t="e">
        <f>IF(INDEX(Glenn!$D:$D, 76)="", NA(), INDEX(Glenn!$D:$D, 76))</f>
        <v>#N/A</v>
      </c>
      <c r="D826" t="e">
        <f>IF(INDEX(Glenn!$D:$D, 76)="", NA(), INDEX(Glenn!$E:$E, 76))</f>
        <v>#N/A</v>
      </c>
      <c r="E826" s="13" t="e">
        <f>IF(INDEX(Glenn!$D:$D, 76)="", NA(), INDEX(Glenn!$K:$K, 76))</f>
        <v>#N/A</v>
      </c>
      <c r="F826" t="e">
        <f t="shared" si="24"/>
        <v>#N/A</v>
      </c>
      <c r="G826" s="13" t="e">
        <f>IF(INDEX(Glenn!$D:$D, 76)="", NA(), INDEX(Glenn!$L:$L, 76))</f>
        <v>#N/A</v>
      </c>
      <c r="H826" t="e">
        <f t="shared" si="25"/>
        <v>#N/A</v>
      </c>
    </row>
    <row r="827" spans="1:8" x14ac:dyDescent="0.2">
      <c r="A827" t="e">
        <f>IF(INDEX(Glenn!$D:$D, 77)="", NA(), "Glenn (Developer)")</f>
        <v>#N/A</v>
      </c>
      <c r="B827" t="e">
        <f>IF(INDEX(Glenn!$D:$D, 77)="", NA(), INDEX(Glenn!$B:$B, 77))</f>
        <v>#N/A</v>
      </c>
      <c r="C827" t="e">
        <f>IF(INDEX(Glenn!$D:$D, 77)="", NA(), INDEX(Glenn!$D:$D, 77))</f>
        <v>#N/A</v>
      </c>
      <c r="D827" t="e">
        <f>IF(INDEX(Glenn!$D:$D, 77)="", NA(), INDEX(Glenn!$E:$E, 77))</f>
        <v>#N/A</v>
      </c>
      <c r="E827" s="13" t="e">
        <f>IF(INDEX(Glenn!$D:$D, 77)="", NA(), INDEX(Glenn!$K:$K, 77))</f>
        <v>#N/A</v>
      </c>
      <c r="F827" t="e">
        <f t="shared" si="24"/>
        <v>#N/A</v>
      </c>
      <c r="G827" s="13" t="e">
        <f>IF(INDEX(Glenn!$D:$D, 77)="", NA(), INDEX(Glenn!$L:$L, 77))</f>
        <v>#N/A</v>
      </c>
      <c r="H827" t="e">
        <f t="shared" si="25"/>
        <v>#N/A</v>
      </c>
    </row>
    <row r="828" spans="1:8" x14ac:dyDescent="0.2">
      <c r="A828" t="e">
        <f>IF(INDEX(Glenn!$D:$D, 78)="", NA(), "Glenn (Developer)")</f>
        <v>#N/A</v>
      </c>
      <c r="B828" t="e">
        <f>IF(INDEX(Glenn!$D:$D, 78)="", NA(), INDEX(Glenn!$B:$B, 78))</f>
        <v>#N/A</v>
      </c>
      <c r="C828" t="e">
        <f>IF(INDEX(Glenn!$D:$D, 78)="", NA(), INDEX(Glenn!$D:$D, 78))</f>
        <v>#N/A</v>
      </c>
      <c r="D828" t="e">
        <f>IF(INDEX(Glenn!$D:$D, 78)="", NA(), INDEX(Glenn!$E:$E, 78))</f>
        <v>#N/A</v>
      </c>
      <c r="E828" s="13" t="e">
        <f>IF(INDEX(Glenn!$D:$D, 78)="", NA(), INDEX(Glenn!$K:$K, 78))</f>
        <v>#N/A</v>
      </c>
      <c r="F828" t="e">
        <f t="shared" si="24"/>
        <v>#N/A</v>
      </c>
      <c r="G828" s="13" t="e">
        <f>IF(INDEX(Glenn!$D:$D, 78)="", NA(), INDEX(Glenn!$L:$L, 78))</f>
        <v>#N/A</v>
      </c>
      <c r="H828" t="e">
        <f t="shared" si="25"/>
        <v>#N/A</v>
      </c>
    </row>
    <row r="829" spans="1:8" x14ac:dyDescent="0.2">
      <c r="A829" t="e">
        <f>IF(INDEX(Glenn!$D:$D, 79)="", NA(), "Glenn (Developer)")</f>
        <v>#N/A</v>
      </c>
      <c r="B829" t="e">
        <f>IF(INDEX(Glenn!$D:$D, 79)="", NA(), INDEX(Glenn!$B:$B, 79))</f>
        <v>#N/A</v>
      </c>
      <c r="C829" t="e">
        <f>IF(INDEX(Glenn!$D:$D, 79)="", NA(), INDEX(Glenn!$D:$D, 79))</f>
        <v>#N/A</v>
      </c>
      <c r="D829" t="e">
        <f>IF(INDEX(Glenn!$D:$D, 79)="", NA(), INDEX(Glenn!$E:$E, 79))</f>
        <v>#N/A</v>
      </c>
      <c r="E829" s="13" t="e">
        <f>IF(INDEX(Glenn!$D:$D, 79)="", NA(), INDEX(Glenn!$K:$K, 79))</f>
        <v>#N/A</v>
      </c>
      <c r="F829" t="e">
        <f t="shared" si="24"/>
        <v>#N/A</v>
      </c>
      <c r="G829" s="13" t="e">
        <f>IF(INDEX(Glenn!$D:$D, 79)="", NA(), INDEX(Glenn!$L:$L, 79))</f>
        <v>#N/A</v>
      </c>
      <c r="H829" t="e">
        <f t="shared" si="25"/>
        <v>#N/A</v>
      </c>
    </row>
    <row r="830" spans="1:8" x14ac:dyDescent="0.2">
      <c r="A830" t="e">
        <f>IF(INDEX(Glenn!$D:$D, 80)="", NA(), "Glenn (Developer)")</f>
        <v>#N/A</v>
      </c>
      <c r="B830" t="e">
        <f>IF(INDEX(Glenn!$D:$D, 80)="", NA(), INDEX(Glenn!$B:$B, 80))</f>
        <v>#N/A</v>
      </c>
      <c r="C830" t="e">
        <f>IF(INDEX(Glenn!$D:$D, 80)="", NA(), INDEX(Glenn!$D:$D, 80))</f>
        <v>#N/A</v>
      </c>
      <c r="D830" t="e">
        <f>IF(INDEX(Glenn!$D:$D, 80)="", NA(), INDEX(Glenn!$E:$E, 80))</f>
        <v>#N/A</v>
      </c>
      <c r="E830" s="13" t="e">
        <f>IF(INDEX(Glenn!$D:$D, 80)="", NA(), INDEX(Glenn!$K:$K, 80))</f>
        <v>#N/A</v>
      </c>
      <c r="F830" t="e">
        <f t="shared" si="24"/>
        <v>#N/A</v>
      </c>
      <c r="G830" s="13" t="e">
        <f>IF(INDEX(Glenn!$D:$D, 80)="", NA(), INDEX(Glenn!$L:$L, 80))</f>
        <v>#N/A</v>
      </c>
      <c r="H830" t="e">
        <f t="shared" si="25"/>
        <v>#N/A</v>
      </c>
    </row>
    <row r="831" spans="1:8" x14ac:dyDescent="0.2">
      <c r="A831" t="e">
        <f>IF(INDEX(Glenn!$D:$D, 81)="", NA(), "Glenn (Developer)")</f>
        <v>#N/A</v>
      </c>
      <c r="B831" t="e">
        <f>IF(INDEX(Glenn!$D:$D, 81)="", NA(), INDEX(Glenn!$B:$B, 81))</f>
        <v>#N/A</v>
      </c>
      <c r="C831" t="e">
        <f>IF(INDEX(Glenn!$D:$D, 81)="", NA(), INDEX(Glenn!$D:$D, 81))</f>
        <v>#N/A</v>
      </c>
      <c r="D831" t="e">
        <f>IF(INDEX(Glenn!$D:$D, 81)="", NA(), INDEX(Glenn!$E:$E, 81))</f>
        <v>#N/A</v>
      </c>
      <c r="E831" s="13" t="e">
        <f>IF(INDEX(Glenn!$D:$D, 81)="", NA(), INDEX(Glenn!$K:$K, 81))</f>
        <v>#N/A</v>
      </c>
      <c r="F831" t="e">
        <f t="shared" si="24"/>
        <v>#N/A</v>
      </c>
      <c r="G831" s="13" t="e">
        <f>IF(INDEX(Glenn!$D:$D, 81)="", NA(), INDEX(Glenn!$L:$L, 81))</f>
        <v>#N/A</v>
      </c>
      <c r="H831" t="e">
        <f t="shared" si="25"/>
        <v>#N/A</v>
      </c>
    </row>
    <row r="832" spans="1:8" x14ac:dyDescent="0.2">
      <c r="A832" t="e">
        <f>IF(INDEX(Glenn!$D:$D, 82)="", NA(), "Glenn (Developer)")</f>
        <v>#N/A</v>
      </c>
      <c r="B832" t="e">
        <f>IF(INDEX(Glenn!$D:$D, 82)="", NA(), INDEX(Glenn!$B:$B, 82))</f>
        <v>#N/A</v>
      </c>
      <c r="C832" t="e">
        <f>IF(INDEX(Glenn!$D:$D, 82)="", NA(), INDEX(Glenn!$D:$D, 82))</f>
        <v>#N/A</v>
      </c>
      <c r="D832" t="e">
        <f>IF(INDEX(Glenn!$D:$D, 82)="", NA(), INDEX(Glenn!$E:$E, 82))</f>
        <v>#N/A</v>
      </c>
      <c r="E832" s="13" t="e">
        <f>IF(INDEX(Glenn!$D:$D, 82)="", NA(), INDEX(Glenn!$K:$K, 82))</f>
        <v>#N/A</v>
      </c>
      <c r="F832" t="e">
        <f t="shared" si="24"/>
        <v>#N/A</v>
      </c>
      <c r="G832" s="13" t="e">
        <f>IF(INDEX(Glenn!$D:$D, 82)="", NA(), INDEX(Glenn!$L:$L, 82))</f>
        <v>#N/A</v>
      </c>
      <c r="H832" t="e">
        <f t="shared" si="25"/>
        <v>#N/A</v>
      </c>
    </row>
    <row r="833" spans="1:8" x14ac:dyDescent="0.2">
      <c r="A833" t="e">
        <f>IF(INDEX(Glenn!$D:$D, 83)="", NA(), "Glenn (Developer)")</f>
        <v>#N/A</v>
      </c>
      <c r="B833" t="e">
        <f>IF(INDEX(Glenn!$D:$D, 83)="", NA(), INDEX(Glenn!$B:$B, 83))</f>
        <v>#N/A</v>
      </c>
      <c r="C833" t="e">
        <f>IF(INDEX(Glenn!$D:$D, 83)="", NA(), INDEX(Glenn!$D:$D, 83))</f>
        <v>#N/A</v>
      </c>
      <c r="D833" t="e">
        <f>IF(INDEX(Glenn!$D:$D, 83)="", NA(), INDEX(Glenn!$E:$E, 83))</f>
        <v>#N/A</v>
      </c>
      <c r="E833" s="13" t="e">
        <f>IF(INDEX(Glenn!$D:$D, 83)="", NA(), INDEX(Glenn!$K:$K, 83))</f>
        <v>#N/A</v>
      </c>
      <c r="F833" t="e">
        <f t="shared" si="24"/>
        <v>#N/A</v>
      </c>
      <c r="G833" s="13" t="e">
        <f>IF(INDEX(Glenn!$D:$D, 83)="", NA(), INDEX(Glenn!$L:$L, 83))</f>
        <v>#N/A</v>
      </c>
      <c r="H833" t="e">
        <f t="shared" si="25"/>
        <v>#N/A</v>
      </c>
    </row>
    <row r="834" spans="1:8" x14ac:dyDescent="0.2">
      <c r="A834" t="e">
        <f>IF(INDEX(Glenn!$D:$D, 84)="", NA(), "Glenn (Developer)")</f>
        <v>#N/A</v>
      </c>
      <c r="B834" t="e">
        <f>IF(INDEX(Glenn!$D:$D, 84)="", NA(), INDEX(Glenn!$B:$B, 84))</f>
        <v>#N/A</v>
      </c>
      <c r="C834" t="e">
        <f>IF(INDEX(Glenn!$D:$D, 84)="", NA(), INDEX(Glenn!$D:$D, 84))</f>
        <v>#N/A</v>
      </c>
      <c r="D834" t="e">
        <f>IF(INDEX(Glenn!$D:$D, 84)="", NA(), INDEX(Glenn!$E:$E, 84))</f>
        <v>#N/A</v>
      </c>
      <c r="E834" s="13" t="e">
        <f>IF(INDEX(Glenn!$D:$D, 84)="", NA(), INDEX(Glenn!$K:$K, 84))</f>
        <v>#N/A</v>
      </c>
      <c r="F834" t="e">
        <f t="shared" ref="F834:F897" si="26">IF(OR(E834="", ISNA(E834), ISNA(G834)), 0, MAX(1, G834-E834))</f>
        <v>#N/A</v>
      </c>
      <c r="G834" s="13" t="e">
        <f>IF(INDEX(Glenn!$D:$D, 84)="", NA(), INDEX(Glenn!$L:$L, 84))</f>
        <v>#N/A</v>
      </c>
      <c r="H834" t="e">
        <f t="shared" ref="H834:H897" si="27">IF(ISNA(C834), NA(), A834 &amp; " - " &amp; B834 &amp; " - " &amp; C834)</f>
        <v>#N/A</v>
      </c>
    </row>
    <row r="835" spans="1:8" x14ac:dyDescent="0.2">
      <c r="A835" t="e">
        <f>IF(INDEX(Glenn!$D:$D, 85)="", NA(), "Glenn (Developer)")</f>
        <v>#N/A</v>
      </c>
      <c r="B835" t="e">
        <f>IF(INDEX(Glenn!$D:$D, 85)="", NA(), INDEX(Glenn!$B:$B, 85))</f>
        <v>#N/A</v>
      </c>
      <c r="C835" t="e">
        <f>IF(INDEX(Glenn!$D:$D, 85)="", NA(), INDEX(Glenn!$D:$D, 85))</f>
        <v>#N/A</v>
      </c>
      <c r="D835" t="e">
        <f>IF(INDEX(Glenn!$D:$D, 85)="", NA(), INDEX(Glenn!$E:$E, 85))</f>
        <v>#N/A</v>
      </c>
      <c r="E835" s="13" t="e">
        <f>IF(INDEX(Glenn!$D:$D, 85)="", NA(), INDEX(Glenn!$K:$K, 85))</f>
        <v>#N/A</v>
      </c>
      <c r="F835" t="e">
        <f t="shared" si="26"/>
        <v>#N/A</v>
      </c>
      <c r="G835" s="13" t="e">
        <f>IF(INDEX(Glenn!$D:$D, 85)="", NA(), INDEX(Glenn!$L:$L, 85))</f>
        <v>#N/A</v>
      </c>
      <c r="H835" t="e">
        <f t="shared" si="27"/>
        <v>#N/A</v>
      </c>
    </row>
    <row r="836" spans="1:8" x14ac:dyDescent="0.2">
      <c r="A836" t="e">
        <f>IF(INDEX(Glenn!$D:$D, 86)="", NA(), "Glenn (Developer)")</f>
        <v>#N/A</v>
      </c>
      <c r="B836" t="e">
        <f>IF(INDEX(Glenn!$D:$D, 86)="", NA(), INDEX(Glenn!$B:$B, 86))</f>
        <v>#N/A</v>
      </c>
      <c r="C836" t="e">
        <f>IF(INDEX(Glenn!$D:$D, 86)="", NA(), INDEX(Glenn!$D:$D, 86))</f>
        <v>#N/A</v>
      </c>
      <c r="D836" t="e">
        <f>IF(INDEX(Glenn!$D:$D, 86)="", NA(), INDEX(Glenn!$E:$E, 86))</f>
        <v>#N/A</v>
      </c>
      <c r="E836" s="13" t="e">
        <f>IF(INDEX(Glenn!$D:$D, 86)="", NA(), INDEX(Glenn!$K:$K, 86))</f>
        <v>#N/A</v>
      </c>
      <c r="F836" t="e">
        <f t="shared" si="26"/>
        <v>#N/A</v>
      </c>
      <c r="G836" s="13" t="e">
        <f>IF(INDEX(Glenn!$D:$D, 86)="", NA(), INDEX(Glenn!$L:$L, 86))</f>
        <v>#N/A</v>
      </c>
      <c r="H836" t="e">
        <f t="shared" si="27"/>
        <v>#N/A</v>
      </c>
    </row>
    <row r="837" spans="1:8" x14ac:dyDescent="0.2">
      <c r="A837" t="e">
        <f>IF(INDEX(Glenn!$D:$D, 87)="", NA(), "Glenn (Developer)")</f>
        <v>#N/A</v>
      </c>
      <c r="B837" t="e">
        <f>IF(INDEX(Glenn!$D:$D, 87)="", NA(), INDEX(Glenn!$B:$B, 87))</f>
        <v>#N/A</v>
      </c>
      <c r="C837" t="e">
        <f>IF(INDEX(Glenn!$D:$D, 87)="", NA(), INDEX(Glenn!$D:$D, 87))</f>
        <v>#N/A</v>
      </c>
      <c r="D837" t="e">
        <f>IF(INDEX(Glenn!$D:$D, 87)="", NA(), INDEX(Glenn!$E:$E, 87))</f>
        <v>#N/A</v>
      </c>
      <c r="E837" s="13" t="e">
        <f>IF(INDEX(Glenn!$D:$D, 87)="", NA(), INDEX(Glenn!$K:$K, 87))</f>
        <v>#N/A</v>
      </c>
      <c r="F837" t="e">
        <f t="shared" si="26"/>
        <v>#N/A</v>
      </c>
      <c r="G837" s="13" t="e">
        <f>IF(INDEX(Glenn!$D:$D, 87)="", NA(), INDEX(Glenn!$L:$L, 87))</f>
        <v>#N/A</v>
      </c>
      <c r="H837" t="e">
        <f t="shared" si="27"/>
        <v>#N/A</v>
      </c>
    </row>
    <row r="838" spans="1:8" x14ac:dyDescent="0.2">
      <c r="A838" t="e">
        <f>IF(INDEX(Glenn!$D:$D, 88)="", NA(), "Glenn (Developer)")</f>
        <v>#N/A</v>
      </c>
      <c r="B838" t="e">
        <f>IF(INDEX(Glenn!$D:$D, 88)="", NA(), INDEX(Glenn!$B:$B, 88))</f>
        <v>#N/A</v>
      </c>
      <c r="C838" t="e">
        <f>IF(INDEX(Glenn!$D:$D, 88)="", NA(), INDEX(Glenn!$D:$D, 88))</f>
        <v>#N/A</v>
      </c>
      <c r="D838" t="e">
        <f>IF(INDEX(Glenn!$D:$D, 88)="", NA(), INDEX(Glenn!$E:$E, 88))</f>
        <v>#N/A</v>
      </c>
      <c r="E838" s="13" t="e">
        <f>IF(INDEX(Glenn!$D:$D, 88)="", NA(), INDEX(Glenn!$K:$K, 88))</f>
        <v>#N/A</v>
      </c>
      <c r="F838" t="e">
        <f t="shared" si="26"/>
        <v>#N/A</v>
      </c>
      <c r="G838" s="13" t="e">
        <f>IF(INDEX(Glenn!$D:$D, 88)="", NA(), INDEX(Glenn!$L:$L, 88))</f>
        <v>#N/A</v>
      </c>
      <c r="H838" t="e">
        <f t="shared" si="27"/>
        <v>#N/A</v>
      </c>
    </row>
    <row r="839" spans="1:8" x14ac:dyDescent="0.2">
      <c r="A839" t="e">
        <f>IF(INDEX(Glenn!$D:$D, 89)="", NA(), "Glenn (Developer)")</f>
        <v>#N/A</v>
      </c>
      <c r="B839" t="e">
        <f>IF(INDEX(Glenn!$D:$D, 89)="", NA(), INDEX(Glenn!$B:$B, 89))</f>
        <v>#N/A</v>
      </c>
      <c r="C839" t="e">
        <f>IF(INDEX(Glenn!$D:$D, 89)="", NA(), INDEX(Glenn!$D:$D, 89))</f>
        <v>#N/A</v>
      </c>
      <c r="D839" t="e">
        <f>IF(INDEX(Glenn!$D:$D, 89)="", NA(), INDEX(Glenn!$E:$E, 89))</f>
        <v>#N/A</v>
      </c>
      <c r="E839" s="13" t="e">
        <f>IF(INDEX(Glenn!$D:$D, 89)="", NA(), INDEX(Glenn!$K:$K, 89))</f>
        <v>#N/A</v>
      </c>
      <c r="F839" t="e">
        <f t="shared" si="26"/>
        <v>#N/A</v>
      </c>
      <c r="G839" s="13" t="e">
        <f>IF(INDEX(Glenn!$D:$D, 89)="", NA(), INDEX(Glenn!$L:$L, 89))</f>
        <v>#N/A</v>
      </c>
      <c r="H839" t="e">
        <f t="shared" si="27"/>
        <v>#N/A</v>
      </c>
    </row>
    <row r="840" spans="1:8" x14ac:dyDescent="0.2">
      <c r="A840" t="e">
        <f>IF(INDEX(Glenn!$D:$D, 90)="", NA(), "Glenn (Developer)")</f>
        <v>#N/A</v>
      </c>
      <c r="B840" t="e">
        <f>IF(INDEX(Glenn!$D:$D, 90)="", NA(), INDEX(Glenn!$B:$B, 90))</f>
        <v>#N/A</v>
      </c>
      <c r="C840" t="e">
        <f>IF(INDEX(Glenn!$D:$D, 90)="", NA(), INDEX(Glenn!$D:$D, 90))</f>
        <v>#N/A</v>
      </c>
      <c r="D840" t="e">
        <f>IF(INDEX(Glenn!$D:$D, 90)="", NA(), INDEX(Glenn!$E:$E, 90))</f>
        <v>#N/A</v>
      </c>
      <c r="E840" s="13" t="e">
        <f>IF(INDEX(Glenn!$D:$D, 90)="", NA(), INDEX(Glenn!$K:$K, 90))</f>
        <v>#N/A</v>
      </c>
      <c r="F840" t="e">
        <f t="shared" si="26"/>
        <v>#N/A</v>
      </c>
      <c r="G840" s="13" t="e">
        <f>IF(INDEX(Glenn!$D:$D, 90)="", NA(), INDEX(Glenn!$L:$L, 90))</f>
        <v>#N/A</v>
      </c>
      <c r="H840" t="e">
        <f t="shared" si="27"/>
        <v>#N/A</v>
      </c>
    </row>
    <row r="841" spans="1:8" x14ac:dyDescent="0.2">
      <c r="A841" t="e">
        <f>IF(INDEX(Glenn!$D:$D, 91)="", NA(), "Glenn (Developer)")</f>
        <v>#N/A</v>
      </c>
      <c r="B841" t="e">
        <f>IF(INDEX(Glenn!$D:$D, 91)="", NA(), INDEX(Glenn!$B:$B, 91))</f>
        <v>#N/A</v>
      </c>
      <c r="C841" t="e">
        <f>IF(INDEX(Glenn!$D:$D, 91)="", NA(), INDEX(Glenn!$D:$D, 91))</f>
        <v>#N/A</v>
      </c>
      <c r="D841" t="e">
        <f>IF(INDEX(Glenn!$D:$D, 91)="", NA(), INDEX(Glenn!$E:$E, 91))</f>
        <v>#N/A</v>
      </c>
      <c r="E841" s="13" t="e">
        <f>IF(INDEX(Glenn!$D:$D, 91)="", NA(), INDEX(Glenn!$K:$K, 91))</f>
        <v>#N/A</v>
      </c>
      <c r="F841" t="e">
        <f t="shared" si="26"/>
        <v>#N/A</v>
      </c>
      <c r="G841" s="13" t="e">
        <f>IF(INDEX(Glenn!$D:$D, 91)="", NA(), INDEX(Glenn!$L:$L, 91))</f>
        <v>#N/A</v>
      </c>
      <c r="H841" t="e">
        <f t="shared" si="27"/>
        <v>#N/A</v>
      </c>
    </row>
    <row r="842" spans="1:8" x14ac:dyDescent="0.2">
      <c r="A842" t="e">
        <f>IF(INDEX(Glenn!$D:$D, 92)="", NA(), "Glenn (Developer)")</f>
        <v>#N/A</v>
      </c>
      <c r="B842" t="e">
        <f>IF(INDEX(Glenn!$D:$D, 92)="", NA(), INDEX(Glenn!$B:$B, 92))</f>
        <v>#N/A</v>
      </c>
      <c r="C842" t="e">
        <f>IF(INDEX(Glenn!$D:$D, 92)="", NA(), INDEX(Glenn!$D:$D, 92))</f>
        <v>#N/A</v>
      </c>
      <c r="D842" t="e">
        <f>IF(INDEX(Glenn!$D:$D, 92)="", NA(), INDEX(Glenn!$E:$E, 92))</f>
        <v>#N/A</v>
      </c>
      <c r="E842" s="13" t="e">
        <f>IF(INDEX(Glenn!$D:$D, 92)="", NA(), INDEX(Glenn!$K:$K, 92))</f>
        <v>#N/A</v>
      </c>
      <c r="F842" t="e">
        <f t="shared" si="26"/>
        <v>#N/A</v>
      </c>
      <c r="G842" s="13" t="e">
        <f>IF(INDEX(Glenn!$D:$D, 92)="", NA(), INDEX(Glenn!$L:$L, 92))</f>
        <v>#N/A</v>
      </c>
      <c r="H842" t="e">
        <f t="shared" si="27"/>
        <v>#N/A</v>
      </c>
    </row>
    <row r="843" spans="1:8" x14ac:dyDescent="0.2">
      <c r="A843" t="e">
        <f>IF(INDEX(Glenn!$D:$D, 93)="", NA(), "Glenn (Developer)")</f>
        <v>#N/A</v>
      </c>
      <c r="B843" t="e">
        <f>IF(INDEX(Glenn!$D:$D, 93)="", NA(), INDEX(Glenn!$B:$B, 93))</f>
        <v>#N/A</v>
      </c>
      <c r="C843" t="e">
        <f>IF(INDEX(Glenn!$D:$D, 93)="", NA(), INDEX(Glenn!$D:$D, 93))</f>
        <v>#N/A</v>
      </c>
      <c r="D843" t="e">
        <f>IF(INDEX(Glenn!$D:$D, 93)="", NA(), INDEX(Glenn!$E:$E, 93))</f>
        <v>#N/A</v>
      </c>
      <c r="E843" s="13" t="e">
        <f>IF(INDEX(Glenn!$D:$D, 93)="", NA(), INDEX(Glenn!$K:$K, 93))</f>
        <v>#N/A</v>
      </c>
      <c r="F843" t="e">
        <f t="shared" si="26"/>
        <v>#N/A</v>
      </c>
      <c r="G843" s="13" t="e">
        <f>IF(INDEX(Glenn!$D:$D, 93)="", NA(), INDEX(Glenn!$L:$L, 93))</f>
        <v>#N/A</v>
      </c>
      <c r="H843" t="e">
        <f t="shared" si="27"/>
        <v>#N/A</v>
      </c>
    </row>
    <row r="844" spans="1:8" x14ac:dyDescent="0.2">
      <c r="A844" t="e">
        <f>IF(INDEX(Glenn!$D:$D, 94)="", NA(), "Glenn (Developer)")</f>
        <v>#N/A</v>
      </c>
      <c r="B844" t="e">
        <f>IF(INDEX(Glenn!$D:$D, 94)="", NA(), INDEX(Glenn!$B:$B, 94))</f>
        <v>#N/A</v>
      </c>
      <c r="C844" t="e">
        <f>IF(INDEX(Glenn!$D:$D, 94)="", NA(), INDEX(Glenn!$D:$D, 94))</f>
        <v>#N/A</v>
      </c>
      <c r="D844" t="e">
        <f>IF(INDEX(Glenn!$D:$D, 94)="", NA(), INDEX(Glenn!$E:$E, 94))</f>
        <v>#N/A</v>
      </c>
      <c r="E844" s="13" t="e">
        <f>IF(INDEX(Glenn!$D:$D, 94)="", NA(), INDEX(Glenn!$K:$K, 94))</f>
        <v>#N/A</v>
      </c>
      <c r="F844" t="e">
        <f t="shared" si="26"/>
        <v>#N/A</v>
      </c>
      <c r="G844" s="13" t="e">
        <f>IF(INDEX(Glenn!$D:$D, 94)="", NA(), INDEX(Glenn!$L:$L, 94))</f>
        <v>#N/A</v>
      </c>
      <c r="H844" t="e">
        <f t="shared" si="27"/>
        <v>#N/A</v>
      </c>
    </row>
    <row r="845" spans="1:8" x14ac:dyDescent="0.2">
      <c r="A845" t="e">
        <f>IF(INDEX(Glenn!$D:$D, 95)="", NA(), "Glenn (Developer)")</f>
        <v>#N/A</v>
      </c>
      <c r="B845" t="e">
        <f>IF(INDEX(Glenn!$D:$D, 95)="", NA(), INDEX(Glenn!$B:$B, 95))</f>
        <v>#N/A</v>
      </c>
      <c r="C845" t="e">
        <f>IF(INDEX(Glenn!$D:$D, 95)="", NA(), INDEX(Glenn!$D:$D, 95))</f>
        <v>#N/A</v>
      </c>
      <c r="D845" t="e">
        <f>IF(INDEX(Glenn!$D:$D, 95)="", NA(), INDEX(Glenn!$E:$E, 95))</f>
        <v>#N/A</v>
      </c>
      <c r="E845" s="13" t="e">
        <f>IF(INDEX(Glenn!$D:$D, 95)="", NA(), INDEX(Glenn!$K:$K, 95))</f>
        <v>#N/A</v>
      </c>
      <c r="F845" t="e">
        <f t="shared" si="26"/>
        <v>#N/A</v>
      </c>
      <c r="G845" s="13" t="e">
        <f>IF(INDEX(Glenn!$D:$D, 95)="", NA(), INDEX(Glenn!$L:$L, 95))</f>
        <v>#N/A</v>
      </c>
      <c r="H845" t="e">
        <f t="shared" si="27"/>
        <v>#N/A</v>
      </c>
    </row>
    <row r="846" spans="1:8" x14ac:dyDescent="0.2">
      <c r="A846" t="e">
        <f>IF(INDEX(Glenn!$D:$D, 96)="", NA(), "Glenn (Developer)")</f>
        <v>#N/A</v>
      </c>
      <c r="B846" t="e">
        <f>IF(INDEX(Glenn!$D:$D, 96)="", NA(), INDEX(Glenn!$B:$B, 96))</f>
        <v>#N/A</v>
      </c>
      <c r="C846" t="e">
        <f>IF(INDEX(Glenn!$D:$D, 96)="", NA(), INDEX(Glenn!$D:$D, 96))</f>
        <v>#N/A</v>
      </c>
      <c r="D846" t="e">
        <f>IF(INDEX(Glenn!$D:$D, 96)="", NA(), INDEX(Glenn!$E:$E, 96))</f>
        <v>#N/A</v>
      </c>
      <c r="E846" s="13" t="e">
        <f>IF(INDEX(Glenn!$D:$D, 96)="", NA(), INDEX(Glenn!$K:$K, 96))</f>
        <v>#N/A</v>
      </c>
      <c r="F846" t="e">
        <f t="shared" si="26"/>
        <v>#N/A</v>
      </c>
      <c r="G846" s="13" t="e">
        <f>IF(INDEX(Glenn!$D:$D, 96)="", NA(), INDEX(Glenn!$L:$L, 96))</f>
        <v>#N/A</v>
      </c>
      <c r="H846" t="e">
        <f t="shared" si="27"/>
        <v>#N/A</v>
      </c>
    </row>
    <row r="847" spans="1:8" x14ac:dyDescent="0.2">
      <c r="A847" t="e">
        <f>IF(INDEX(Glenn!$D:$D, 97)="", NA(), "Glenn (Developer)")</f>
        <v>#N/A</v>
      </c>
      <c r="B847" t="e">
        <f>IF(INDEX(Glenn!$D:$D, 97)="", NA(), INDEX(Glenn!$B:$B, 97))</f>
        <v>#N/A</v>
      </c>
      <c r="C847" t="e">
        <f>IF(INDEX(Glenn!$D:$D, 97)="", NA(), INDEX(Glenn!$D:$D, 97))</f>
        <v>#N/A</v>
      </c>
      <c r="D847" t="e">
        <f>IF(INDEX(Glenn!$D:$D, 97)="", NA(), INDEX(Glenn!$E:$E, 97))</f>
        <v>#N/A</v>
      </c>
      <c r="E847" s="13" t="e">
        <f>IF(INDEX(Glenn!$D:$D, 97)="", NA(), INDEX(Glenn!$K:$K, 97))</f>
        <v>#N/A</v>
      </c>
      <c r="F847" t="e">
        <f t="shared" si="26"/>
        <v>#N/A</v>
      </c>
      <c r="G847" s="13" t="e">
        <f>IF(INDEX(Glenn!$D:$D, 97)="", NA(), INDEX(Glenn!$L:$L, 97))</f>
        <v>#N/A</v>
      </c>
      <c r="H847" t="e">
        <f t="shared" si="27"/>
        <v>#N/A</v>
      </c>
    </row>
    <row r="848" spans="1:8" x14ac:dyDescent="0.2">
      <c r="A848" t="e">
        <f>IF(INDEX(Glenn!$D:$D, 98)="", NA(), "Glenn (Developer)")</f>
        <v>#N/A</v>
      </c>
      <c r="B848" t="e">
        <f>IF(INDEX(Glenn!$D:$D, 98)="", NA(), INDEX(Glenn!$B:$B, 98))</f>
        <v>#N/A</v>
      </c>
      <c r="C848" t="e">
        <f>IF(INDEX(Glenn!$D:$D, 98)="", NA(), INDEX(Glenn!$D:$D, 98))</f>
        <v>#N/A</v>
      </c>
      <c r="D848" t="e">
        <f>IF(INDEX(Glenn!$D:$D, 98)="", NA(), INDEX(Glenn!$E:$E, 98))</f>
        <v>#N/A</v>
      </c>
      <c r="E848" s="13" t="e">
        <f>IF(INDEX(Glenn!$D:$D, 98)="", NA(), INDEX(Glenn!$K:$K, 98))</f>
        <v>#N/A</v>
      </c>
      <c r="F848" t="e">
        <f t="shared" si="26"/>
        <v>#N/A</v>
      </c>
      <c r="G848" s="13" t="e">
        <f>IF(INDEX(Glenn!$D:$D, 98)="", NA(), INDEX(Glenn!$L:$L, 98))</f>
        <v>#N/A</v>
      </c>
      <c r="H848" t="e">
        <f t="shared" si="27"/>
        <v>#N/A</v>
      </c>
    </row>
    <row r="849" spans="1:8" x14ac:dyDescent="0.2">
      <c r="A849" t="e">
        <f>IF(INDEX(Glenn!$D:$D, 99)="", NA(), "Glenn (Developer)")</f>
        <v>#N/A</v>
      </c>
      <c r="B849" t="e">
        <f>IF(INDEX(Glenn!$D:$D, 99)="", NA(), INDEX(Glenn!$B:$B, 99))</f>
        <v>#N/A</v>
      </c>
      <c r="C849" t="e">
        <f>IF(INDEX(Glenn!$D:$D, 99)="", NA(), INDEX(Glenn!$D:$D, 99))</f>
        <v>#N/A</v>
      </c>
      <c r="D849" t="e">
        <f>IF(INDEX(Glenn!$D:$D, 99)="", NA(), INDEX(Glenn!$E:$E, 99))</f>
        <v>#N/A</v>
      </c>
      <c r="E849" s="13" t="e">
        <f>IF(INDEX(Glenn!$D:$D, 99)="", NA(), INDEX(Glenn!$K:$K, 99))</f>
        <v>#N/A</v>
      </c>
      <c r="F849" t="e">
        <f t="shared" si="26"/>
        <v>#N/A</v>
      </c>
      <c r="G849" s="13" t="e">
        <f>IF(INDEX(Glenn!$D:$D, 99)="", NA(), INDEX(Glenn!$L:$L, 99))</f>
        <v>#N/A</v>
      </c>
      <c r="H849" t="e">
        <f t="shared" si="27"/>
        <v>#N/A</v>
      </c>
    </row>
    <row r="850" spans="1:8" x14ac:dyDescent="0.2">
      <c r="A850" t="e">
        <f>IF(INDEX(Glenn!$D:$D, 100)="", NA(), "Glenn (Developer)")</f>
        <v>#N/A</v>
      </c>
      <c r="B850" t="e">
        <f>IF(INDEX(Glenn!$D:$D, 100)="", NA(), INDEX(Glenn!$B:$B, 100))</f>
        <v>#N/A</v>
      </c>
      <c r="C850" t="e">
        <f>IF(INDEX(Glenn!$D:$D, 100)="", NA(), INDEX(Glenn!$D:$D, 100))</f>
        <v>#N/A</v>
      </c>
      <c r="D850" t="e">
        <f>IF(INDEX(Glenn!$D:$D, 100)="", NA(), INDEX(Glenn!$E:$E, 100))</f>
        <v>#N/A</v>
      </c>
      <c r="E850" s="13" t="e">
        <f>IF(INDEX(Glenn!$D:$D, 100)="", NA(), INDEX(Glenn!$K:$K, 100))</f>
        <v>#N/A</v>
      </c>
      <c r="F850" t="e">
        <f t="shared" si="26"/>
        <v>#N/A</v>
      </c>
      <c r="G850" s="13" t="e">
        <f>IF(INDEX(Glenn!$D:$D, 100)="", NA(), INDEX(Glenn!$L:$L, 100))</f>
        <v>#N/A</v>
      </c>
      <c r="H850" t="e">
        <f t="shared" si="27"/>
        <v>#N/A</v>
      </c>
    </row>
    <row r="851" spans="1:8" x14ac:dyDescent="0.2">
      <c r="A851" t="e">
        <f>IF(INDEX(Glenn!$D:$D, 101)="", NA(), "Glenn (Developer)")</f>
        <v>#N/A</v>
      </c>
      <c r="B851" t="e">
        <f>IF(INDEX(Glenn!$D:$D, 101)="", NA(), INDEX(Glenn!$B:$B, 101))</f>
        <v>#N/A</v>
      </c>
      <c r="C851" t="e">
        <f>IF(INDEX(Glenn!$D:$D, 101)="", NA(), INDEX(Glenn!$D:$D, 101))</f>
        <v>#N/A</v>
      </c>
      <c r="D851" t="e">
        <f>IF(INDEX(Glenn!$D:$D, 101)="", NA(), INDEX(Glenn!$E:$E, 101))</f>
        <v>#N/A</v>
      </c>
      <c r="E851" s="13" t="e">
        <f>IF(INDEX(Glenn!$D:$D, 101)="", NA(), INDEX(Glenn!$K:$K, 101))</f>
        <v>#N/A</v>
      </c>
      <c r="F851" t="e">
        <f t="shared" si="26"/>
        <v>#N/A</v>
      </c>
      <c r="G851" s="13" t="e">
        <f>IF(INDEX(Glenn!$D:$D, 101)="", NA(), INDEX(Glenn!$L:$L, 101))</f>
        <v>#N/A</v>
      </c>
      <c r="H851" t="e">
        <f t="shared" si="27"/>
        <v>#N/A</v>
      </c>
    </row>
    <row r="852" spans="1:8" x14ac:dyDescent="0.2">
      <c r="A852" t="e">
        <f>IF(INDEX(Glenn!$D:$D, 102)="", NA(), "Glenn (Developer)")</f>
        <v>#N/A</v>
      </c>
      <c r="B852" t="e">
        <f>IF(INDEX(Glenn!$D:$D, 102)="", NA(), INDEX(Glenn!$B:$B, 102))</f>
        <v>#N/A</v>
      </c>
      <c r="C852" t="e">
        <f>IF(INDEX(Glenn!$D:$D, 102)="", NA(), INDEX(Glenn!$D:$D, 102))</f>
        <v>#N/A</v>
      </c>
      <c r="D852" t="e">
        <f>IF(INDEX(Glenn!$D:$D, 102)="", NA(), INDEX(Glenn!$E:$E, 102))</f>
        <v>#N/A</v>
      </c>
      <c r="E852" s="13" t="e">
        <f>IF(INDEX(Glenn!$D:$D, 102)="", NA(), INDEX(Glenn!$K:$K, 102))</f>
        <v>#N/A</v>
      </c>
      <c r="F852" t="e">
        <f t="shared" si="26"/>
        <v>#N/A</v>
      </c>
      <c r="G852" s="13" t="e">
        <f>IF(INDEX(Glenn!$D:$D, 102)="", NA(), INDEX(Glenn!$L:$L, 102))</f>
        <v>#N/A</v>
      </c>
      <c r="H852" t="e">
        <f t="shared" si="27"/>
        <v>#N/A</v>
      </c>
    </row>
    <row r="853" spans="1:8" x14ac:dyDescent="0.2">
      <c r="A853" t="e">
        <f>IF(INDEX(Glenn!$D:$D, 103)="", NA(), "Glenn (Developer)")</f>
        <v>#N/A</v>
      </c>
      <c r="B853" t="e">
        <f>IF(INDEX(Glenn!$D:$D, 103)="", NA(), INDEX(Glenn!$B:$B, 103))</f>
        <v>#N/A</v>
      </c>
      <c r="C853" t="e">
        <f>IF(INDEX(Glenn!$D:$D, 103)="", NA(), INDEX(Glenn!$D:$D, 103))</f>
        <v>#N/A</v>
      </c>
      <c r="D853" t="e">
        <f>IF(INDEX(Glenn!$D:$D, 103)="", NA(), INDEX(Glenn!$E:$E, 103))</f>
        <v>#N/A</v>
      </c>
      <c r="E853" s="13" t="e">
        <f>IF(INDEX(Glenn!$D:$D, 103)="", NA(), INDEX(Glenn!$K:$K, 103))</f>
        <v>#N/A</v>
      </c>
      <c r="F853" t="e">
        <f t="shared" si="26"/>
        <v>#N/A</v>
      </c>
      <c r="G853" s="13" t="e">
        <f>IF(INDEX(Glenn!$D:$D, 103)="", NA(), INDEX(Glenn!$L:$L, 103))</f>
        <v>#N/A</v>
      </c>
      <c r="H853" t="e">
        <f t="shared" si="27"/>
        <v>#N/A</v>
      </c>
    </row>
    <row r="854" spans="1:8" x14ac:dyDescent="0.2">
      <c r="A854" t="e">
        <f>IF(INDEX(Glenn!$D:$D, 104)="", NA(), "Glenn (Developer)")</f>
        <v>#N/A</v>
      </c>
      <c r="B854" t="e">
        <f>IF(INDEX(Glenn!$D:$D, 104)="", NA(), INDEX(Glenn!$B:$B, 104))</f>
        <v>#N/A</v>
      </c>
      <c r="C854" t="e">
        <f>IF(INDEX(Glenn!$D:$D, 104)="", NA(), INDEX(Glenn!$D:$D, 104))</f>
        <v>#N/A</v>
      </c>
      <c r="D854" t="e">
        <f>IF(INDEX(Glenn!$D:$D, 104)="", NA(), INDEX(Glenn!$E:$E, 104))</f>
        <v>#N/A</v>
      </c>
      <c r="E854" s="13" t="e">
        <f>IF(INDEX(Glenn!$D:$D, 104)="", NA(), INDEX(Glenn!$K:$K, 104))</f>
        <v>#N/A</v>
      </c>
      <c r="F854" t="e">
        <f t="shared" si="26"/>
        <v>#N/A</v>
      </c>
      <c r="G854" s="13" t="e">
        <f>IF(INDEX(Glenn!$D:$D, 104)="", NA(), INDEX(Glenn!$L:$L, 104))</f>
        <v>#N/A</v>
      </c>
      <c r="H854" t="e">
        <f t="shared" si="27"/>
        <v>#N/A</v>
      </c>
    </row>
    <row r="855" spans="1:8" x14ac:dyDescent="0.2">
      <c r="A855" t="e">
        <f>IF(INDEX(Glenn!$D:$D, 105)="", NA(), "Glenn (Developer)")</f>
        <v>#N/A</v>
      </c>
      <c r="B855" t="e">
        <f>IF(INDEX(Glenn!$D:$D, 105)="", NA(), INDEX(Glenn!$B:$B, 105))</f>
        <v>#N/A</v>
      </c>
      <c r="C855" t="e">
        <f>IF(INDEX(Glenn!$D:$D, 105)="", NA(), INDEX(Glenn!$D:$D, 105))</f>
        <v>#N/A</v>
      </c>
      <c r="D855" t="e">
        <f>IF(INDEX(Glenn!$D:$D, 105)="", NA(), INDEX(Glenn!$E:$E, 105))</f>
        <v>#N/A</v>
      </c>
      <c r="E855" s="13" t="e">
        <f>IF(INDEX(Glenn!$D:$D, 105)="", NA(), INDEX(Glenn!$K:$K, 105))</f>
        <v>#N/A</v>
      </c>
      <c r="F855" t="e">
        <f t="shared" si="26"/>
        <v>#N/A</v>
      </c>
      <c r="G855" s="13" t="e">
        <f>IF(INDEX(Glenn!$D:$D, 105)="", NA(), INDEX(Glenn!$L:$L, 105))</f>
        <v>#N/A</v>
      </c>
      <c r="H855" t="e">
        <f t="shared" si="27"/>
        <v>#N/A</v>
      </c>
    </row>
    <row r="856" spans="1:8" x14ac:dyDescent="0.2">
      <c r="A856" t="e">
        <f>IF(INDEX(Glenn!$D:$D, 106)="", NA(), "Glenn (Developer)")</f>
        <v>#N/A</v>
      </c>
      <c r="B856" t="e">
        <f>IF(INDEX(Glenn!$D:$D, 106)="", NA(), INDEX(Glenn!$B:$B, 106))</f>
        <v>#N/A</v>
      </c>
      <c r="C856" t="e">
        <f>IF(INDEX(Glenn!$D:$D, 106)="", NA(), INDEX(Glenn!$D:$D, 106))</f>
        <v>#N/A</v>
      </c>
      <c r="D856" t="e">
        <f>IF(INDEX(Glenn!$D:$D, 106)="", NA(), INDEX(Glenn!$E:$E, 106))</f>
        <v>#N/A</v>
      </c>
      <c r="E856" s="13" t="e">
        <f>IF(INDEX(Glenn!$D:$D, 106)="", NA(), INDEX(Glenn!$K:$K, 106))</f>
        <v>#N/A</v>
      </c>
      <c r="F856" t="e">
        <f t="shared" si="26"/>
        <v>#N/A</v>
      </c>
      <c r="G856" s="13" t="e">
        <f>IF(INDEX(Glenn!$D:$D, 106)="", NA(), INDEX(Glenn!$L:$L, 106))</f>
        <v>#N/A</v>
      </c>
      <c r="H856" t="e">
        <f t="shared" si="27"/>
        <v>#N/A</v>
      </c>
    </row>
    <row r="857" spans="1:8" x14ac:dyDescent="0.2">
      <c r="A857" t="e">
        <f>IF(INDEX(Glenn!$D:$D, 107)="", NA(), "Glenn (Developer)")</f>
        <v>#N/A</v>
      </c>
      <c r="B857" t="e">
        <f>IF(INDEX(Glenn!$D:$D, 107)="", NA(), INDEX(Glenn!$B:$B, 107))</f>
        <v>#N/A</v>
      </c>
      <c r="C857" t="e">
        <f>IF(INDEX(Glenn!$D:$D, 107)="", NA(), INDEX(Glenn!$D:$D, 107))</f>
        <v>#N/A</v>
      </c>
      <c r="D857" t="e">
        <f>IF(INDEX(Glenn!$D:$D, 107)="", NA(), INDEX(Glenn!$E:$E, 107))</f>
        <v>#N/A</v>
      </c>
      <c r="E857" s="13" t="e">
        <f>IF(INDEX(Glenn!$D:$D, 107)="", NA(), INDEX(Glenn!$K:$K, 107))</f>
        <v>#N/A</v>
      </c>
      <c r="F857" t="e">
        <f t="shared" si="26"/>
        <v>#N/A</v>
      </c>
      <c r="G857" s="13" t="e">
        <f>IF(INDEX(Glenn!$D:$D, 107)="", NA(), INDEX(Glenn!$L:$L, 107))</f>
        <v>#N/A</v>
      </c>
      <c r="H857" t="e">
        <f t="shared" si="27"/>
        <v>#N/A</v>
      </c>
    </row>
    <row r="858" spans="1:8" x14ac:dyDescent="0.2">
      <c r="A858" t="e">
        <f>IF(INDEX(Glenn!$D:$D, 108)="", NA(), "Glenn (Developer)")</f>
        <v>#N/A</v>
      </c>
      <c r="B858" t="e">
        <f>IF(INDEX(Glenn!$D:$D, 108)="", NA(), INDEX(Glenn!$B:$B, 108))</f>
        <v>#N/A</v>
      </c>
      <c r="C858" t="e">
        <f>IF(INDEX(Glenn!$D:$D, 108)="", NA(), INDEX(Glenn!$D:$D, 108))</f>
        <v>#N/A</v>
      </c>
      <c r="D858" t="e">
        <f>IF(INDEX(Glenn!$D:$D, 108)="", NA(), INDEX(Glenn!$E:$E, 108))</f>
        <v>#N/A</v>
      </c>
      <c r="E858" s="13" t="e">
        <f>IF(INDEX(Glenn!$D:$D, 108)="", NA(), INDEX(Glenn!$K:$K, 108))</f>
        <v>#N/A</v>
      </c>
      <c r="F858" t="e">
        <f t="shared" si="26"/>
        <v>#N/A</v>
      </c>
      <c r="G858" s="13" t="e">
        <f>IF(INDEX(Glenn!$D:$D, 108)="", NA(), INDEX(Glenn!$L:$L, 108))</f>
        <v>#N/A</v>
      </c>
      <c r="H858" t="e">
        <f t="shared" si="27"/>
        <v>#N/A</v>
      </c>
    </row>
    <row r="859" spans="1:8" x14ac:dyDescent="0.2">
      <c r="A859" t="e">
        <f>IF(INDEX(Glenn!$D:$D, 109)="", NA(), "Glenn (Developer)")</f>
        <v>#N/A</v>
      </c>
      <c r="B859" t="e">
        <f>IF(INDEX(Glenn!$D:$D, 109)="", NA(), INDEX(Glenn!$B:$B, 109))</f>
        <v>#N/A</v>
      </c>
      <c r="C859" t="e">
        <f>IF(INDEX(Glenn!$D:$D, 109)="", NA(), INDEX(Glenn!$D:$D, 109))</f>
        <v>#N/A</v>
      </c>
      <c r="D859" t="e">
        <f>IF(INDEX(Glenn!$D:$D, 109)="", NA(), INDEX(Glenn!$E:$E, 109))</f>
        <v>#N/A</v>
      </c>
      <c r="E859" s="13" t="e">
        <f>IF(INDEX(Glenn!$D:$D, 109)="", NA(), INDEX(Glenn!$K:$K, 109))</f>
        <v>#N/A</v>
      </c>
      <c r="F859" t="e">
        <f t="shared" si="26"/>
        <v>#N/A</v>
      </c>
      <c r="G859" s="13" t="e">
        <f>IF(INDEX(Glenn!$D:$D, 109)="", NA(), INDEX(Glenn!$L:$L, 109))</f>
        <v>#N/A</v>
      </c>
      <c r="H859" t="e">
        <f t="shared" si="27"/>
        <v>#N/A</v>
      </c>
    </row>
    <row r="860" spans="1:8" x14ac:dyDescent="0.2">
      <c r="A860" t="e">
        <f>IF(INDEX(Glenn!$D:$D, 110)="", NA(), "Glenn (Developer)")</f>
        <v>#N/A</v>
      </c>
      <c r="B860" t="e">
        <f>IF(INDEX(Glenn!$D:$D, 110)="", NA(), INDEX(Glenn!$B:$B, 110))</f>
        <v>#N/A</v>
      </c>
      <c r="C860" t="e">
        <f>IF(INDEX(Glenn!$D:$D, 110)="", NA(), INDEX(Glenn!$D:$D, 110))</f>
        <v>#N/A</v>
      </c>
      <c r="D860" t="e">
        <f>IF(INDEX(Glenn!$D:$D, 110)="", NA(), INDEX(Glenn!$E:$E, 110))</f>
        <v>#N/A</v>
      </c>
      <c r="E860" s="13" t="e">
        <f>IF(INDEX(Glenn!$D:$D, 110)="", NA(), INDEX(Glenn!$K:$K, 110))</f>
        <v>#N/A</v>
      </c>
      <c r="F860" t="e">
        <f t="shared" si="26"/>
        <v>#N/A</v>
      </c>
      <c r="G860" s="13" t="e">
        <f>IF(INDEX(Glenn!$D:$D, 110)="", NA(), INDEX(Glenn!$L:$L, 110))</f>
        <v>#N/A</v>
      </c>
      <c r="H860" t="e">
        <f t="shared" si="27"/>
        <v>#N/A</v>
      </c>
    </row>
    <row r="861" spans="1:8" x14ac:dyDescent="0.2">
      <c r="A861" t="e">
        <f>IF(INDEX(Glenn!$D:$D, 111)="", NA(), "Glenn (Developer)")</f>
        <v>#N/A</v>
      </c>
      <c r="B861" t="e">
        <f>IF(INDEX(Glenn!$D:$D, 111)="", NA(), INDEX(Glenn!$B:$B, 111))</f>
        <v>#N/A</v>
      </c>
      <c r="C861" t="e">
        <f>IF(INDEX(Glenn!$D:$D, 111)="", NA(), INDEX(Glenn!$D:$D, 111))</f>
        <v>#N/A</v>
      </c>
      <c r="D861" t="e">
        <f>IF(INDEX(Glenn!$D:$D, 111)="", NA(), INDEX(Glenn!$E:$E, 111))</f>
        <v>#N/A</v>
      </c>
      <c r="E861" s="13" t="e">
        <f>IF(INDEX(Glenn!$D:$D, 111)="", NA(), INDEX(Glenn!$K:$K, 111))</f>
        <v>#N/A</v>
      </c>
      <c r="F861" t="e">
        <f t="shared" si="26"/>
        <v>#N/A</v>
      </c>
      <c r="G861" s="13" t="e">
        <f>IF(INDEX(Glenn!$D:$D, 111)="", NA(), INDEX(Glenn!$L:$L, 111))</f>
        <v>#N/A</v>
      </c>
      <c r="H861" t="e">
        <f t="shared" si="27"/>
        <v>#N/A</v>
      </c>
    </row>
    <row r="862" spans="1:8" x14ac:dyDescent="0.2">
      <c r="A862" t="e">
        <f>IF(INDEX(Glenn!$D:$D, 112)="", NA(), "Glenn (Developer)")</f>
        <v>#N/A</v>
      </c>
      <c r="B862" t="e">
        <f>IF(INDEX(Glenn!$D:$D, 112)="", NA(), INDEX(Glenn!$B:$B, 112))</f>
        <v>#N/A</v>
      </c>
      <c r="C862" t="e">
        <f>IF(INDEX(Glenn!$D:$D, 112)="", NA(), INDEX(Glenn!$D:$D, 112))</f>
        <v>#N/A</v>
      </c>
      <c r="D862" t="e">
        <f>IF(INDEX(Glenn!$D:$D, 112)="", NA(), INDEX(Glenn!$E:$E, 112))</f>
        <v>#N/A</v>
      </c>
      <c r="E862" s="13" t="e">
        <f>IF(INDEX(Glenn!$D:$D, 112)="", NA(), INDEX(Glenn!$K:$K, 112))</f>
        <v>#N/A</v>
      </c>
      <c r="F862" t="e">
        <f t="shared" si="26"/>
        <v>#N/A</v>
      </c>
      <c r="G862" s="13" t="e">
        <f>IF(INDEX(Glenn!$D:$D, 112)="", NA(), INDEX(Glenn!$L:$L, 112))</f>
        <v>#N/A</v>
      </c>
      <c r="H862" t="e">
        <f t="shared" si="27"/>
        <v>#N/A</v>
      </c>
    </row>
    <row r="863" spans="1:8" x14ac:dyDescent="0.2">
      <c r="A863" t="e">
        <f>IF(INDEX(Glenn!$D:$D, 113)="", NA(), "Glenn (Developer)")</f>
        <v>#N/A</v>
      </c>
      <c r="B863" t="e">
        <f>IF(INDEX(Glenn!$D:$D, 113)="", NA(), INDEX(Glenn!$B:$B, 113))</f>
        <v>#N/A</v>
      </c>
      <c r="C863" t="e">
        <f>IF(INDEX(Glenn!$D:$D, 113)="", NA(), INDEX(Glenn!$D:$D, 113))</f>
        <v>#N/A</v>
      </c>
      <c r="D863" t="e">
        <f>IF(INDEX(Glenn!$D:$D, 113)="", NA(), INDEX(Glenn!$E:$E, 113))</f>
        <v>#N/A</v>
      </c>
      <c r="E863" s="13" t="e">
        <f>IF(INDEX(Glenn!$D:$D, 113)="", NA(), INDEX(Glenn!$K:$K, 113))</f>
        <v>#N/A</v>
      </c>
      <c r="F863" t="e">
        <f t="shared" si="26"/>
        <v>#N/A</v>
      </c>
      <c r="G863" s="13" t="e">
        <f>IF(INDEX(Glenn!$D:$D, 113)="", NA(), INDEX(Glenn!$L:$L, 113))</f>
        <v>#N/A</v>
      </c>
      <c r="H863" t="e">
        <f t="shared" si="27"/>
        <v>#N/A</v>
      </c>
    </row>
    <row r="864" spans="1:8" x14ac:dyDescent="0.2">
      <c r="A864" t="e">
        <f>IF(INDEX(Glenn!$D:$D, 114)="", NA(), "Glenn (Developer)")</f>
        <v>#N/A</v>
      </c>
      <c r="B864" t="e">
        <f>IF(INDEX(Glenn!$D:$D, 114)="", NA(), INDEX(Glenn!$B:$B, 114))</f>
        <v>#N/A</v>
      </c>
      <c r="C864" t="e">
        <f>IF(INDEX(Glenn!$D:$D, 114)="", NA(), INDEX(Glenn!$D:$D, 114))</f>
        <v>#N/A</v>
      </c>
      <c r="D864" t="e">
        <f>IF(INDEX(Glenn!$D:$D, 114)="", NA(), INDEX(Glenn!$E:$E, 114))</f>
        <v>#N/A</v>
      </c>
      <c r="E864" s="13" t="e">
        <f>IF(INDEX(Glenn!$D:$D, 114)="", NA(), INDEX(Glenn!$K:$K, 114))</f>
        <v>#N/A</v>
      </c>
      <c r="F864" t="e">
        <f t="shared" si="26"/>
        <v>#N/A</v>
      </c>
      <c r="G864" s="13" t="e">
        <f>IF(INDEX(Glenn!$D:$D, 114)="", NA(), INDEX(Glenn!$L:$L, 114))</f>
        <v>#N/A</v>
      </c>
      <c r="H864" t="e">
        <f t="shared" si="27"/>
        <v>#N/A</v>
      </c>
    </row>
    <row r="865" spans="1:8" x14ac:dyDescent="0.2">
      <c r="A865" t="e">
        <f>IF(INDEX(Glenn!$D:$D, 115)="", NA(), "Glenn (Developer)")</f>
        <v>#N/A</v>
      </c>
      <c r="B865" t="e">
        <f>IF(INDEX(Glenn!$D:$D, 115)="", NA(), INDEX(Glenn!$B:$B, 115))</f>
        <v>#N/A</v>
      </c>
      <c r="C865" t="e">
        <f>IF(INDEX(Glenn!$D:$D, 115)="", NA(), INDEX(Glenn!$D:$D, 115))</f>
        <v>#N/A</v>
      </c>
      <c r="D865" t="e">
        <f>IF(INDEX(Glenn!$D:$D, 115)="", NA(), INDEX(Glenn!$E:$E, 115))</f>
        <v>#N/A</v>
      </c>
      <c r="E865" s="13" t="e">
        <f>IF(INDEX(Glenn!$D:$D, 115)="", NA(), INDEX(Glenn!$K:$K, 115))</f>
        <v>#N/A</v>
      </c>
      <c r="F865" t="e">
        <f t="shared" si="26"/>
        <v>#N/A</v>
      </c>
      <c r="G865" s="13" t="e">
        <f>IF(INDEX(Glenn!$D:$D, 115)="", NA(), INDEX(Glenn!$L:$L, 115))</f>
        <v>#N/A</v>
      </c>
      <c r="H865" t="e">
        <f t="shared" si="27"/>
        <v>#N/A</v>
      </c>
    </row>
    <row r="866" spans="1:8" x14ac:dyDescent="0.2">
      <c r="A866" t="e">
        <f>IF(INDEX(Glenn!$D:$D, 116)="", NA(), "Glenn (Developer)")</f>
        <v>#N/A</v>
      </c>
      <c r="B866" t="e">
        <f>IF(INDEX(Glenn!$D:$D, 116)="", NA(), INDEX(Glenn!$B:$B, 116))</f>
        <v>#N/A</v>
      </c>
      <c r="C866" t="e">
        <f>IF(INDEX(Glenn!$D:$D, 116)="", NA(), INDEX(Glenn!$D:$D, 116))</f>
        <v>#N/A</v>
      </c>
      <c r="D866" t="e">
        <f>IF(INDEX(Glenn!$D:$D, 116)="", NA(), INDEX(Glenn!$E:$E, 116))</f>
        <v>#N/A</v>
      </c>
      <c r="E866" s="13" t="e">
        <f>IF(INDEX(Glenn!$D:$D, 116)="", NA(), INDEX(Glenn!$K:$K, 116))</f>
        <v>#N/A</v>
      </c>
      <c r="F866" t="e">
        <f t="shared" si="26"/>
        <v>#N/A</v>
      </c>
      <c r="G866" s="13" t="e">
        <f>IF(INDEX(Glenn!$D:$D, 116)="", NA(), INDEX(Glenn!$L:$L, 116))</f>
        <v>#N/A</v>
      </c>
      <c r="H866" t="e">
        <f t="shared" si="27"/>
        <v>#N/A</v>
      </c>
    </row>
    <row r="867" spans="1:8" x14ac:dyDescent="0.2">
      <c r="A867" t="e">
        <f>IF(INDEX(Glenn!$D:$D, 117)="", NA(), "Glenn (Developer)")</f>
        <v>#N/A</v>
      </c>
      <c r="B867" t="e">
        <f>IF(INDEX(Glenn!$D:$D, 117)="", NA(), INDEX(Glenn!$B:$B, 117))</f>
        <v>#N/A</v>
      </c>
      <c r="C867" t="e">
        <f>IF(INDEX(Glenn!$D:$D, 117)="", NA(), INDEX(Glenn!$D:$D, 117))</f>
        <v>#N/A</v>
      </c>
      <c r="D867" t="e">
        <f>IF(INDEX(Glenn!$D:$D, 117)="", NA(), INDEX(Glenn!$E:$E, 117))</f>
        <v>#N/A</v>
      </c>
      <c r="E867" s="13" t="e">
        <f>IF(INDEX(Glenn!$D:$D, 117)="", NA(), INDEX(Glenn!$K:$K, 117))</f>
        <v>#N/A</v>
      </c>
      <c r="F867" t="e">
        <f t="shared" si="26"/>
        <v>#N/A</v>
      </c>
      <c r="G867" s="13" t="e">
        <f>IF(INDEX(Glenn!$D:$D, 117)="", NA(), INDEX(Glenn!$L:$L, 117))</f>
        <v>#N/A</v>
      </c>
      <c r="H867" t="e">
        <f t="shared" si="27"/>
        <v>#N/A</v>
      </c>
    </row>
    <row r="868" spans="1:8" x14ac:dyDescent="0.2">
      <c r="A868" t="e">
        <f>IF(INDEX(Glenn!$D:$D, 118)="", NA(), "Glenn (Developer)")</f>
        <v>#N/A</v>
      </c>
      <c r="B868" t="e">
        <f>IF(INDEX(Glenn!$D:$D, 118)="", NA(), INDEX(Glenn!$B:$B, 118))</f>
        <v>#N/A</v>
      </c>
      <c r="C868" t="e">
        <f>IF(INDEX(Glenn!$D:$D, 118)="", NA(), INDEX(Glenn!$D:$D, 118))</f>
        <v>#N/A</v>
      </c>
      <c r="D868" t="e">
        <f>IF(INDEX(Glenn!$D:$D, 118)="", NA(), INDEX(Glenn!$E:$E, 118))</f>
        <v>#N/A</v>
      </c>
      <c r="E868" s="13" t="e">
        <f>IF(INDEX(Glenn!$D:$D, 118)="", NA(), INDEX(Glenn!$K:$K, 118))</f>
        <v>#N/A</v>
      </c>
      <c r="F868" t="e">
        <f t="shared" si="26"/>
        <v>#N/A</v>
      </c>
      <c r="G868" s="13" t="e">
        <f>IF(INDEX(Glenn!$D:$D, 118)="", NA(), INDEX(Glenn!$L:$L, 118))</f>
        <v>#N/A</v>
      </c>
      <c r="H868" t="e">
        <f t="shared" si="27"/>
        <v>#N/A</v>
      </c>
    </row>
    <row r="869" spans="1:8" x14ac:dyDescent="0.2">
      <c r="A869" t="e">
        <f>IF(INDEX(Glenn!$D:$D, 119)="", NA(), "Glenn (Developer)")</f>
        <v>#N/A</v>
      </c>
      <c r="B869" t="e">
        <f>IF(INDEX(Glenn!$D:$D, 119)="", NA(), INDEX(Glenn!$B:$B, 119))</f>
        <v>#N/A</v>
      </c>
      <c r="C869" t="e">
        <f>IF(INDEX(Glenn!$D:$D, 119)="", NA(), INDEX(Glenn!$D:$D, 119))</f>
        <v>#N/A</v>
      </c>
      <c r="D869" t="e">
        <f>IF(INDEX(Glenn!$D:$D, 119)="", NA(), INDEX(Glenn!$E:$E, 119))</f>
        <v>#N/A</v>
      </c>
      <c r="E869" s="13" t="e">
        <f>IF(INDEX(Glenn!$D:$D, 119)="", NA(), INDEX(Glenn!$K:$K, 119))</f>
        <v>#N/A</v>
      </c>
      <c r="F869" t="e">
        <f t="shared" si="26"/>
        <v>#N/A</v>
      </c>
      <c r="G869" s="13" t="e">
        <f>IF(INDEX(Glenn!$D:$D, 119)="", NA(), INDEX(Glenn!$L:$L, 119))</f>
        <v>#N/A</v>
      </c>
      <c r="H869" t="e">
        <f t="shared" si="27"/>
        <v>#N/A</v>
      </c>
    </row>
    <row r="870" spans="1:8" x14ac:dyDescent="0.2">
      <c r="A870" t="e">
        <f>IF(INDEX(Glenn!$D:$D, 120)="", NA(), "Glenn (Developer)")</f>
        <v>#N/A</v>
      </c>
      <c r="B870" t="e">
        <f>IF(INDEX(Glenn!$D:$D, 120)="", NA(), INDEX(Glenn!$B:$B, 120))</f>
        <v>#N/A</v>
      </c>
      <c r="C870" t="e">
        <f>IF(INDEX(Glenn!$D:$D, 120)="", NA(), INDEX(Glenn!$D:$D, 120))</f>
        <v>#N/A</v>
      </c>
      <c r="D870" t="e">
        <f>IF(INDEX(Glenn!$D:$D, 120)="", NA(), INDEX(Glenn!$E:$E, 120))</f>
        <v>#N/A</v>
      </c>
      <c r="E870" s="13" t="e">
        <f>IF(INDEX(Glenn!$D:$D, 120)="", NA(), INDEX(Glenn!$K:$K, 120))</f>
        <v>#N/A</v>
      </c>
      <c r="F870" t="e">
        <f t="shared" si="26"/>
        <v>#N/A</v>
      </c>
      <c r="G870" s="13" t="e">
        <f>IF(INDEX(Glenn!$D:$D, 120)="", NA(), INDEX(Glenn!$L:$L, 120))</f>
        <v>#N/A</v>
      </c>
      <c r="H870" t="e">
        <f t="shared" si="27"/>
        <v>#N/A</v>
      </c>
    </row>
    <row r="871" spans="1:8" x14ac:dyDescent="0.2">
      <c r="A871" t="e">
        <f>IF(INDEX(Glenn!$D:$D, 121)="", NA(), "Glenn (Developer)")</f>
        <v>#N/A</v>
      </c>
      <c r="B871" t="e">
        <f>IF(INDEX(Glenn!$D:$D, 121)="", NA(), INDEX(Glenn!$B:$B, 121))</f>
        <v>#N/A</v>
      </c>
      <c r="C871" t="e">
        <f>IF(INDEX(Glenn!$D:$D, 121)="", NA(), INDEX(Glenn!$D:$D, 121))</f>
        <v>#N/A</v>
      </c>
      <c r="D871" t="e">
        <f>IF(INDEX(Glenn!$D:$D, 121)="", NA(), INDEX(Glenn!$E:$E, 121))</f>
        <v>#N/A</v>
      </c>
      <c r="E871" s="13" t="e">
        <f>IF(INDEX(Glenn!$D:$D, 121)="", NA(), INDEX(Glenn!$K:$K, 121))</f>
        <v>#N/A</v>
      </c>
      <c r="F871" t="e">
        <f t="shared" si="26"/>
        <v>#N/A</v>
      </c>
      <c r="G871" s="13" t="e">
        <f>IF(INDEX(Glenn!$D:$D, 121)="", NA(), INDEX(Glenn!$L:$L, 121))</f>
        <v>#N/A</v>
      </c>
      <c r="H871" t="e">
        <f t="shared" si="27"/>
        <v>#N/A</v>
      </c>
    </row>
    <row r="872" spans="1:8" x14ac:dyDescent="0.2">
      <c r="A872" t="e">
        <f>IF(INDEX(Glenn!$D:$D, 122)="", NA(), "Glenn (Developer)")</f>
        <v>#N/A</v>
      </c>
      <c r="B872" t="e">
        <f>IF(INDEX(Glenn!$D:$D, 122)="", NA(), INDEX(Glenn!$B:$B, 122))</f>
        <v>#N/A</v>
      </c>
      <c r="C872" t="e">
        <f>IF(INDEX(Glenn!$D:$D, 122)="", NA(), INDEX(Glenn!$D:$D, 122))</f>
        <v>#N/A</v>
      </c>
      <c r="D872" t="e">
        <f>IF(INDEX(Glenn!$D:$D, 122)="", NA(), INDEX(Glenn!$E:$E, 122))</f>
        <v>#N/A</v>
      </c>
      <c r="E872" s="13" t="e">
        <f>IF(INDEX(Glenn!$D:$D, 122)="", NA(), INDEX(Glenn!$K:$K, 122))</f>
        <v>#N/A</v>
      </c>
      <c r="F872" t="e">
        <f t="shared" si="26"/>
        <v>#N/A</v>
      </c>
      <c r="G872" s="13" t="e">
        <f>IF(INDEX(Glenn!$D:$D, 122)="", NA(), INDEX(Glenn!$L:$L, 122))</f>
        <v>#N/A</v>
      </c>
      <c r="H872" t="e">
        <f t="shared" si="27"/>
        <v>#N/A</v>
      </c>
    </row>
    <row r="873" spans="1:8" x14ac:dyDescent="0.2">
      <c r="A873" t="e">
        <f>IF(INDEX(Glenn!$D:$D, 123)="", NA(), "Glenn (Developer)")</f>
        <v>#N/A</v>
      </c>
      <c r="B873" t="e">
        <f>IF(INDEX(Glenn!$D:$D, 123)="", NA(), INDEX(Glenn!$B:$B, 123))</f>
        <v>#N/A</v>
      </c>
      <c r="C873" t="e">
        <f>IF(INDEX(Glenn!$D:$D, 123)="", NA(), INDEX(Glenn!$D:$D, 123))</f>
        <v>#N/A</v>
      </c>
      <c r="D873" t="e">
        <f>IF(INDEX(Glenn!$D:$D, 123)="", NA(), INDEX(Glenn!$E:$E, 123))</f>
        <v>#N/A</v>
      </c>
      <c r="E873" s="13" t="e">
        <f>IF(INDEX(Glenn!$D:$D, 123)="", NA(), INDEX(Glenn!$K:$K, 123))</f>
        <v>#N/A</v>
      </c>
      <c r="F873" t="e">
        <f t="shared" si="26"/>
        <v>#N/A</v>
      </c>
      <c r="G873" s="13" t="e">
        <f>IF(INDEX(Glenn!$D:$D, 123)="", NA(), INDEX(Glenn!$L:$L, 123))</f>
        <v>#N/A</v>
      </c>
      <c r="H873" t="e">
        <f t="shared" si="27"/>
        <v>#N/A</v>
      </c>
    </row>
    <row r="874" spans="1:8" x14ac:dyDescent="0.2">
      <c r="A874" t="e">
        <f>IF(INDEX(Glenn!$D:$D, 124)="", NA(), "Glenn (Developer)")</f>
        <v>#N/A</v>
      </c>
      <c r="B874" t="e">
        <f>IF(INDEX(Glenn!$D:$D, 124)="", NA(), INDEX(Glenn!$B:$B, 124))</f>
        <v>#N/A</v>
      </c>
      <c r="C874" t="e">
        <f>IF(INDEX(Glenn!$D:$D, 124)="", NA(), INDEX(Glenn!$D:$D, 124))</f>
        <v>#N/A</v>
      </c>
      <c r="D874" t="e">
        <f>IF(INDEX(Glenn!$D:$D, 124)="", NA(), INDEX(Glenn!$E:$E, 124))</f>
        <v>#N/A</v>
      </c>
      <c r="E874" s="13" t="e">
        <f>IF(INDEX(Glenn!$D:$D, 124)="", NA(), INDEX(Glenn!$K:$K, 124))</f>
        <v>#N/A</v>
      </c>
      <c r="F874" t="e">
        <f t="shared" si="26"/>
        <v>#N/A</v>
      </c>
      <c r="G874" s="13" t="e">
        <f>IF(INDEX(Glenn!$D:$D, 124)="", NA(), INDEX(Glenn!$L:$L, 124))</f>
        <v>#N/A</v>
      </c>
      <c r="H874" t="e">
        <f t="shared" si="27"/>
        <v>#N/A</v>
      </c>
    </row>
    <row r="875" spans="1:8" x14ac:dyDescent="0.2">
      <c r="A875" t="e">
        <f>IF(INDEX(Glenn!$D:$D, 125)="", NA(), "Glenn (Developer)")</f>
        <v>#N/A</v>
      </c>
      <c r="B875" t="e">
        <f>IF(INDEX(Glenn!$D:$D, 125)="", NA(), INDEX(Glenn!$B:$B, 125))</f>
        <v>#N/A</v>
      </c>
      <c r="C875" t="e">
        <f>IF(INDEX(Glenn!$D:$D, 125)="", NA(), INDEX(Glenn!$D:$D, 125))</f>
        <v>#N/A</v>
      </c>
      <c r="D875" t="e">
        <f>IF(INDEX(Glenn!$D:$D, 125)="", NA(), INDEX(Glenn!$E:$E, 125))</f>
        <v>#N/A</v>
      </c>
      <c r="E875" s="13" t="e">
        <f>IF(INDEX(Glenn!$D:$D, 125)="", NA(), INDEX(Glenn!$K:$K, 125))</f>
        <v>#N/A</v>
      </c>
      <c r="F875" t="e">
        <f t="shared" si="26"/>
        <v>#N/A</v>
      </c>
      <c r="G875" s="13" t="e">
        <f>IF(INDEX(Glenn!$D:$D, 125)="", NA(), INDEX(Glenn!$L:$L, 125))</f>
        <v>#N/A</v>
      </c>
      <c r="H875" t="e">
        <f t="shared" si="27"/>
        <v>#N/A</v>
      </c>
    </row>
    <row r="876" spans="1:8" x14ac:dyDescent="0.2">
      <c r="A876" t="e">
        <f>IF(INDEX(Glenn!$D:$D, 126)="", NA(), "Glenn (Developer)")</f>
        <v>#N/A</v>
      </c>
      <c r="B876" t="e">
        <f>IF(INDEX(Glenn!$D:$D, 126)="", NA(), INDEX(Glenn!$B:$B, 126))</f>
        <v>#N/A</v>
      </c>
      <c r="C876" t="e">
        <f>IF(INDEX(Glenn!$D:$D, 126)="", NA(), INDEX(Glenn!$D:$D, 126))</f>
        <v>#N/A</v>
      </c>
      <c r="D876" t="e">
        <f>IF(INDEX(Glenn!$D:$D, 126)="", NA(), INDEX(Glenn!$E:$E, 126))</f>
        <v>#N/A</v>
      </c>
      <c r="E876" s="13" t="e">
        <f>IF(INDEX(Glenn!$D:$D, 126)="", NA(), INDEX(Glenn!$K:$K, 126))</f>
        <v>#N/A</v>
      </c>
      <c r="F876" t="e">
        <f t="shared" si="26"/>
        <v>#N/A</v>
      </c>
      <c r="G876" s="13" t="e">
        <f>IF(INDEX(Glenn!$D:$D, 126)="", NA(), INDEX(Glenn!$L:$L, 126))</f>
        <v>#N/A</v>
      </c>
      <c r="H876" t="e">
        <f t="shared" si="27"/>
        <v>#N/A</v>
      </c>
    </row>
    <row r="877" spans="1:8" x14ac:dyDescent="0.2">
      <c r="A877" t="e">
        <f>IF(INDEX(Glenn!$D:$D, 127)="", NA(), "Glenn (Developer)")</f>
        <v>#N/A</v>
      </c>
      <c r="B877" t="e">
        <f>IF(INDEX(Glenn!$D:$D, 127)="", NA(), INDEX(Glenn!$B:$B, 127))</f>
        <v>#N/A</v>
      </c>
      <c r="C877" t="e">
        <f>IF(INDEX(Glenn!$D:$D, 127)="", NA(), INDEX(Glenn!$D:$D, 127))</f>
        <v>#N/A</v>
      </c>
      <c r="D877" t="e">
        <f>IF(INDEX(Glenn!$D:$D, 127)="", NA(), INDEX(Glenn!$E:$E, 127))</f>
        <v>#N/A</v>
      </c>
      <c r="E877" s="13" t="e">
        <f>IF(INDEX(Glenn!$D:$D, 127)="", NA(), INDEX(Glenn!$K:$K, 127))</f>
        <v>#N/A</v>
      </c>
      <c r="F877" t="e">
        <f t="shared" si="26"/>
        <v>#N/A</v>
      </c>
      <c r="G877" s="13" t="e">
        <f>IF(INDEX(Glenn!$D:$D, 127)="", NA(), INDEX(Glenn!$L:$L, 127))</f>
        <v>#N/A</v>
      </c>
      <c r="H877" t="e">
        <f t="shared" si="27"/>
        <v>#N/A</v>
      </c>
    </row>
    <row r="878" spans="1:8" x14ac:dyDescent="0.2">
      <c r="A878" t="e">
        <f>IF(INDEX(Glenn!$D:$D, 128)="", NA(), "Glenn (Developer)")</f>
        <v>#N/A</v>
      </c>
      <c r="B878" t="e">
        <f>IF(INDEX(Glenn!$D:$D, 128)="", NA(), INDEX(Glenn!$B:$B, 128))</f>
        <v>#N/A</v>
      </c>
      <c r="C878" t="e">
        <f>IF(INDEX(Glenn!$D:$D, 128)="", NA(), INDEX(Glenn!$D:$D, 128))</f>
        <v>#N/A</v>
      </c>
      <c r="D878" t="e">
        <f>IF(INDEX(Glenn!$D:$D, 128)="", NA(), INDEX(Glenn!$E:$E, 128))</f>
        <v>#N/A</v>
      </c>
      <c r="E878" s="13" t="e">
        <f>IF(INDEX(Glenn!$D:$D, 128)="", NA(), INDEX(Glenn!$K:$K, 128))</f>
        <v>#N/A</v>
      </c>
      <c r="F878" t="e">
        <f t="shared" si="26"/>
        <v>#N/A</v>
      </c>
      <c r="G878" s="13" t="e">
        <f>IF(INDEX(Glenn!$D:$D, 128)="", NA(), INDEX(Glenn!$L:$L, 128))</f>
        <v>#N/A</v>
      </c>
      <c r="H878" t="e">
        <f t="shared" si="27"/>
        <v>#N/A</v>
      </c>
    </row>
    <row r="879" spans="1:8" x14ac:dyDescent="0.2">
      <c r="A879" t="e">
        <f>IF(INDEX(Glenn!$D:$D, 129)="", NA(), "Glenn (Developer)")</f>
        <v>#N/A</v>
      </c>
      <c r="B879" t="e">
        <f>IF(INDEX(Glenn!$D:$D, 129)="", NA(), INDEX(Glenn!$B:$B, 129))</f>
        <v>#N/A</v>
      </c>
      <c r="C879" t="e">
        <f>IF(INDEX(Glenn!$D:$D, 129)="", NA(), INDEX(Glenn!$D:$D, 129))</f>
        <v>#N/A</v>
      </c>
      <c r="D879" t="e">
        <f>IF(INDEX(Glenn!$D:$D, 129)="", NA(), INDEX(Glenn!$E:$E, 129))</f>
        <v>#N/A</v>
      </c>
      <c r="E879" s="13" t="e">
        <f>IF(INDEX(Glenn!$D:$D, 129)="", NA(), INDEX(Glenn!$K:$K, 129))</f>
        <v>#N/A</v>
      </c>
      <c r="F879" t="e">
        <f t="shared" si="26"/>
        <v>#N/A</v>
      </c>
      <c r="G879" s="13" t="e">
        <f>IF(INDEX(Glenn!$D:$D, 129)="", NA(), INDEX(Glenn!$L:$L, 129))</f>
        <v>#N/A</v>
      </c>
      <c r="H879" t="e">
        <f t="shared" si="27"/>
        <v>#N/A</v>
      </c>
    </row>
    <row r="880" spans="1:8" x14ac:dyDescent="0.2">
      <c r="A880" t="e">
        <f>IF(INDEX(Glenn!$D:$D, 130)="", NA(), "Glenn (Developer)")</f>
        <v>#N/A</v>
      </c>
      <c r="B880" t="e">
        <f>IF(INDEX(Glenn!$D:$D, 130)="", NA(), INDEX(Glenn!$B:$B, 130))</f>
        <v>#N/A</v>
      </c>
      <c r="C880" t="e">
        <f>IF(INDEX(Glenn!$D:$D, 130)="", NA(), INDEX(Glenn!$D:$D, 130))</f>
        <v>#N/A</v>
      </c>
      <c r="D880" t="e">
        <f>IF(INDEX(Glenn!$D:$D, 130)="", NA(), INDEX(Glenn!$E:$E, 130))</f>
        <v>#N/A</v>
      </c>
      <c r="E880" s="13" t="e">
        <f>IF(INDEX(Glenn!$D:$D, 130)="", NA(), INDEX(Glenn!$K:$K, 130))</f>
        <v>#N/A</v>
      </c>
      <c r="F880" t="e">
        <f t="shared" si="26"/>
        <v>#N/A</v>
      </c>
      <c r="G880" s="13" t="e">
        <f>IF(INDEX(Glenn!$D:$D, 130)="", NA(), INDEX(Glenn!$L:$L, 130))</f>
        <v>#N/A</v>
      </c>
      <c r="H880" t="e">
        <f t="shared" si="27"/>
        <v>#N/A</v>
      </c>
    </row>
    <row r="881" spans="1:8" x14ac:dyDescent="0.2">
      <c r="A881" t="e">
        <f>IF(INDEX(Glenn!$D:$D, 131)="", NA(), "Glenn (Developer)")</f>
        <v>#N/A</v>
      </c>
      <c r="B881" t="e">
        <f>IF(INDEX(Glenn!$D:$D, 131)="", NA(), INDEX(Glenn!$B:$B, 131))</f>
        <v>#N/A</v>
      </c>
      <c r="C881" t="e">
        <f>IF(INDEX(Glenn!$D:$D, 131)="", NA(), INDEX(Glenn!$D:$D, 131))</f>
        <v>#N/A</v>
      </c>
      <c r="D881" t="e">
        <f>IF(INDEX(Glenn!$D:$D, 131)="", NA(), INDEX(Glenn!$E:$E, 131))</f>
        <v>#N/A</v>
      </c>
      <c r="E881" s="13" t="e">
        <f>IF(INDEX(Glenn!$D:$D, 131)="", NA(), INDEX(Glenn!$K:$K, 131))</f>
        <v>#N/A</v>
      </c>
      <c r="F881" t="e">
        <f t="shared" si="26"/>
        <v>#N/A</v>
      </c>
      <c r="G881" s="13" t="e">
        <f>IF(INDEX(Glenn!$D:$D, 131)="", NA(), INDEX(Glenn!$L:$L, 131))</f>
        <v>#N/A</v>
      </c>
      <c r="H881" t="e">
        <f t="shared" si="27"/>
        <v>#N/A</v>
      </c>
    </row>
    <row r="882" spans="1:8" x14ac:dyDescent="0.2">
      <c r="A882" t="e">
        <f>IF(INDEX(Glenn!$D:$D, 132)="", NA(), "Glenn (Developer)")</f>
        <v>#N/A</v>
      </c>
      <c r="B882" t="e">
        <f>IF(INDEX(Glenn!$D:$D, 132)="", NA(), INDEX(Glenn!$B:$B, 132))</f>
        <v>#N/A</v>
      </c>
      <c r="C882" t="e">
        <f>IF(INDEX(Glenn!$D:$D, 132)="", NA(), INDEX(Glenn!$D:$D, 132))</f>
        <v>#N/A</v>
      </c>
      <c r="D882" t="e">
        <f>IF(INDEX(Glenn!$D:$D, 132)="", NA(), INDEX(Glenn!$E:$E, 132))</f>
        <v>#N/A</v>
      </c>
      <c r="E882" s="13" t="e">
        <f>IF(INDEX(Glenn!$D:$D, 132)="", NA(), INDEX(Glenn!$K:$K, 132))</f>
        <v>#N/A</v>
      </c>
      <c r="F882" t="e">
        <f t="shared" si="26"/>
        <v>#N/A</v>
      </c>
      <c r="G882" s="13" t="e">
        <f>IF(INDEX(Glenn!$D:$D, 132)="", NA(), INDEX(Glenn!$L:$L, 132))</f>
        <v>#N/A</v>
      </c>
      <c r="H882" t="e">
        <f t="shared" si="27"/>
        <v>#N/A</v>
      </c>
    </row>
    <row r="883" spans="1:8" x14ac:dyDescent="0.2">
      <c r="A883" t="e">
        <f>IF(INDEX(Glenn!$D:$D, 133)="", NA(), "Glenn (Developer)")</f>
        <v>#N/A</v>
      </c>
      <c r="B883" t="e">
        <f>IF(INDEX(Glenn!$D:$D, 133)="", NA(), INDEX(Glenn!$B:$B, 133))</f>
        <v>#N/A</v>
      </c>
      <c r="C883" t="e">
        <f>IF(INDEX(Glenn!$D:$D, 133)="", NA(), INDEX(Glenn!$D:$D, 133))</f>
        <v>#N/A</v>
      </c>
      <c r="D883" t="e">
        <f>IF(INDEX(Glenn!$D:$D, 133)="", NA(), INDEX(Glenn!$E:$E, 133))</f>
        <v>#N/A</v>
      </c>
      <c r="E883" s="13" t="e">
        <f>IF(INDEX(Glenn!$D:$D, 133)="", NA(), INDEX(Glenn!$K:$K, 133))</f>
        <v>#N/A</v>
      </c>
      <c r="F883" t="e">
        <f t="shared" si="26"/>
        <v>#N/A</v>
      </c>
      <c r="G883" s="13" t="e">
        <f>IF(INDEX(Glenn!$D:$D, 133)="", NA(), INDEX(Glenn!$L:$L, 133))</f>
        <v>#N/A</v>
      </c>
      <c r="H883" t="e">
        <f t="shared" si="27"/>
        <v>#N/A</v>
      </c>
    </row>
    <row r="884" spans="1:8" x14ac:dyDescent="0.2">
      <c r="A884" t="e">
        <f>IF(INDEX(Glenn!$D:$D, 134)="", NA(), "Glenn (Developer)")</f>
        <v>#N/A</v>
      </c>
      <c r="B884" t="e">
        <f>IF(INDEX(Glenn!$D:$D, 134)="", NA(), INDEX(Glenn!$B:$B, 134))</f>
        <v>#N/A</v>
      </c>
      <c r="C884" t="e">
        <f>IF(INDEX(Glenn!$D:$D, 134)="", NA(), INDEX(Glenn!$D:$D, 134))</f>
        <v>#N/A</v>
      </c>
      <c r="D884" t="e">
        <f>IF(INDEX(Glenn!$D:$D, 134)="", NA(), INDEX(Glenn!$E:$E, 134))</f>
        <v>#N/A</v>
      </c>
      <c r="E884" s="13" t="e">
        <f>IF(INDEX(Glenn!$D:$D, 134)="", NA(), INDEX(Glenn!$K:$K, 134))</f>
        <v>#N/A</v>
      </c>
      <c r="F884" t="e">
        <f t="shared" si="26"/>
        <v>#N/A</v>
      </c>
      <c r="G884" s="13" t="e">
        <f>IF(INDEX(Glenn!$D:$D, 134)="", NA(), INDEX(Glenn!$L:$L, 134))</f>
        <v>#N/A</v>
      </c>
      <c r="H884" t="e">
        <f t="shared" si="27"/>
        <v>#N/A</v>
      </c>
    </row>
    <row r="885" spans="1:8" x14ac:dyDescent="0.2">
      <c r="A885" t="e">
        <f>IF(INDEX(Glenn!$D:$D, 135)="", NA(), "Glenn (Developer)")</f>
        <v>#N/A</v>
      </c>
      <c r="B885" t="e">
        <f>IF(INDEX(Glenn!$D:$D, 135)="", NA(), INDEX(Glenn!$B:$B, 135))</f>
        <v>#N/A</v>
      </c>
      <c r="C885" t="e">
        <f>IF(INDEX(Glenn!$D:$D, 135)="", NA(), INDEX(Glenn!$D:$D, 135))</f>
        <v>#N/A</v>
      </c>
      <c r="D885" t="e">
        <f>IF(INDEX(Glenn!$D:$D, 135)="", NA(), INDEX(Glenn!$E:$E, 135))</f>
        <v>#N/A</v>
      </c>
      <c r="E885" s="13" t="e">
        <f>IF(INDEX(Glenn!$D:$D, 135)="", NA(), INDEX(Glenn!$K:$K, 135))</f>
        <v>#N/A</v>
      </c>
      <c r="F885" t="e">
        <f t="shared" si="26"/>
        <v>#N/A</v>
      </c>
      <c r="G885" s="13" t="e">
        <f>IF(INDEX(Glenn!$D:$D, 135)="", NA(), INDEX(Glenn!$L:$L, 135))</f>
        <v>#N/A</v>
      </c>
      <c r="H885" t="e">
        <f t="shared" si="27"/>
        <v>#N/A</v>
      </c>
    </row>
    <row r="886" spans="1:8" x14ac:dyDescent="0.2">
      <c r="A886" t="e">
        <f>IF(INDEX(Glenn!$D:$D, 136)="", NA(), "Glenn (Developer)")</f>
        <v>#N/A</v>
      </c>
      <c r="B886" t="e">
        <f>IF(INDEX(Glenn!$D:$D, 136)="", NA(), INDEX(Glenn!$B:$B, 136))</f>
        <v>#N/A</v>
      </c>
      <c r="C886" t="e">
        <f>IF(INDEX(Glenn!$D:$D, 136)="", NA(), INDEX(Glenn!$D:$D, 136))</f>
        <v>#N/A</v>
      </c>
      <c r="D886" t="e">
        <f>IF(INDEX(Glenn!$D:$D, 136)="", NA(), INDEX(Glenn!$E:$E, 136))</f>
        <v>#N/A</v>
      </c>
      <c r="E886" s="13" t="e">
        <f>IF(INDEX(Glenn!$D:$D, 136)="", NA(), INDEX(Glenn!$K:$K, 136))</f>
        <v>#N/A</v>
      </c>
      <c r="F886" t="e">
        <f t="shared" si="26"/>
        <v>#N/A</v>
      </c>
      <c r="G886" s="13" t="e">
        <f>IF(INDEX(Glenn!$D:$D, 136)="", NA(), INDEX(Glenn!$L:$L, 136))</f>
        <v>#N/A</v>
      </c>
      <c r="H886" t="e">
        <f t="shared" si="27"/>
        <v>#N/A</v>
      </c>
    </row>
    <row r="887" spans="1:8" x14ac:dyDescent="0.2">
      <c r="A887" t="e">
        <f>IF(INDEX(Glenn!$D:$D, 137)="", NA(), "Glenn (Developer)")</f>
        <v>#N/A</v>
      </c>
      <c r="B887" t="e">
        <f>IF(INDEX(Glenn!$D:$D, 137)="", NA(), INDEX(Glenn!$B:$B, 137))</f>
        <v>#N/A</v>
      </c>
      <c r="C887" t="e">
        <f>IF(INDEX(Glenn!$D:$D, 137)="", NA(), INDEX(Glenn!$D:$D, 137))</f>
        <v>#N/A</v>
      </c>
      <c r="D887" t="e">
        <f>IF(INDEX(Glenn!$D:$D, 137)="", NA(), INDEX(Glenn!$E:$E, 137))</f>
        <v>#N/A</v>
      </c>
      <c r="E887" s="13" t="e">
        <f>IF(INDEX(Glenn!$D:$D, 137)="", NA(), INDEX(Glenn!$K:$K, 137))</f>
        <v>#N/A</v>
      </c>
      <c r="F887" t="e">
        <f t="shared" si="26"/>
        <v>#N/A</v>
      </c>
      <c r="G887" s="13" t="e">
        <f>IF(INDEX(Glenn!$D:$D, 137)="", NA(), INDEX(Glenn!$L:$L, 137))</f>
        <v>#N/A</v>
      </c>
      <c r="H887" t="e">
        <f t="shared" si="27"/>
        <v>#N/A</v>
      </c>
    </row>
    <row r="888" spans="1:8" x14ac:dyDescent="0.2">
      <c r="A888" t="e">
        <f>IF(INDEX(Glenn!$D:$D, 138)="", NA(), "Glenn (Developer)")</f>
        <v>#N/A</v>
      </c>
      <c r="B888" t="e">
        <f>IF(INDEX(Glenn!$D:$D, 138)="", NA(), INDEX(Glenn!$B:$B, 138))</f>
        <v>#N/A</v>
      </c>
      <c r="C888" t="e">
        <f>IF(INDEX(Glenn!$D:$D, 138)="", NA(), INDEX(Glenn!$D:$D, 138))</f>
        <v>#N/A</v>
      </c>
      <c r="D888" t="e">
        <f>IF(INDEX(Glenn!$D:$D, 138)="", NA(), INDEX(Glenn!$E:$E, 138))</f>
        <v>#N/A</v>
      </c>
      <c r="E888" s="13" t="e">
        <f>IF(INDEX(Glenn!$D:$D, 138)="", NA(), INDEX(Glenn!$K:$K, 138))</f>
        <v>#N/A</v>
      </c>
      <c r="F888" t="e">
        <f t="shared" si="26"/>
        <v>#N/A</v>
      </c>
      <c r="G888" s="13" t="e">
        <f>IF(INDEX(Glenn!$D:$D, 138)="", NA(), INDEX(Glenn!$L:$L, 138))</f>
        <v>#N/A</v>
      </c>
      <c r="H888" t="e">
        <f t="shared" si="27"/>
        <v>#N/A</v>
      </c>
    </row>
    <row r="889" spans="1:8" x14ac:dyDescent="0.2">
      <c r="A889" t="e">
        <f>IF(INDEX(Glenn!$D:$D, 139)="", NA(), "Glenn (Developer)")</f>
        <v>#N/A</v>
      </c>
      <c r="B889" t="e">
        <f>IF(INDEX(Glenn!$D:$D, 139)="", NA(), INDEX(Glenn!$B:$B, 139))</f>
        <v>#N/A</v>
      </c>
      <c r="C889" t="e">
        <f>IF(INDEX(Glenn!$D:$D, 139)="", NA(), INDEX(Glenn!$D:$D, 139))</f>
        <v>#N/A</v>
      </c>
      <c r="D889" t="e">
        <f>IF(INDEX(Glenn!$D:$D, 139)="", NA(), INDEX(Glenn!$E:$E, 139))</f>
        <v>#N/A</v>
      </c>
      <c r="E889" s="13" t="e">
        <f>IF(INDEX(Glenn!$D:$D, 139)="", NA(), INDEX(Glenn!$K:$K, 139))</f>
        <v>#N/A</v>
      </c>
      <c r="F889" t="e">
        <f t="shared" si="26"/>
        <v>#N/A</v>
      </c>
      <c r="G889" s="13" t="e">
        <f>IF(INDEX(Glenn!$D:$D, 139)="", NA(), INDEX(Glenn!$L:$L, 139))</f>
        <v>#N/A</v>
      </c>
      <c r="H889" t="e">
        <f t="shared" si="27"/>
        <v>#N/A</v>
      </c>
    </row>
    <row r="890" spans="1:8" x14ac:dyDescent="0.2">
      <c r="A890" t="e">
        <f>IF(INDEX(Glenn!$D:$D, 140)="", NA(), "Glenn (Developer)")</f>
        <v>#N/A</v>
      </c>
      <c r="B890" t="e">
        <f>IF(INDEX(Glenn!$D:$D, 140)="", NA(), INDEX(Glenn!$B:$B, 140))</f>
        <v>#N/A</v>
      </c>
      <c r="C890" t="e">
        <f>IF(INDEX(Glenn!$D:$D, 140)="", NA(), INDEX(Glenn!$D:$D, 140))</f>
        <v>#N/A</v>
      </c>
      <c r="D890" t="e">
        <f>IF(INDEX(Glenn!$D:$D, 140)="", NA(), INDEX(Glenn!$E:$E, 140))</f>
        <v>#N/A</v>
      </c>
      <c r="E890" s="13" t="e">
        <f>IF(INDEX(Glenn!$D:$D, 140)="", NA(), INDEX(Glenn!$K:$K, 140))</f>
        <v>#N/A</v>
      </c>
      <c r="F890" t="e">
        <f t="shared" si="26"/>
        <v>#N/A</v>
      </c>
      <c r="G890" s="13" t="e">
        <f>IF(INDEX(Glenn!$D:$D, 140)="", NA(), INDEX(Glenn!$L:$L, 140))</f>
        <v>#N/A</v>
      </c>
      <c r="H890" t="e">
        <f t="shared" si="27"/>
        <v>#N/A</v>
      </c>
    </row>
    <row r="891" spans="1:8" x14ac:dyDescent="0.2">
      <c r="A891" t="e">
        <f>IF(INDEX(Glenn!$D:$D, 141)="", NA(), "Glenn (Developer)")</f>
        <v>#N/A</v>
      </c>
      <c r="B891" t="e">
        <f>IF(INDEX(Glenn!$D:$D, 141)="", NA(), INDEX(Glenn!$B:$B, 141))</f>
        <v>#N/A</v>
      </c>
      <c r="C891" t="e">
        <f>IF(INDEX(Glenn!$D:$D, 141)="", NA(), INDEX(Glenn!$D:$D, 141))</f>
        <v>#N/A</v>
      </c>
      <c r="D891" t="e">
        <f>IF(INDEX(Glenn!$D:$D, 141)="", NA(), INDEX(Glenn!$E:$E, 141))</f>
        <v>#N/A</v>
      </c>
      <c r="E891" s="13" t="e">
        <f>IF(INDEX(Glenn!$D:$D, 141)="", NA(), INDEX(Glenn!$K:$K, 141))</f>
        <v>#N/A</v>
      </c>
      <c r="F891" t="e">
        <f t="shared" si="26"/>
        <v>#N/A</v>
      </c>
      <c r="G891" s="13" t="e">
        <f>IF(INDEX(Glenn!$D:$D, 141)="", NA(), INDEX(Glenn!$L:$L, 141))</f>
        <v>#N/A</v>
      </c>
      <c r="H891" t="e">
        <f t="shared" si="27"/>
        <v>#N/A</v>
      </c>
    </row>
    <row r="892" spans="1:8" x14ac:dyDescent="0.2">
      <c r="A892" t="e">
        <f>IF(INDEX(Glenn!$D:$D, 142)="", NA(), "Glenn (Developer)")</f>
        <v>#N/A</v>
      </c>
      <c r="B892" t="e">
        <f>IF(INDEX(Glenn!$D:$D, 142)="", NA(), INDEX(Glenn!$B:$B, 142))</f>
        <v>#N/A</v>
      </c>
      <c r="C892" t="e">
        <f>IF(INDEX(Glenn!$D:$D, 142)="", NA(), INDEX(Glenn!$D:$D, 142))</f>
        <v>#N/A</v>
      </c>
      <c r="D892" t="e">
        <f>IF(INDEX(Glenn!$D:$D, 142)="", NA(), INDEX(Glenn!$E:$E, 142))</f>
        <v>#N/A</v>
      </c>
      <c r="E892" s="13" t="e">
        <f>IF(INDEX(Glenn!$D:$D, 142)="", NA(), INDEX(Glenn!$K:$K, 142))</f>
        <v>#N/A</v>
      </c>
      <c r="F892" t="e">
        <f t="shared" si="26"/>
        <v>#N/A</v>
      </c>
      <c r="G892" s="13" t="e">
        <f>IF(INDEX(Glenn!$D:$D, 142)="", NA(), INDEX(Glenn!$L:$L, 142))</f>
        <v>#N/A</v>
      </c>
      <c r="H892" t="e">
        <f t="shared" si="27"/>
        <v>#N/A</v>
      </c>
    </row>
    <row r="893" spans="1:8" x14ac:dyDescent="0.2">
      <c r="A893" t="e">
        <f>IF(INDEX(Glenn!$D:$D, 143)="", NA(), "Glenn (Developer)")</f>
        <v>#N/A</v>
      </c>
      <c r="B893" t="e">
        <f>IF(INDEX(Glenn!$D:$D, 143)="", NA(), INDEX(Glenn!$B:$B, 143))</f>
        <v>#N/A</v>
      </c>
      <c r="C893" t="e">
        <f>IF(INDEX(Glenn!$D:$D, 143)="", NA(), INDEX(Glenn!$D:$D, 143))</f>
        <v>#N/A</v>
      </c>
      <c r="D893" t="e">
        <f>IF(INDEX(Glenn!$D:$D, 143)="", NA(), INDEX(Glenn!$E:$E, 143))</f>
        <v>#N/A</v>
      </c>
      <c r="E893" s="13" t="e">
        <f>IF(INDEX(Glenn!$D:$D, 143)="", NA(), INDEX(Glenn!$K:$K, 143))</f>
        <v>#N/A</v>
      </c>
      <c r="F893" t="e">
        <f t="shared" si="26"/>
        <v>#N/A</v>
      </c>
      <c r="G893" s="13" t="e">
        <f>IF(INDEX(Glenn!$D:$D, 143)="", NA(), INDEX(Glenn!$L:$L, 143))</f>
        <v>#N/A</v>
      </c>
      <c r="H893" t="e">
        <f t="shared" si="27"/>
        <v>#N/A</v>
      </c>
    </row>
    <row r="894" spans="1:8" x14ac:dyDescent="0.2">
      <c r="A894" t="e">
        <f>IF(INDEX(Glenn!$D:$D, 144)="", NA(), "Glenn (Developer)")</f>
        <v>#N/A</v>
      </c>
      <c r="B894" t="e">
        <f>IF(INDEX(Glenn!$D:$D, 144)="", NA(), INDEX(Glenn!$B:$B, 144))</f>
        <v>#N/A</v>
      </c>
      <c r="C894" t="e">
        <f>IF(INDEX(Glenn!$D:$D, 144)="", NA(), INDEX(Glenn!$D:$D, 144))</f>
        <v>#N/A</v>
      </c>
      <c r="D894" t="e">
        <f>IF(INDEX(Glenn!$D:$D, 144)="", NA(), INDEX(Glenn!$E:$E, 144))</f>
        <v>#N/A</v>
      </c>
      <c r="E894" s="13" t="e">
        <f>IF(INDEX(Glenn!$D:$D, 144)="", NA(), INDEX(Glenn!$K:$K, 144))</f>
        <v>#N/A</v>
      </c>
      <c r="F894" t="e">
        <f t="shared" si="26"/>
        <v>#N/A</v>
      </c>
      <c r="G894" s="13" t="e">
        <f>IF(INDEX(Glenn!$D:$D, 144)="", NA(), INDEX(Glenn!$L:$L, 144))</f>
        <v>#N/A</v>
      </c>
      <c r="H894" t="e">
        <f t="shared" si="27"/>
        <v>#N/A</v>
      </c>
    </row>
    <row r="895" spans="1:8" x14ac:dyDescent="0.2">
      <c r="A895" t="e">
        <f>IF(INDEX(Glenn!$D:$D, 145)="", NA(), "Glenn (Developer)")</f>
        <v>#N/A</v>
      </c>
      <c r="B895" t="e">
        <f>IF(INDEX(Glenn!$D:$D, 145)="", NA(), INDEX(Glenn!$B:$B, 145))</f>
        <v>#N/A</v>
      </c>
      <c r="C895" t="e">
        <f>IF(INDEX(Glenn!$D:$D, 145)="", NA(), INDEX(Glenn!$D:$D, 145))</f>
        <v>#N/A</v>
      </c>
      <c r="D895" t="e">
        <f>IF(INDEX(Glenn!$D:$D, 145)="", NA(), INDEX(Glenn!$E:$E, 145))</f>
        <v>#N/A</v>
      </c>
      <c r="E895" s="13" t="e">
        <f>IF(INDEX(Glenn!$D:$D, 145)="", NA(), INDEX(Glenn!$K:$K, 145))</f>
        <v>#N/A</v>
      </c>
      <c r="F895" t="e">
        <f t="shared" si="26"/>
        <v>#N/A</v>
      </c>
      <c r="G895" s="13" t="e">
        <f>IF(INDEX(Glenn!$D:$D, 145)="", NA(), INDEX(Glenn!$L:$L, 145))</f>
        <v>#N/A</v>
      </c>
      <c r="H895" t="e">
        <f t="shared" si="27"/>
        <v>#N/A</v>
      </c>
    </row>
    <row r="896" spans="1:8" x14ac:dyDescent="0.2">
      <c r="A896" t="e">
        <f>IF(INDEX(Glenn!$D:$D, 146)="", NA(), "Glenn (Developer)")</f>
        <v>#N/A</v>
      </c>
      <c r="B896" t="e">
        <f>IF(INDEX(Glenn!$D:$D, 146)="", NA(), INDEX(Glenn!$B:$B, 146))</f>
        <v>#N/A</v>
      </c>
      <c r="C896" t="e">
        <f>IF(INDEX(Glenn!$D:$D, 146)="", NA(), INDEX(Glenn!$D:$D, 146))</f>
        <v>#N/A</v>
      </c>
      <c r="D896" t="e">
        <f>IF(INDEX(Glenn!$D:$D, 146)="", NA(), INDEX(Glenn!$E:$E, 146))</f>
        <v>#N/A</v>
      </c>
      <c r="E896" s="13" t="e">
        <f>IF(INDEX(Glenn!$D:$D, 146)="", NA(), INDEX(Glenn!$K:$K, 146))</f>
        <v>#N/A</v>
      </c>
      <c r="F896" t="e">
        <f t="shared" si="26"/>
        <v>#N/A</v>
      </c>
      <c r="G896" s="13" t="e">
        <f>IF(INDEX(Glenn!$D:$D, 146)="", NA(), INDEX(Glenn!$L:$L, 146))</f>
        <v>#N/A</v>
      </c>
      <c r="H896" t="e">
        <f t="shared" si="27"/>
        <v>#N/A</v>
      </c>
    </row>
    <row r="897" spans="1:8" x14ac:dyDescent="0.2">
      <c r="A897" t="e">
        <f>IF(INDEX(Glenn!$D:$D, 147)="", NA(), "Glenn (Developer)")</f>
        <v>#N/A</v>
      </c>
      <c r="B897" t="e">
        <f>IF(INDEX(Glenn!$D:$D, 147)="", NA(), INDEX(Glenn!$B:$B, 147))</f>
        <v>#N/A</v>
      </c>
      <c r="C897" t="e">
        <f>IF(INDEX(Glenn!$D:$D, 147)="", NA(), INDEX(Glenn!$D:$D, 147))</f>
        <v>#N/A</v>
      </c>
      <c r="D897" t="e">
        <f>IF(INDEX(Glenn!$D:$D, 147)="", NA(), INDEX(Glenn!$E:$E, 147))</f>
        <v>#N/A</v>
      </c>
      <c r="E897" s="13" t="e">
        <f>IF(INDEX(Glenn!$D:$D, 147)="", NA(), INDEX(Glenn!$K:$K, 147))</f>
        <v>#N/A</v>
      </c>
      <c r="F897" t="e">
        <f t="shared" si="26"/>
        <v>#N/A</v>
      </c>
      <c r="G897" s="13" t="e">
        <f>IF(INDEX(Glenn!$D:$D, 147)="", NA(), INDEX(Glenn!$L:$L, 147))</f>
        <v>#N/A</v>
      </c>
      <c r="H897" t="e">
        <f t="shared" si="27"/>
        <v>#N/A</v>
      </c>
    </row>
    <row r="898" spans="1:8" x14ac:dyDescent="0.2">
      <c r="A898" t="e">
        <f>IF(INDEX(Glenn!$D:$D, 148)="", NA(), "Glenn (Developer)")</f>
        <v>#N/A</v>
      </c>
      <c r="B898" t="e">
        <f>IF(INDEX(Glenn!$D:$D, 148)="", NA(), INDEX(Glenn!$B:$B, 148))</f>
        <v>#N/A</v>
      </c>
      <c r="C898" t="e">
        <f>IF(INDEX(Glenn!$D:$D, 148)="", NA(), INDEX(Glenn!$D:$D, 148))</f>
        <v>#N/A</v>
      </c>
      <c r="D898" t="e">
        <f>IF(INDEX(Glenn!$D:$D, 148)="", NA(), INDEX(Glenn!$E:$E, 148))</f>
        <v>#N/A</v>
      </c>
      <c r="E898" s="13" t="e">
        <f>IF(INDEX(Glenn!$D:$D, 148)="", NA(), INDEX(Glenn!$K:$K, 148))</f>
        <v>#N/A</v>
      </c>
      <c r="F898" t="e">
        <f t="shared" ref="F898:F961" si="28">IF(OR(E898="", ISNA(E898), ISNA(G898)), 0, MAX(1, G898-E898))</f>
        <v>#N/A</v>
      </c>
      <c r="G898" s="13" t="e">
        <f>IF(INDEX(Glenn!$D:$D, 148)="", NA(), INDEX(Glenn!$L:$L, 148))</f>
        <v>#N/A</v>
      </c>
      <c r="H898" t="e">
        <f t="shared" ref="H898:H961" si="29">IF(ISNA(C898), NA(), A898 &amp; " - " &amp; B898 &amp; " - " &amp; C898)</f>
        <v>#N/A</v>
      </c>
    </row>
    <row r="899" spans="1:8" x14ac:dyDescent="0.2">
      <c r="A899" t="e">
        <f>IF(INDEX(Glenn!$D:$D, 149)="", NA(), "Glenn (Developer)")</f>
        <v>#N/A</v>
      </c>
      <c r="B899" t="e">
        <f>IF(INDEX(Glenn!$D:$D, 149)="", NA(), INDEX(Glenn!$B:$B, 149))</f>
        <v>#N/A</v>
      </c>
      <c r="C899" t="e">
        <f>IF(INDEX(Glenn!$D:$D, 149)="", NA(), INDEX(Glenn!$D:$D, 149))</f>
        <v>#N/A</v>
      </c>
      <c r="D899" t="e">
        <f>IF(INDEX(Glenn!$D:$D, 149)="", NA(), INDEX(Glenn!$E:$E, 149))</f>
        <v>#N/A</v>
      </c>
      <c r="E899" s="13" t="e">
        <f>IF(INDEX(Glenn!$D:$D, 149)="", NA(), INDEX(Glenn!$K:$K, 149))</f>
        <v>#N/A</v>
      </c>
      <c r="F899" t="e">
        <f t="shared" si="28"/>
        <v>#N/A</v>
      </c>
      <c r="G899" s="13" t="e">
        <f>IF(INDEX(Glenn!$D:$D, 149)="", NA(), INDEX(Glenn!$L:$L, 149))</f>
        <v>#N/A</v>
      </c>
      <c r="H899" t="e">
        <f t="shared" si="29"/>
        <v>#N/A</v>
      </c>
    </row>
    <row r="900" spans="1:8" x14ac:dyDescent="0.2">
      <c r="A900" t="e">
        <f>IF(INDEX(Glenn!$D:$D, 150)="", NA(), "Glenn (Developer)")</f>
        <v>#N/A</v>
      </c>
      <c r="B900" t="e">
        <f>IF(INDEX(Glenn!$D:$D, 150)="", NA(), INDEX(Glenn!$B:$B, 150))</f>
        <v>#N/A</v>
      </c>
      <c r="C900" t="e">
        <f>IF(INDEX(Glenn!$D:$D, 150)="", NA(), INDEX(Glenn!$D:$D, 150))</f>
        <v>#N/A</v>
      </c>
      <c r="D900" t="e">
        <f>IF(INDEX(Glenn!$D:$D, 150)="", NA(), INDEX(Glenn!$E:$E, 150))</f>
        <v>#N/A</v>
      </c>
      <c r="E900" s="13" t="e">
        <f>IF(INDEX(Glenn!$D:$D, 150)="", NA(), INDEX(Glenn!$K:$K, 150))</f>
        <v>#N/A</v>
      </c>
      <c r="F900" t="e">
        <f t="shared" si="28"/>
        <v>#N/A</v>
      </c>
      <c r="G900" s="13" t="e">
        <f>IF(INDEX(Glenn!$D:$D, 150)="", NA(), INDEX(Glenn!$L:$L, 150))</f>
        <v>#N/A</v>
      </c>
      <c r="H900" t="e">
        <f t="shared" si="29"/>
        <v>#N/A</v>
      </c>
    </row>
    <row r="901" spans="1:8" x14ac:dyDescent="0.2">
      <c r="A901" t="e">
        <f>IF(INDEX(Glenn!$D:$D, 151)="", NA(), "Glenn (Developer)")</f>
        <v>#N/A</v>
      </c>
      <c r="B901" t="e">
        <f>IF(INDEX(Glenn!$D:$D, 151)="", NA(), INDEX(Glenn!$B:$B, 151))</f>
        <v>#N/A</v>
      </c>
      <c r="C901" t="e">
        <f>IF(INDEX(Glenn!$D:$D, 151)="", NA(), INDEX(Glenn!$D:$D, 151))</f>
        <v>#N/A</v>
      </c>
      <c r="D901" t="e">
        <f>IF(INDEX(Glenn!$D:$D, 151)="", NA(), INDEX(Glenn!$E:$E, 151))</f>
        <v>#N/A</v>
      </c>
      <c r="E901" s="13" t="e">
        <f>IF(INDEX(Glenn!$D:$D, 151)="", NA(), INDEX(Glenn!$K:$K, 151))</f>
        <v>#N/A</v>
      </c>
      <c r="F901" t="e">
        <f t="shared" si="28"/>
        <v>#N/A</v>
      </c>
      <c r="G901" s="13" t="e">
        <f>IF(INDEX(Glenn!$D:$D, 151)="", NA(), INDEX(Glenn!$L:$L, 151))</f>
        <v>#N/A</v>
      </c>
      <c r="H901" t="e">
        <f t="shared" si="29"/>
        <v>#N/A</v>
      </c>
    </row>
    <row r="902" spans="1:8" x14ac:dyDescent="0.2">
      <c r="A902" t="str">
        <f>IF(INDEX(Heni!$D:$D, 2)="", NA(), "Heni (Developer)")</f>
        <v>Heni (Developer)</v>
      </c>
      <c r="B902" t="str">
        <f>IF(INDEX(Heni!$D:$D, 2)="", NA(), INDEX(Heni!$B:$B, 2))</f>
        <v>Pemindahan API Care ke TICS</v>
      </c>
      <c r="C902" t="str">
        <f>IF(INDEX(Heni!$D:$D, 2)="", NA(), INDEX(Heni!$D:$D, 2))</f>
        <v>Deepening Tfriends Module</v>
      </c>
      <c r="D902" t="str">
        <f>IF(INDEX(Heni!$D:$D, 2)="", NA(), INDEX(Heni!$E:$E, 2))</f>
        <v>DONE</v>
      </c>
      <c r="E902" s="13">
        <f>IF(INDEX(Heni!$D:$D, 2)="", NA(), INDEX(Heni!$K:$K, 2))</f>
        <v>46239</v>
      </c>
      <c r="F902">
        <f t="shared" si="28"/>
        <v>1</v>
      </c>
      <c r="G902" s="13">
        <f>IF(INDEX(Heni!$D:$D, 2)="", NA(), INDEX(Heni!$L:$L, 2))</f>
        <v>46239</v>
      </c>
      <c r="H902" t="str">
        <f t="shared" si="29"/>
        <v>Heni (Developer) - Pemindahan API Care ke TICS - Deepening Tfriends Module</v>
      </c>
    </row>
    <row r="903" spans="1:8" x14ac:dyDescent="0.2">
      <c r="A903" t="str">
        <f>IF(INDEX(Heni!$D:$D, 3)="", NA(), "Heni (Developer)")</f>
        <v>Heni (Developer)</v>
      </c>
      <c r="B903" t="str">
        <f>IF(INDEX(Heni!$D:$D, 3)="", NA(), INDEX(Heni!$B:$B, 3))</f>
        <v>Tugu Ticketing System v2</v>
      </c>
      <c r="C903" t="str">
        <f>IF(INDEX(Heni!$D:$D, 3)="", NA(), INDEX(Heni!$D:$D, 3))</f>
        <v>pull repo TTSV2 dan Explor Kode</v>
      </c>
      <c r="D903" t="str">
        <f>IF(INDEX(Heni!$D:$D, 3)="", NA(), INDEX(Heni!$E:$E, 3))</f>
        <v>DONE</v>
      </c>
      <c r="E903" s="13">
        <f>IF(INDEX(Heni!$D:$D, 3)="", NA(), INDEX(Heni!$K:$K, 3))</f>
        <v>46240</v>
      </c>
      <c r="F903">
        <f t="shared" si="28"/>
        <v>1</v>
      </c>
      <c r="G903" s="13">
        <f>IF(INDEX(Heni!$D:$D, 3)="", NA(), INDEX(Heni!$L:$L, 3))</f>
        <v>46240</v>
      </c>
      <c r="H903" t="str">
        <f t="shared" si="29"/>
        <v>Heni (Developer) - Tugu Ticketing System v2 - pull repo TTSV2 dan Explor Kode</v>
      </c>
    </row>
    <row r="904" spans="1:8" x14ac:dyDescent="0.2">
      <c r="A904" t="str">
        <f>IF(INDEX(Heni!$D:$D, 4)="", NA(), "Heni (Developer)")</f>
        <v>Heni (Developer)</v>
      </c>
      <c r="B904" t="str">
        <f>IF(INDEX(Heni!$D:$D, 4)="", NA(), INDEX(Heni!$B:$B, 4))</f>
        <v>Pemindahan API Care ke TICS</v>
      </c>
      <c r="C904" t="str">
        <f>IF(INDEX(Heni!$D:$D, 4)="", NA(), INDEX(Heni!$D:$D, 4))</f>
        <v>TICS Code Knowledge</v>
      </c>
      <c r="D904" t="str">
        <f>IF(INDEX(Heni!$D:$D, 4)="", NA(), INDEX(Heni!$E:$E, 4))</f>
        <v>DONE</v>
      </c>
      <c r="E904" s="13">
        <f>IF(INDEX(Heni!$D:$D, 4)="", NA(), INDEX(Heni!$K:$K, 4))</f>
        <v>46240</v>
      </c>
      <c r="F904">
        <f t="shared" si="28"/>
        <v>1</v>
      </c>
      <c r="G904" s="13">
        <f>IF(INDEX(Heni!$D:$D, 4)="", NA(), INDEX(Heni!$L:$L, 4))</f>
        <v>46240</v>
      </c>
      <c r="H904" t="str">
        <f t="shared" si="29"/>
        <v>Heni (Developer) - Pemindahan API Care ke TICS - TICS Code Knowledge</v>
      </c>
    </row>
    <row r="905" spans="1:8" x14ac:dyDescent="0.2">
      <c r="A905" t="str">
        <f>IF(INDEX(Heni!$D:$D, 5)="", NA(), "Heni (Developer)")</f>
        <v>Heni (Developer)</v>
      </c>
      <c r="B905" t="str">
        <f>IF(INDEX(Heni!$D:$D, 5)="", NA(), INDEX(Heni!$B:$B, 5))</f>
        <v>Tugu Ticketing System v2</v>
      </c>
      <c r="C905" t="str">
        <f>IF(INDEX(Heni!$D:$D, 5)="", NA(), INDEX(Heni!$D:$D, 5))</f>
        <v>Setup Project TTSV2 di lokal dan seeding database migration</v>
      </c>
      <c r="D905" t="str">
        <f>IF(INDEX(Heni!$D:$D, 5)="", NA(), INDEX(Heni!$E:$E, 5))</f>
        <v>DONE</v>
      </c>
      <c r="E905" s="13">
        <f>IF(INDEX(Heni!$D:$D, 5)="", NA(), INDEX(Heni!$K:$K, 5))</f>
        <v>46241</v>
      </c>
      <c r="F905">
        <f t="shared" si="28"/>
        <v>1</v>
      </c>
      <c r="G905" s="13">
        <f>IF(INDEX(Heni!$D:$D, 5)="", NA(), INDEX(Heni!$L:$L, 5))</f>
        <v>46241</v>
      </c>
      <c r="H905" t="str">
        <f t="shared" si="29"/>
        <v>Heni (Developer) - Tugu Ticketing System v2 - Setup Project TTSV2 di lokal dan seeding database migration</v>
      </c>
    </row>
    <row r="906" spans="1:8" x14ac:dyDescent="0.2">
      <c r="A906" t="str">
        <f>IF(INDEX(Heni!$D:$D, 6)="", NA(), "Heni (Developer)")</f>
        <v>Heni (Developer)</v>
      </c>
      <c r="B906" t="str">
        <f>IF(INDEX(Heni!$D:$D, 6)="", NA(), INDEX(Heni!$B:$B, 6))</f>
        <v>Tugu Ticketing System v2</v>
      </c>
      <c r="C906" t="str">
        <f>IF(INDEX(Heni!$D:$D, 6)="", NA(), INDEX(Heni!$D:$D, 6))</f>
        <v>Error pada lokal database dan melakukan Fixing Database</v>
      </c>
      <c r="D906" t="str">
        <f>IF(INDEX(Heni!$D:$D, 6)="", NA(), INDEX(Heni!$E:$E, 6))</f>
        <v>DONE</v>
      </c>
      <c r="E906" s="13">
        <f>IF(INDEX(Heni!$D:$D, 6)="", NA(), INDEX(Heni!$K:$K, 6))</f>
        <v>46244</v>
      </c>
      <c r="F906">
        <f t="shared" si="28"/>
        <v>1</v>
      </c>
      <c r="G906" s="13">
        <f>IF(INDEX(Heni!$D:$D, 6)="", NA(), INDEX(Heni!$L:$L, 6))</f>
        <v>46244</v>
      </c>
      <c r="H906" t="str">
        <f t="shared" si="29"/>
        <v>Heni (Developer) - Tugu Ticketing System v2 - Error pada lokal database dan melakukan Fixing Database</v>
      </c>
    </row>
    <row r="907" spans="1:8" x14ac:dyDescent="0.2">
      <c r="A907" t="str">
        <f>IF(INDEX(Heni!$D:$D, 7)="", NA(), "Heni (Developer)")</f>
        <v>Heni (Developer)</v>
      </c>
      <c r="B907" t="str">
        <f>IF(INDEX(Heni!$D:$D, 7)="", NA(), INDEX(Heni!$B:$B, 7))</f>
        <v>Tugu Ticketing System v2</v>
      </c>
      <c r="C907" t="str">
        <f>IF(INDEX(Heni!$D:$D, 7)="", NA(), INDEX(Heni!$D:$D, 7))</f>
        <v>Rebuild TTS V2 (Module Ticketing) : Perbaikan CRUD pada module service management sub module work orders</v>
      </c>
      <c r="D907" t="str">
        <f>IF(INDEX(Heni!$D:$D, 7)="", NA(), INDEX(Heni!$E:$E, 7))</f>
        <v>DONE</v>
      </c>
      <c r="E907" s="13">
        <f>IF(INDEX(Heni!$D:$D, 7)="", NA(), INDEX(Heni!$K:$K, 7))</f>
        <v>46245</v>
      </c>
      <c r="F907">
        <f t="shared" si="28"/>
        <v>1</v>
      </c>
      <c r="G907" s="13">
        <f>IF(INDEX(Heni!$D:$D, 7)="", NA(), INDEX(Heni!$L:$L, 7))</f>
        <v>46245</v>
      </c>
      <c r="H907" t="str">
        <f t="shared" si="29"/>
        <v>Heni (Developer) - Tugu Ticketing System v2 - Rebuild TTS V2 (Module Ticketing) : Perbaikan CRUD pada module service management sub module work orders</v>
      </c>
    </row>
    <row r="908" spans="1:8" x14ac:dyDescent="0.2">
      <c r="A908" t="str">
        <f>IF(INDEX(Heni!$D:$D, 8)="", NA(), "Heni (Developer)")</f>
        <v>Heni (Developer)</v>
      </c>
      <c r="B908" t="str">
        <f>IF(INDEX(Heni!$D:$D, 8)="", NA(), INDEX(Heni!$B:$B, 8))</f>
        <v>Tugu Ticketing System v2</v>
      </c>
      <c r="C908" t="str">
        <f>IF(INDEX(Heni!$D:$D, 8)="", NA(), INDEX(Heni!$D:$D, 8))</f>
        <v>TTS V2 : Perbaikan CRUD pada seluruh module TTS</v>
      </c>
      <c r="D908" t="str">
        <f>IF(INDEX(Heni!$D:$D, 8)="", NA(), INDEX(Heni!$E:$E, 8))</f>
        <v>DONE</v>
      </c>
      <c r="E908" s="13">
        <f>IF(INDEX(Heni!$D:$D, 8)="", NA(), INDEX(Heni!$K:$K, 8))</f>
        <v>46246</v>
      </c>
      <c r="F908">
        <f t="shared" si="28"/>
        <v>1</v>
      </c>
      <c r="G908" s="13">
        <f>IF(INDEX(Heni!$D:$D, 8)="", NA(), INDEX(Heni!$L:$L, 8))</f>
        <v>46246</v>
      </c>
      <c r="H908" t="str">
        <f t="shared" si="29"/>
        <v>Heni (Developer) - Tugu Ticketing System v2 - TTS V2 : Perbaikan CRUD pada seluruh module TTS</v>
      </c>
    </row>
    <row r="909" spans="1:8" x14ac:dyDescent="0.2">
      <c r="A909" t="str">
        <f>IF(INDEX(Heni!$D:$D, 9)="", NA(), "Heni (Developer)")</f>
        <v>Heni (Developer)</v>
      </c>
      <c r="B909" t="str">
        <f>IF(INDEX(Heni!$D:$D, 9)="", NA(), INDEX(Heni!$B:$B, 9))</f>
        <v>Tugu Ticketing System v2</v>
      </c>
      <c r="C909" t="str">
        <f>IF(INDEX(Heni!$D:$D, 9)="", NA(), INDEX(Heni!$D:$D, 9))</f>
        <v>TTS V2 : Perbaikan modal pada seluruh module TTS</v>
      </c>
      <c r="D909" t="str">
        <f>IF(INDEX(Heni!$D:$D, 9)="", NA(), INDEX(Heni!$E:$E, 9))</f>
        <v>DONE</v>
      </c>
      <c r="E909" s="13">
        <f>IF(INDEX(Heni!$D:$D, 9)="", NA(), INDEX(Heni!$K:$K, 9))</f>
        <v>46247</v>
      </c>
      <c r="F909">
        <f t="shared" si="28"/>
        <v>1</v>
      </c>
      <c r="G909" s="13">
        <f>IF(INDEX(Heni!$D:$D, 9)="", NA(), INDEX(Heni!$L:$L, 9))</f>
        <v>46247</v>
      </c>
      <c r="H909" t="str">
        <f t="shared" si="29"/>
        <v>Heni (Developer) - Tugu Ticketing System v2 - TTS V2 : Perbaikan modal pada seluruh module TTS</v>
      </c>
    </row>
    <row r="910" spans="1:8" x14ac:dyDescent="0.2">
      <c r="A910" t="str">
        <f>IF(INDEX(Heni!$D:$D, 10)="", NA(), "Heni (Developer)")</f>
        <v>Heni (Developer)</v>
      </c>
      <c r="B910" t="str">
        <f>IF(INDEX(Heni!$D:$D, 10)="", NA(), INDEX(Heni!$B:$B, 10))</f>
        <v>Tugu Ticketing System v2</v>
      </c>
      <c r="C910" t="str">
        <f>IF(INDEX(Heni!$D:$D, 10)="", NA(), INDEX(Heni!$D:$D, 10))</f>
        <v>TTS V2 : Setup Project local dari intraapps ke tkyc untuk ambil data karyawan yang akan dipakai di ttsv2</v>
      </c>
      <c r="D910" t="str">
        <f>IF(INDEX(Heni!$D:$D, 10)="", NA(), INDEX(Heni!$E:$E, 10))</f>
        <v>DONE</v>
      </c>
      <c r="E910" s="13">
        <f>IF(INDEX(Heni!$D:$D, 10)="", NA(), INDEX(Heni!$K:$K, 10))</f>
        <v>46248</v>
      </c>
      <c r="F910">
        <f t="shared" si="28"/>
        <v>1</v>
      </c>
      <c r="G910" s="13">
        <f>IF(INDEX(Heni!$D:$D, 10)="", NA(), INDEX(Heni!$L:$L, 10))</f>
        <v>46248</v>
      </c>
      <c r="H910" t="str">
        <f t="shared" si="29"/>
        <v>Heni (Developer) - Tugu Ticketing System v2 - TTS V2 : Setup Project local dari intraapps ke tkyc untuk ambil data karyawan yang akan dipakai di ttsv2</v>
      </c>
    </row>
    <row r="911" spans="1:8" x14ac:dyDescent="0.2">
      <c r="A911" t="str">
        <f>IF(INDEX(Heni!$D:$D, 11)="", NA(), "Heni (Developer)")</f>
        <v>Heni (Developer)</v>
      </c>
      <c r="B911" t="str">
        <f>IF(INDEX(Heni!$D:$D, 11)="", NA(), INDEX(Heni!$B:$B, 11))</f>
        <v>Tugu Ticketing System v2</v>
      </c>
      <c r="C911" t="str">
        <f>IF(INDEX(Heni!$D:$D, 11)="", NA(), INDEX(Heni!$D:$D, 11))</f>
        <v>TTS V2 : Debug Authenticator Error</v>
      </c>
      <c r="D911" t="str">
        <f>IF(INDEX(Heni!$D:$D, 11)="", NA(), INDEX(Heni!$E:$E, 11))</f>
        <v>DONE</v>
      </c>
      <c r="E911" s="13">
        <f>IF(INDEX(Heni!$D:$D, 11)="", NA(), INDEX(Heni!$K:$K, 11))</f>
        <v>46252</v>
      </c>
      <c r="F911">
        <f t="shared" si="28"/>
        <v>1</v>
      </c>
      <c r="G911" s="13">
        <f>IF(INDEX(Heni!$D:$D, 11)="", NA(), INDEX(Heni!$L:$L, 11))</f>
        <v>46253</v>
      </c>
      <c r="H911" t="str">
        <f t="shared" si="29"/>
        <v>Heni (Developer) - Tugu Ticketing System v2 - TTS V2 : Debug Authenticator Error</v>
      </c>
    </row>
    <row r="912" spans="1:8" x14ac:dyDescent="0.2">
      <c r="A912" t="str">
        <f>IF(INDEX(Heni!$D:$D, 12)="", NA(), "Heni (Developer)")</f>
        <v>Heni (Developer)</v>
      </c>
      <c r="B912" t="str">
        <f>IF(INDEX(Heni!$D:$D, 12)="", NA(), INDEX(Heni!$B:$B, 12))</f>
        <v>Tugu Ticketing System v2</v>
      </c>
      <c r="C912" t="str">
        <f>IF(INDEX(Heni!$D:$D, 12)="", NA(), INDEX(Heni!$D:$D, 12))</f>
        <v>TTS V2 : Sending Requirement Deployment (.env)</v>
      </c>
      <c r="D912" t="str">
        <f>IF(INDEX(Heni!$D:$D, 12)="", NA(), INDEX(Heni!$E:$E, 12))</f>
        <v>DONE</v>
      </c>
      <c r="E912" s="13">
        <f>IF(INDEX(Heni!$D:$D, 12)="", NA(), INDEX(Heni!$K:$K, 12))</f>
        <v>46253</v>
      </c>
      <c r="F912">
        <f t="shared" si="28"/>
        <v>1</v>
      </c>
      <c r="G912" s="13">
        <f>IF(INDEX(Heni!$D:$D, 12)="", NA(), INDEX(Heni!$L:$L, 12))</f>
        <v>46253</v>
      </c>
      <c r="H912" t="str">
        <f t="shared" si="29"/>
        <v>Heni (Developer) - Tugu Ticketing System v2 - TTS V2 : Sending Requirement Deployment (.env)</v>
      </c>
    </row>
    <row r="913" spans="1:8" x14ac:dyDescent="0.2">
      <c r="A913" t="str">
        <f>IF(INDEX(Heni!$D:$D, 13)="", NA(), "Heni (Developer)")</f>
        <v>Heni (Developer)</v>
      </c>
      <c r="B913" t="str">
        <f>IF(INDEX(Heni!$D:$D, 13)="", NA(), INDEX(Heni!$B:$B, 13))</f>
        <v>Tugu Ticketing System v2</v>
      </c>
      <c r="C913" t="str">
        <f>IF(INDEX(Heni!$D:$D, 13)="", NA(), INDEX(Heni!$D:$D, 13))</f>
        <v xml:space="preserve">TTS V2 : Perbaikan Migration Seed untuk Deployment  </v>
      </c>
      <c r="D913" t="str">
        <f>IF(INDEX(Heni!$D:$D, 13)="", NA(), INDEX(Heni!$E:$E, 13))</f>
        <v>DONE</v>
      </c>
      <c r="E913" s="13">
        <f>IF(INDEX(Heni!$D:$D, 13)="", NA(), INDEX(Heni!$K:$K, 13))</f>
        <v>46254</v>
      </c>
      <c r="F913">
        <f t="shared" si="28"/>
        <v>1</v>
      </c>
      <c r="G913" s="13">
        <f>IF(INDEX(Heni!$D:$D, 13)="", NA(), INDEX(Heni!$L:$L, 13))</f>
        <v>46254</v>
      </c>
      <c r="H913" t="str">
        <f t="shared" si="29"/>
        <v xml:space="preserve">Heni (Developer) - Tugu Ticketing System v2 - TTS V2 : Perbaikan Migration Seed untuk Deployment  </v>
      </c>
    </row>
    <row r="914" spans="1:8" x14ac:dyDescent="0.2">
      <c r="A914" t="str">
        <f>IF(INDEX(Heni!$D:$D, 14)="", NA(), "Heni (Developer)")</f>
        <v>Heni (Developer)</v>
      </c>
      <c r="B914" t="str">
        <f>IF(INDEX(Heni!$D:$D, 14)="", NA(), INDEX(Heni!$B:$B, 14))</f>
        <v>Tugu Ticketing System v2</v>
      </c>
      <c r="C914" t="str">
        <f>IF(INDEX(Heni!$D:$D, 14)="", NA(), INDEX(Heni!$D:$D, 14))</f>
        <v>TTS V2 : Pull &amp; Request TTSV2 (update migration order and frontend pages all module)</v>
      </c>
      <c r="D914" t="str">
        <f>IF(INDEX(Heni!$D:$D, 14)="", NA(), INDEX(Heni!$E:$E, 14))</f>
        <v>DONE</v>
      </c>
      <c r="E914" s="13">
        <f>IF(INDEX(Heni!$D:$D, 14)="", NA(), INDEX(Heni!$K:$K, 14))</f>
        <v>46255</v>
      </c>
      <c r="F914">
        <f t="shared" si="28"/>
        <v>1</v>
      </c>
      <c r="G914" s="13">
        <f>IF(INDEX(Heni!$D:$D, 14)="", NA(), INDEX(Heni!$L:$L, 14))</f>
        <v>46255</v>
      </c>
      <c r="H914" t="str">
        <f t="shared" si="29"/>
        <v>Heni (Developer) - Tugu Ticketing System v2 - TTS V2 : Pull &amp; Request TTSV2 (update migration order and frontend pages all module)</v>
      </c>
    </row>
    <row r="915" spans="1:8" x14ac:dyDescent="0.2">
      <c r="A915" t="str">
        <f>IF(INDEX(Heni!$D:$D, 15)="", NA(), "Heni (Developer)")</f>
        <v>Heni (Developer)</v>
      </c>
      <c r="B915" t="str">
        <f>IF(INDEX(Heni!$D:$D, 15)="", NA(), INDEX(Heni!$B:$B, 15))</f>
        <v>Tugu Ticketing System v2</v>
      </c>
      <c r="C915" t="str">
        <f>IF(INDEX(Heni!$D:$D, 15)="", NA(), INDEX(Heni!$D:$D, 15))</f>
        <v xml:space="preserve">Melakukan meeting terkait progress review task yang sudah dikerjakan bersama tim dan stakeholder </v>
      </c>
      <c r="D915" t="str">
        <f>IF(INDEX(Heni!$D:$D, 15)="", NA(), INDEX(Heni!$E:$E, 15))</f>
        <v>DONE</v>
      </c>
      <c r="E915" s="13">
        <f>IF(INDEX(Heni!$D:$D, 15)="", NA(), INDEX(Heni!$K:$K, 15))</f>
        <v>46258</v>
      </c>
      <c r="F915">
        <f t="shared" si="28"/>
        <v>1</v>
      </c>
      <c r="G915" s="13">
        <f>IF(INDEX(Heni!$D:$D, 15)="", NA(), INDEX(Heni!$L:$L, 15))</f>
        <v>46258</v>
      </c>
      <c r="H915" t="str">
        <f t="shared" si="29"/>
        <v xml:space="preserve">Heni (Developer) - Tugu Ticketing System v2 - Melakukan meeting terkait progress review task yang sudah dikerjakan bersama tim dan stakeholder </v>
      </c>
    </row>
    <row r="916" spans="1:8" x14ac:dyDescent="0.2">
      <c r="A916" t="str">
        <f>IF(INDEX(Heni!$D:$D, 16)="", NA(), "Heni (Developer)")</f>
        <v>Heni (Developer)</v>
      </c>
      <c r="B916" t="str">
        <f>IF(INDEX(Heni!$D:$D, 16)="", NA(), INDEX(Heni!$B:$B, 16))</f>
        <v>Tugu Ticketing System v2</v>
      </c>
      <c r="C916" t="str">
        <f>IF(INDEX(Heni!$D:$D, 16)="", NA(), INDEX(Heni!$D:$D, 16))</f>
        <v>Menyelesaikan isu redirect loop dan hardcoded session Admin User pada NextAuth. Memperbaiki alur otentikasi dinamis (JWT, session callback, serta withAuthSSR) agar data profil (name, email, job title) dan daftar aplikasi di Dashboard membaca data riil dari PostgreSQL sesuai akun yang login</v>
      </c>
      <c r="D916" t="str">
        <f>IF(INDEX(Heni!$D:$D, 16)="", NA(), INDEX(Heni!$E:$E, 16))</f>
        <v>DONE</v>
      </c>
      <c r="E916" s="13">
        <f>IF(INDEX(Heni!$D:$D, 16)="", NA(), INDEX(Heni!$K:$K, 16))</f>
        <v>46259</v>
      </c>
      <c r="F916">
        <f t="shared" si="28"/>
        <v>1</v>
      </c>
      <c r="G916" s="13">
        <f>IF(INDEX(Heni!$D:$D, 16)="", NA(), INDEX(Heni!$L:$L, 16))</f>
        <v>46260</v>
      </c>
      <c r="H916" t="str">
        <f t="shared" si="29"/>
        <v>Heni (Developer) - Tugu Ticketing System v2 - Menyelesaikan isu redirect loop dan hardcoded session Admin User pada NextAuth. Memperbaiki alur otentikasi dinamis (JWT, session callback, serta withAuthSSR) agar data profil (name, email, job title) dan daftar aplikasi di Dashboard membaca data riil dari PostgreSQL sesuai akun yang login</v>
      </c>
    </row>
    <row r="917" spans="1:8" x14ac:dyDescent="0.2">
      <c r="A917" t="str">
        <f>IF(INDEX(Heni!$D:$D, 17)="", NA(), "Heni (Developer)")</f>
        <v>Heni (Developer)</v>
      </c>
      <c r="B917" t="str">
        <f>IF(INDEX(Heni!$D:$D, 17)="", NA(), INDEX(Heni!$B:$B, 17))</f>
        <v>Tugu Ticketing System v2</v>
      </c>
      <c r="C917" t="str">
        <f>IF(INDEX(Heni!$D:$D, 17)="", NA(), INDEX(Heni!$D:$D, 17))</f>
        <v>Mengonfigurasi koneksi basis data (Pool PostgreSQL) antara schema TKYC dan modul TTS untuk sinkronisasi hak akses user. Mengimplementasikan pemetaan role dan job title berbasis DB agar menu serta otorisasi aplikasi yang muncul disesuaikan secara dinamis dengan hak akses masing-masing pengguna</v>
      </c>
      <c r="D917" t="str">
        <f>IF(INDEX(Heni!$D:$D, 17)="", NA(), INDEX(Heni!$E:$E, 17))</f>
        <v>DONE</v>
      </c>
      <c r="E917" s="13">
        <f>IF(INDEX(Heni!$D:$D, 17)="", NA(), INDEX(Heni!$K:$K, 17))</f>
        <v>46260</v>
      </c>
      <c r="F917">
        <f t="shared" si="28"/>
        <v>2</v>
      </c>
      <c r="G917" s="13">
        <f>IF(INDEX(Heni!$D:$D, 17)="", NA(), INDEX(Heni!$L:$L, 17))</f>
        <v>46262</v>
      </c>
      <c r="H917" t="str">
        <f t="shared" si="29"/>
        <v>Heni (Developer) - Tugu Ticketing System v2 - Mengonfigurasi koneksi basis data (Pool PostgreSQL) antara schema TKYC dan modul TTS untuk sinkronisasi hak akses user. Mengimplementasikan pemetaan role dan job title berbasis DB agar menu serta otorisasi aplikasi yang muncul disesuaikan secara dinamis dengan hak akses masing-masing pengguna</v>
      </c>
    </row>
    <row r="918" spans="1:8" x14ac:dyDescent="0.2">
      <c r="A918" t="str">
        <f>IF(INDEX(Heni!$D:$D, 18)="", NA(), "Heni (Developer)")</f>
        <v>Heni (Developer)</v>
      </c>
      <c r="B918" t="str">
        <f>IF(INDEX(Heni!$D:$D, 18)="", NA(), INDEX(Heni!$B:$B, 18))</f>
        <v>Tugu Ticketing System v2</v>
      </c>
      <c r="C918" t="str">
        <f>IF(INDEX(Heni!$D:$D, 18)="", NA(), INDEX(Heni!$D:$D, 18))</f>
        <v>Mengimplementasikan fitur pencarian real-time dan dropdown menu profile interaktif pada header, merapikan alur navigasi sidebar</v>
      </c>
      <c r="D918" t="str">
        <f>IF(INDEX(Heni!$D:$D, 18)="", NA(), INDEX(Heni!$E:$E, 18))</f>
        <v>DONE</v>
      </c>
      <c r="E918" s="13">
        <f>IF(INDEX(Heni!$D:$D, 18)="", NA(), INDEX(Heni!$K:$K, 18))</f>
        <v>46262</v>
      </c>
      <c r="F918">
        <f t="shared" si="28"/>
        <v>1</v>
      </c>
      <c r="G918" s="13">
        <f>IF(INDEX(Heni!$D:$D, 18)="", NA(), INDEX(Heni!$L:$L, 18))</f>
        <v>46262</v>
      </c>
      <c r="H918" t="str">
        <f t="shared" si="29"/>
        <v>Heni (Developer) - Tugu Ticketing System v2 - Mengimplementasikan fitur pencarian real-time dan dropdown menu profile interaktif pada header, merapikan alur navigasi sidebar</v>
      </c>
    </row>
    <row r="919" spans="1:8" x14ac:dyDescent="0.2">
      <c r="A919" t="str">
        <f>IF(INDEX(Heni!$D:$D, 19)="", NA(), "Heni (Developer)")</f>
        <v>Heni (Developer)</v>
      </c>
      <c r="B919" t="str">
        <f>IF(INDEX(Heni!$D:$D, 19)="", NA(), INDEX(Heni!$B:$B, 19))</f>
        <v>Tugu Ticketing System v2</v>
      </c>
      <c r="C919" t="str">
        <f>IF(INDEX(Heni!$D:$D, 19)="", NA(), INDEX(Heni!$D:$D, 19))</f>
        <v>debug dan menyelesaikan endpoint routing API ticket antara backend Laravel dan Next.js</v>
      </c>
      <c r="D919" t="str">
        <f>IF(INDEX(Heni!$D:$D, 19)="", NA(), INDEX(Heni!$E:$E, 19))</f>
        <v>DONE</v>
      </c>
      <c r="E919" s="13">
        <f>IF(INDEX(Heni!$D:$D, 19)="", NA(), INDEX(Heni!$K:$K, 19))</f>
        <v>46262</v>
      </c>
      <c r="F919">
        <f t="shared" si="28"/>
        <v>1</v>
      </c>
      <c r="G919" s="13">
        <f>IF(INDEX(Heni!$D:$D, 19)="", NA(), INDEX(Heni!$L:$L, 19))</f>
        <v>46262</v>
      </c>
      <c r="H919" t="str">
        <f t="shared" si="29"/>
        <v>Heni (Developer) - Tugu Ticketing System v2 - debug dan menyelesaikan endpoint routing API ticket antara backend Laravel dan Next.js</v>
      </c>
    </row>
    <row r="920" spans="1:8" x14ac:dyDescent="0.2">
      <c r="A920" t="str">
        <f>IF(INDEX(Heni!$D:$D, 20)="", NA(), "Heni (Developer)")</f>
        <v>Heni (Developer)</v>
      </c>
      <c r="B920" t="str">
        <f>IF(INDEX(Heni!$D:$D, 20)="", NA(), INDEX(Heni!$B:$B, 20))</f>
        <v>Tics - Corporate</v>
      </c>
      <c r="C920" t="str">
        <f>IF(INDEX(Heni!$D:$D, 20)="", NA(), INDEX(Heni!$D:$D, 20))</f>
        <v>Update Dependencies Tics Policy Corporate 1- 200</v>
      </c>
      <c r="D920" t="str">
        <f>IF(INDEX(Heni!$D:$D, 20)="", NA(), INDEX(Heni!$E:$E, 20))</f>
        <v>DONE</v>
      </c>
      <c r="E920" s="13">
        <f>IF(INDEX(Heni!$D:$D, 20)="", NA(), INDEX(Heni!$K:$K, 20))</f>
        <v>46265</v>
      </c>
      <c r="F920">
        <f t="shared" si="28"/>
        <v>1</v>
      </c>
      <c r="G920" s="13">
        <f>IF(INDEX(Heni!$D:$D, 20)="", NA(), INDEX(Heni!$L:$L, 20))</f>
        <v>46266</v>
      </c>
      <c r="H920" t="str">
        <f t="shared" si="29"/>
        <v>Heni (Developer) - Tics - Corporate - Update Dependencies Tics Policy Corporate 1- 200</v>
      </c>
    </row>
    <row r="921" spans="1:8" x14ac:dyDescent="0.2">
      <c r="A921" t="str">
        <f>IF(INDEX(Heni!$D:$D, 21)="", NA(), "Heni (Developer)")</f>
        <v>Heni (Developer)</v>
      </c>
      <c r="B921" t="str">
        <f>IF(INDEX(Heni!$D:$D, 21)="", NA(), INDEX(Heni!$B:$B, 21))</f>
        <v>Tics - Corporate</v>
      </c>
      <c r="C921" t="str">
        <f>IF(INDEX(Heni!$D:$D, 21)="", NA(), INDEX(Heni!$D:$D, 21))</f>
        <v>Update Dependencies Tics Policy Corporate 201- 380</v>
      </c>
      <c r="D921" t="str">
        <f>IF(INDEX(Heni!$D:$D, 21)="", NA(), INDEX(Heni!$E:$E, 21))</f>
        <v>DONE</v>
      </c>
      <c r="E921" s="13">
        <f>IF(INDEX(Heni!$D:$D, 21)="", NA(), INDEX(Heni!$K:$K, 21))</f>
        <v>46266</v>
      </c>
      <c r="F921">
        <f t="shared" si="28"/>
        <v>1</v>
      </c>
      <c r="G921" s="13">
        <f>IF(INDEX(Heni!$D:$D, 21)="", NA(), INDEX(Heni!$L:$L, 21))</f>
        <v>46266</v>
      </c>
      <c r="H921" t="str">
        <f t="shared" si="29"/>
        <v>Heni (Developer) - Tics - Corporate - Update Dependencies Tics Policy Corporate 201- 380</v>
      </c>
    </row>
    <row r="922" spans="1:8" x14ac:dyDescent="0.2">
      <c r="A922" t="str">
        <f>IF(INDEX(Heni!$D:$D, 22)="", NA(), "Heni (Developer)")</f>
        <v>Heni (Developer)</v>
      </c>
      <c r="B922" t="str">
        <f>IF(INDEX(Heni!$D:$D, 22)="", NA(), INDEX(Heni!$B:$B, 22))</f>
        <v>Tics - Corporate</v>
      </c>
      <c r="C922" t="str">
        <f>IF(INDEX(Heni!$D:$D, 22)="", NA(), INDEX(Heni!$D:$D, 22))</f>
        <v>Update Dependencies Tics Policy Corporate 381- 477</v>
      </c>
      <c r="D922" t="str">
        <f>IF(INDEX(Heni!$D:$D, 22)="", NA(), INDEX(Heni!$E:$E, 22))</f>
        <v>DONE</v>
      </c>
      <c r="E922" s="13">
        <f>IF(INDEX(Heni!$D:$D, 22)="", NA(), INDEX(Heni!$K:$K, 22))</f>
        <v>46267</v>
      </c>
      <c r="F922">
        <f t="shared" si="28"/>
        <v>1</v>
      </c>
      <c r="G922" s="13">
        <f>IF(INDEX(Heni!$D:$D, 22)="", NA(), INDEX(Heni!$L:$L, 22))</f>
        <v>46267</v>
      </c>
      <c r="H922" t="str">
        <f t="shared" si="29"/>
        <v>Heni (Developer) - Tics - Corporate - Update Dependencies Tics Policy Corporate 381- 477</v>
      </c>
    </row>
    <row r="923" spans="1:8" x14ac:dyDescent="0.2">
      <c r="A923" t="str">
        <f>IF(INDEX(Heni!$D:$D, 23)="", NA(), "Heni (Developer)")</f>
        <v>Heni (Developer)</v>
      </c>
      <c r="B923" t="str">
        <f>IF(INDEX(Heni!$D:$D, 23)="", NA(), INDEX(Heni!$B:$B, 23))</f>
        <v>Tics - Reinsurance</v>
      </c>
      <c r="C923" t="str">
        <f>IF(INDEX(Heni!$D:$D, 23)="", NA(), INDEX(Heni!$D:$D, 23))</f>
        <v>Update Dependencies Tics Reinsurance 1- 200</v>
      </c>
      <c r="D923" t="str">
        <f>IF(INDEX(Heni!$D:$D, 23)="", NA(), INDEX(Heni!$E:$E, 23))</f>
        <v>DONE</v>
      </c>
      <c r="E923" s="13">
        <f>IF(INDEX(Heni!$D:$D, 23)="", NA(), INDEX(Heni!$K:$K, 23))</f>
        <v>46268</v>
      </c>
      <c r="F923">
        <f t="shared" si="28"/>
        <v>1</v>
      </c>
      <c r="G923" s="13">
        <f>IF(INDEX(Heni!$D:$D, 23)="", NA(), INDEX(Heni!$L:$L, 23))</f>
        <v>46268</v>
      </c>
      <c r="H923" t="str">
        <f t="shared" si="29"/>
        <v>Heni (Developer) - Tics - Reinsurance - Update Dependencies Tics Reinsurance 1- 200</v>
      </c>
    </row>
    <row r="924" spans="1:8" x14ac:dyDescent="0.2">
      <c r="A924" t="str">
        <f>IF(INDEX(Heni!$D:$D, 24)="", NA(), "Heni (Developer)")</f>
        <v>Heni (Developer)</v>
      </c>
      <c r="B924" t="str">
        <f>IF(INDEX(Heni!$D:$D, 24)="", NA(), INDEX(Heni!$B:$B, 24))</f>
        <v>Tics - Reinsurance</v>
      </c>
      <c r="C924" t="str">
        <f>IF(INDEX(Heni!$D:$D, 24)="", NA(), INDEX(Heni!$D:$D, 24))</f>
        <v>Update Dependencies Tics Reinsurance 201 - 299 &amp; Push to git</v>
      </c>
      <c r="D924" t="str">
        <f>IF(INDEX(Heni!$D:$D, 24)="", NA(), INDEX(Heni!$E:$E, 24))</f>
        <v>DONE</v>
      </c>
      <c r="E924" s="13">
        <f>IF(INDEX(Heni!$D:$D, 24)="", NA(), INDEX(Heni!$K:$K, 24))</f>
        <v>46269</v>
      </c>
      <c r="F924">
        <f t="shared" si="28"/>
        <v>1</v>
      </c>
      <c r="G924" s="13">
        <f>IF(INDEX(Heni!$D:$D, 24)="", NA(), INDEX(Heni!$L:$L, 24))</f>
        <v>46269</v>
      </c>
      <c r="H924" t="str">
        <f t="shared" si="29"/>
        <v>Heni (Developer) - Tics - Reinsurance - Update Dependencies Tics Reinsurance 201 - 299 &amp; Push to git</v>
      </c>
    </row>
    <row r="925" spans="1:8" x14ac:dyDescent="0.2">
      <c r="A925" t="str">
        <f>IF(INDEX(Heni!$D:$D, 25)="", NA(), "Heni (Developer)")</f>
        <v>Heni (Developer)</v>
      </c>
      <c r="B925" t="str">
        <f>IF(INDEX(Heni!$D:$D, 25)="", NA(), INDEX(Heni!$B:$B, 25))</f>
        <v>Tugu Ticketing System v2</v>
      </c>
      <c r="C925" t="str">
        <f>IF(INDEX(Heni!$D:$D, 25)="", NA(), INDEX(Heni!$D:$D, 25))</f>
        <v>Exploring https://demo.servicedeskplus.com/ui/home?logout=true sebagai acuan ttsv2</v>
      </c>
      <c r="D925" t="str">
        <f>IF(INDEX(Heni!$D:$D, 25)="", NA(), INDEX(Heni!$E:$E, 25))</f>
        <v>DONE</v>
      </c>
      <c r="E925" s="13">
        <f>IF(INDEX(Heni!$D:$D, 25)="", NA(), INDEX(Heni!$K:$K, 25))</f>
        <v>46272</v>
      </c>
      <c r="F925">
        <f t="shared" si="28"/>
        <v>1</v>
      </c>
      <c r="G925" s="13">
        <f>IF(INDEX(Heni!$D:$D, 25)="", NA(), INDEX(Heni!$L:$L, 25))</f>
        <v>46272</v>
      </c>
      <c r="H925" t="str">
        <f t="shared" si="29"/>
        <v>Heni (Developer) - Tugu Ticketing System v2 - Exploring https://demo.servicedeskplus.com/ui/home?logout=true sebagai acuan ttsv2</v>
      </c>
    </row>
    <row r="926" spans="1:8" x14ac:dyDescent="0.2">
      <c r="A926" t="str">
        <f>IF(INDEX(Heni!$D:$D, 26)="", NA(), "Heni (Developer)")</f>
        <v>Heni (Developer)</v>
      </c>
      <c r="B926" t="str">
        <f>IF(INDEX(Heni!$D:$D, 26)="", NA(), INDEX(Heni!$B:$B, 26))</f>
        <v>Tugu Ticketing System v2</v>
      </c>
      <c r="C926" t="str">
        <f>IF(INDEX(Heni!$D:$D, 26)="", NA(), INDEX(Heni!$D:$D, 26))</f>
        <v xml:space="preserve">Melakukan meeting terkait progress review task yang sudah dikerjakan bersama tim dan stakeholder </v>
      </c>
      <c r="D926" t="str">
        <f>IF(INDEX(Heni!$D:$D, 26)="", NA(), INDEX(Heni!$E:$E, 26))</f>
        <v>DONE</v>
      </c>
      <c r="E926" s="13">
        <f>IF(INDEX(Heni!$D:$D, 26)="", NA(), INDEX(Heni!$K:$K, 26))</f>
        <v>46272</v>
      </c>
      <c r="F926">
        <f t="shared" si="28"/>
        <v>1</v>
      </c>
      <c r="G926" s="13">
        <f>IF(INDEX(Heni!$D:$D, 26)="", NA(), INDEX(Heni!$L:$L, 26))</f>
        <v>46272</v>
      </c>
      <c r="H926" t="str">
        <f t="shared" si="29"/>
        <v xml:space="preserve">Heni (Developer) - Tugu Ticketing System v2 - Melakukan meeting terkait progress review task yang sudah dikerjakan bersama tim dan stakeholder </v>
      </c>
    </row>
    <row r="927" spans="1:8" x14ac:dyDescent="0.2">
      <c r="A927" t="str">
        <f>IF(INDEX(Heni!$D:$D, 27)="", NA(), "Heni (Developer)")</f>
        <v>Heni (Developer)</v>
      </c>
      <c r="B927" t="str">
        <f>IF(INDEX(Heni!$D:$D, 27)="", NA(), INDEX(Heni!$B:$B, 27))</f>
        <v>Tugu Ticketing System v2</v>
      </c>
      <c r="C927" t="str">
        <f>IF(INDEX(Heni!$D:$D, 27)="", NA(), INDEX(Heni!$D:$D, 27))</f>
        <v>Update Dashboard &amp; New Ticket (User = Technician)</v>
      </c>
      <c r="D927" t="str">
        <f>IF(INDEX(Heni!$D:$D, 27)="", NA(), INDEX(Heni!$E:$E, 27))</f>
        <v>DONE</v>
      </c>
      <c r="E927" s="13">
        <f>IF(INDEX(Heni!$D:$D, 27)="", NA(), INDEX(Heni!$K:$K, 27))</f>
        <v>46273</v>
      </c>
      <c r="F927">
        <f t="shared" si="28"/>
        <v>1</v>
      </c>
      <c r="G927" s="13">
        <f>IF(INDEX(Heni!$D:$D, 27)="", NA(), INDEX(Heni!$L:$L, 27))</f>
        <v>46273</v>
      </c>
      <c r="H927" t="str">
        <f t="shared" si="29"/>
        <v>Heni (Developer) - Tugu Ticketing System v2 - Update Dashboard &amp; New Ticket (User = Technician)</v>
      </c>
    </row>
    <row r="928" spans="1:8" x14ac:dyDescent="0.2">
      <c r="A928" t="str">
        <f>IF(INDEX(Heni!$D:$D, 28)="", NA(), "Heni (Developer)")</f>
        <v>Heni (Developer)</v>
      </c>
      <c r="B928" t="str">
        <f>IF(INDEX(Heni!$D:$D, 28)="", NA(), INDEX(Heni!$B:$B, 28))</f>
        <v>Tugu Ticketing System v2</v>
      </c>
      <c r="C928" t="str">
        <f>IF(INDEX(Heni!$D:$D, 28)="", NA(), INDEX(Heni!$D:$D, 28))</f>
        <v>Update Dasboard &amp; New Ticket (User = Requester)</v>
      </c>
      <c r="D928" t="str">
        <f>IF(INDEX(Heni!$D:$D, 28)="", NA(), INDEX(Heni!$E:$E, 28))</f>
        <v>DONE</v>
      </c>
      <c r="E928" s="13">
        <f>IF(INDEX(Heni!$D:$D, 28)="", NA(), INDEX(Heni!$K:$K, 28))</f>
        <v>46273</v>
      </c>
      <c r="F928">
        <f t="shared" si="28"/>
        <v>1</v>
      </c>
      <c r="G928" s="13">
        <f>IF(INDEX(Heni!$D:$D, 28)="", NA(), INDEX(Heni!$L:$L, 28))</f>
        <v>46274</v>
      </c>
      <c r="H928" t="str">
        <f t="shared" si="29"/>
        <v>Heni (Developer) - Tugu Ticketing System v2 - Update Dasboard &amp; New Ticket (User = Requester)</v>
      </c>
    </row>
    <row r="929" spans="1:8" x14ac:dyDescent="0.2">
      <c r="A929" t="str">
        <f>IF(INDEX(Heni!$D:$D, 29)="", NA(), "Heni (Developer)")</f>
        <v>Heni (Developer)</v>
      </c>
      <c r="B929" t="str">
        <f>IF(INDEX(Heni!$D:$D, 29)="", NA(), INDEX(Heni!$B:$B, 29))</f>
        <v>Tugu Ticketing System v2</v>
      </c>
      <c r="C929" t="str">
        <f>IF(INDEX(Heni!$D:$D, 29)="", NA(), INDEX(Heni!$D:$D, 29))</f>
        <v>Update Work Orders, Incident, Problems menu (User = Technician)</v>
      </c>
      <c r="D929" t="str">
        <f>IF(INDEX(Heni!$D:$D, 29)="", NA(), INDEX(Heni!$E:$E, 29))</f>
        <v>DONE</v>
      </c>
      <c r="E929" s="13">
        <f>IF(INDEX(Heni!$D:$D, 29)="", NA(), INDEX(Heni!$K:$K, 29))</f>
        <v>46274</v>
      </c>
      <c r="F929">
        <f t="shared" si="28"/>
        <v>1</v>
      </c>
      <c r="G929" s="13">
        <f>IF(INDEX(Heni!$D:$D, 29)="", NA(), INDEX(Heni!$L:$L, 29))</f>
        <v>46274</v>
      </c>
      <c r="H929" t="str">
        <f t="shared" si="29"/>
        <v>Heni (Developer) - Tugu Ticketing System v2 - Update Work Orders, Incident, Problems menu (User = Technician)</v>
      </c>
    </row>
    <row r="930" spans="1:8" x14ac:dyDescent="0.2">
      <c r="A930" t="str">
        <f>IF(INDEX(Heni!$D:$D, 30)="", NA(), "Heni (Developer)")</f>
        <v>Heni (Developer)</v>
      </c>
      <c r="B930" t="str">
        <f>IF(INDEX(Heni!$D:$D, 30)="", NA(), INDEX(Heni!$B:$B, 30))</f>
        <v>TICS (Claim-Corporate)</v>
      </c>
      <c r="C930" t="str">
        <f>IF(INDEX(Heni!$D:$D, 30)="", NA(), INDEX(Heni!$D:$D, 30))</f>
        <v>Setup local project tics</v>
      </c>
      <c r="D930" t="str">
        <f>IF(INDEX(Heni!$D:$D, 30)="", NA(), INDEX(Heni!$E:$E, 30))</f>
        <v>DONE</v>
      </c>
      <c r="E930" s="13">
        <f>IF(INDEX(Heni!$D:$D, 30)="", NA(), INDEX(Heni!$K:$K, 30))</f>
        <v>46274</v>
      </c>
      <c r="F930">
        <f t="shared" si="28"/>
        <v>1</v>
      </c>
      <c r="G930" s="13">
        <f>IF(INDEX(Heni!$D:$D, 30)="", NA(), INDEX(Heni!$L:$L, 30))</f>
        <v>46274</v>
      </c>
      <c r="H930" t="str">
        <f t="shared" si="29"/>
        <v>Heni (Developer) - TICS (Claim-Corporate) - Setup local project tics</v>
      </c>
    </row>
    <row r="931" spans="1:8" x14ac:dyDescent="0.2">
      <c r="A931" t="str">
        <f>IF(INDEX(Heni!$D:$D, 31)="", NA(), "Heni (Developer)")</f>
        <v>Heni (Developer)</v>
      </c>
      <c r="B931" t="str">
        <f>IF(INDEX(Heni!$D:$D, 31)="", NA(), INDEX(Heni!$B:$B, 31))</f>
        <v>Tugu Ticketing System v2</v>
      </c>
      <c r="C931" t="str">
        <f>IF(INDEX(Heni!$D:$D, 31)="", NA(), INDEX(Heni!$D:$D, 31))</f>
        <v>Update Work Orders, Incident, Problems menu (User = Requester)</v>
      </c>
      <c r="D931" t="str">
        <f>IF(INDEX(Heni!$D:$D, 31)="", NA(), INDEX(Heni!$E:$E, 31))</f>
        <v>DONE</v>
      </c>
      <c r="E931" s="13">
        <f>IF(INDEX(Heni!$D:$D, 31)="", NA(), INDEX(Heni!$K:$K, 31))</f>
        <v>46275</v>
      </c>
      <c r="F931">
        <f t="shared" si="28"/>
        <v>1</v>
      </c>
      <c r="G931" s="13">
        <f>IF(INDEX(Heni!$D:$D, 31)="", NA(), INDEX(Heni!$L:$L, 31))</f>
        <v>46275</v>
      </c>
      <c r="H931" t="str">
        <f t="shared" si="29"/>
        <v>Heni (Developer) - Tugu Ticketing System v2 - Update Work Orders, Incident, Problems menu (User = Requester)</v>
      </c>
    </row>
    <row r="932" spans="1:8" x14ac:dyDescent="0.2">
      <c r="A932" t="str">
        <f>IF(INDEX(Heni!$D:$D, 32)="", NA(), "Heni (Developer)")</f>
        <v>Heni (Developer)</v>
      </c>
      <c r="B932" t="str">
        <f>IF(INDEX(Heni!$D:$D, 32)="", NA(), INDEX(Heni!$B:$B, 32))</f>
        <v>Tugu Ticketing System v2</v>
      </c>
      <c r="C932" t="str">
        <f>IF(INDEX(Heni!$D:$D, 32)="", NA(), INDEX(Heni!$D:$D, 32))</f>
        <v>Perbaikan API pada role user</v>
      </c>
      <c r="D932" t="str">
        <f>IF(INDEX(Heni!$D:$D, 32)="", NA(), INDEX(Heni!$E:$E, 32))</f>
        <v>DONE</v>
      </c>
      <c r="E932" s="13">
        <f>IF(INDEX(Heni!$D:$D, 32)="", NA(), INDEX(Heni!$K:$K, 32))</f>
        <v>46276</v>
      </c>
      <c r="F932">
        <f t="shared" si="28"/>
        <v>1</v>
      </c>
      <c r="G932" s="13">
        <f>IF(INDEX(Heni!$D:$D, 32)="", NA(), INDEX(Heni!$L:$L, 32))</f>
        <v>46276</v>
      </c>
      <c r="H932" t="str">
        <f t="shared" si="29"/>
        <v>Heni (Developer) - Tugu Ticketing System v2 - Perbaikan API pada role user</v>
      </c>
    </row>
    <row r="933" spans="1:8" x14ac:dyDescent="0.2">
      <c r="A933" t="str">
        <f>IF(INDEX(Heni!$D:$D, 33)="", NA(), "Heni (Developer)")</f>
        <v>Heni (Developer)</v>
      </c>
      <c r="B933" t="str">
        <f>IF(INDEX(Heni!$D:$D, 33)="", NA(), INDEX(Heni!$B:$B, 33))</f>
        <v>Tugu Ticketing System v2</v>
      </c>
      <c r="C933" t="str">
        <f>IF(INDEX(Heni!$D:$D, 33)="", NA(), INDEX(Heni!$D:$D, 33))</f>
        <v>Update List Menu (User : Requester &amp; Technician), penyesuaian backend menggunakan api yg sudah dibuat untuk masing2 role</v>
      </c>
      <c r="D933" t="str">
        <f>IF(INDEX(Heni!$D:$D, 33)="", NA(), INDEX(Heni!$E:$E, 33))</f>
        <v>DONE</v>
      </c>
      <c r="E933" s="13">
        <f>IF(INDEX(Heni!$D:$D, 33)="", NA(), INDEX(Heni!$K:$K, 33))</f>
        <v>46279</v>
      </c>
      <c r="F933">
        <f t="shared" si="28"/>
        <v>1</v>
      </c>
      <c r="G933" s="13">
        <f>IF(INDEX(Heni!$D:$D, 33)="", NA(), INDEX(Heni!$L:$L, 33))</f>
        <v>46279</v>
      </c>
      <c r="H933" t="str">
        <f t="shared" si="29"/>
        <v>Heni (Developer) - Tugu Ticketing System v2 - Update List Menu (User : Requester &amp; Technician), penyesuaian backend menggunakan api yg sudah dibuat untuk masing2 role</v>
      </c>
    </row>
    <row r="934" spans="1:8" x14ac:dyDescent="0.2">
      <c r="A934" t="str">
        <f>IF(INDEX(Heni!$D:$D, 34)="", NA(), "Heni (Developer)")</f>
        <v>Heni (Developer)</v>
      </c>
      <c r="B934" t="str">
        <f>IF(INDEX(Heni!$D:$D, 34)="", NA(), INDEX(Heni!$B:$B, 34))</f>
        <v>Tugu Ticketing System v2</v>
      </c>
      <c r="C934" t="str">
        <f>IF(INDEX(Heni!$D:$D, 34)="", NA(), INDEX(Heni!$D:$D, 34))</f>
        <v>Completing end-to-end features, RBAC, menu integrations, and testing</v>
      </c>
      <c r="D934" t="str">
        <f>IF(INDEX(Heni!$D:$D, 34)="", NA(), INDEX(Heni!$E:$E, 34))</f>
        <v>DONE</v>
      </c>
      <c r="E934" s="13">
        <f>IF(INDEX(Heni!$D:$D, 34)="", NA(), INDEX(Heni!$K:$K, 34))</f>
        <v>46280</v>
      </c>
      <c r="F934">
        <f t="shared" si="28"/>
        <v>1</v>
      </c>
      <c r="G934" s="13">
        <f>IF(INDEX(Heni!$D:$D, 34)="", NA(), INDEX(Heni!$L:$L, 34))</f>
        <v>46280</v>
      </c>
      <c r="H934" t="str">
        <f t="shared" si="29"/>
        <v>Heni (Developer) - Tugu Ticketing System v2 - Completing end-to-end features, RBAC, menu integrations, and testing</v>
      </c>
    </row>
    <row r="935" spans="1:8" x14ac:dyDescent="0.2">
      <c r="A935" t="str">
        <f>IF(INDEX(Heni!$D:$D, 35)="", NA(), "Heni (Developer)")</f>
        <v>Heni (Developer)</v>
      </c>
      <c r="B935" t="str">
        <f>IF(INDEX(Heni!$D:$D, 35)="", NA(), INDEX(Heni!$B:$B, 35))</f>
        <v>Tugu Ticketing System v2</v>
      </c>
      <c r="C935" t="str">
        <f>IF(INDEX(Heni!$D:$D, 35)="", NA(), INDEX(Heni!$D:$D, 35))</f>
        <v>Refactoring and fixing UI/UX layout issues, sidebar collapse logic, and Lottie loading animation bugs</v>
      </c>
      <c r="D935" t="str">
        <f>IF(INDEX(Heni!$D:$D, 35)="", NA(), INDEX(Heni!$E:$E, 35))</f>
        <v>DONE</v>
      </c>
      <c r="E935" s="13">
        <f>IF(INDEX(Heni!$D:$D, 35)="", NA(), INDEX(Heni!$K:$K, 35))</f>
        <v>46281</v>
      </c>
      <c r="F935">
        <f t="shared" si="28"/>
        <v>1</v>
      </c>
      <c r="G935" s="13">
        <f>IF(INDEX(Heni!$D:$D, 35)="", NA(), INDEX(Heni!$L:$L, 35))</f>
        <v>46281</v>
      </c>
      <c r="H935" t="str">
        <f t="shared" si="29"/>
        <v>Heni (Developer) - Tugu Ticketing System v2 - Refactoring and fixing UI/UX layout issues, sidebar collapse logic, and Lottie loading animation bugs</v>
      </c>
    </row>
    <row r="936" spans="1:8" x14ac:dyDescent="0.2">
      <c r="A936" t="str">
        <f>IF(INDEX(Heni!$D:$D, 36)="", NA(), "Heni (Developer)")</f>
        <v>Heni (Developer)</v>
      </c>
      <c r="B936" t="str">
        <f>IF(INDEX(Heni!$D:$D, 36)="", NA(), INDEX(Heni!$B:$B, 36))</f>
        <v>Tugu Ticketing System v2</v>
      </c>
      <c r="C936" t="str">
        <f>IF(INDEX(Heni!$D:$D, 36)="", NA(), INDEX(Heni!$D:$D, 36))</f>
        <v>Fixing PostgreSQL integration and Laravel controllers, refining the Next.js Queue and Reports &amp; Analytics UI, and solidifying the overall ITSM workflow logic.</v>
      </c>
      <c r="D936" t="str">
        <f>IF(INDEX(Heni!$D:$D, 36)="", NA(), INDEX(Heni!$E:$E, 36))</f>
        <v>DONE</v>
      </c>
      <c r="E936" s="13">
        <f>IF(INDEX(Heni!$D:$D, 36)="", NA(), INDEX(Heni!$K:$K, 36))</f>
        <v>46282</v>
      </c>
      <c r="F936">
        <f t="shared" si="28"/>
        <v>1</v>
      </c>
      <c r="G936" s="13">
        <f>IF(INDEX(Heni!$D:$D, 36)="", NA(), INDEX(Heni!$L:$L, 36))</f>
        <v>46282</v>
      </c>
      <c r="H936" t="str">
        <f t="shared" si="29"/>
        <v>Heni (Developer) - Tugu Ticketing System v2 - Fixing PostgreSQL integration and Laravel controllers, refining the Next.js Queue and Reports &amp; Analytics UI, and solidifying the overall ITSM workflow logic.</v>
      </c>
    </row>
    <row r="937" spans="1:8" x14ac:dyDescent="0.2">
      <c r="A937" t="str">
        <f>IF(INDEX(Heni!$D:$D, 37)="", NA(), "Heni (Developer)")</f>
        <v>Heni (Developer)</v>
      </c>
      <c r="B937" t="str">
        <f>IF(INDEX(Heni!$D:$D, 37)="", NA(), INDEX(Heni!$B:$B, 37))</f>
        <v>Tugu Ticketing System v2</v>
      </c>
      <c r="C937" t="str">
        <f>IF(INDEX(Heni!$D:$D, 37)="", NA(), INDEX(Heni!$D:$D, 37))</f>
        <v>push to new-feature branches</v>
      </c>
      <c r="D937" t="str">
        <f>IF(INDEX(Heni!$D:$D, 37)="", NA(), INDEX(Heni!$E:$E, 37))</f>
        <v>DONE</v>
      </c>
      <c r="E937" s="13">
        <f>IF(INDEX(Heni!$D:$D, 37)="", NA(), INDEX(Heni!$K:$K, 37))</f>
        <v>46283</v>
      </c>
      <c r="F937">
        <f t="shared" si="28"/>
        <v>1</v>
      </c>
      <c r="G937" s="13">
        <f>IF(INDEX(Heni!$D:$D, 37)="", NA(), INDEX(Heni!$L:$L, 37))</f>
        <v>46283</v>
      </c>
      <c r="H937" t="str">
        <f t="shared" si="29"/>
        <v>Heni (Developer) - Tugu Ticketing System v2 - push to new-feature branches</v>
      </c>
    </row>
    <row r="938" spans="1:8" x14ac:dyDescent="0.2">
      <c r="A938" t="str">
        <f>IF(INDEX(Heni!$D:$D, 38)="", NA(), "Heni (Developer)")</f>
        <v>Heni (Developer)</v>
      </c>
      <c r="B938" t="str">
        <f>IF(INDEX(Heni!$D:$D, 38)="", NA(), INDEX(Heni!$B:$B, 38))</f>
        <v>Integrasi TCES TICS</v>
      </c>
      <c r="C938" t="str">
        <f>IF(INDEX(Heni!$D:$D, 38)="", NA(), INDEX(Heni!$D:$D, 38))</f>
        <v>Sharing Knowledge TCES</v>
      </c>
      <c r="D938" t="str">
        <f>IF(INDEX(Heni!$D:$D, 38)="", NA(), INDEX(Heni!$E:$E, 38))</f>
        <v>DONE</v>
      </c>
      <c r="E938" s="13">
        <f>IF(INDEX(Heni!$D:$D, 38)="", NA(), INDEX(Heni!$K:$K, 38))</f>
        <v>46283</v>
      </c>
      <c r="F938">
        <f t="shared" si="28"/>
        <v>1</v>
      </c>
      <c r="G938" s="13">
        <f>IF(INDEX(Heni!$D:$D, 38)="", NA(), INDEX(Heni!$L:$L, 38))</f>
        <v>46283</v>
      </c>
      <c r="H938" t="str">
        <f t="shared" si="29"/>
        <v>Heni (Developer) - Integrasi TCES TICS - Sharing Knowledge TCES</v>
      </c>
    </row>
    <row r="939" spans="1:8" x14ac:dyDescent="0.2">
      <c r="A939" t="str">
        <f>IF(INDEX(Heni!$D:$D, 39)="", NA(), "Heni (Developer)")</f>
        <v>Heni (Developer)</v>
      </c>
      <c r="B939" t="str">
        <f>IF(INDEX(Heni!$D:$D, 39)="", NA(), INDEX(Heni!$B:$B, 39))</f>
        <v>TICS V2</v>
      </c>
      <c r="C939" t="str">
        <f>IF(INDEX(Heni!$D:$D, 39)="", NA(), INDEX(Heni!$D:$D, 39))</f>
        <v>Setup local project tics &amp; bug fixing penomoran quotation number</v>
      </c>
      <c r="D939" t="str">
        <f>IF(INDEX(Heni!$D:$D, 39)="", NA(), INDEX(Heni!$E:$E, 39))</f>
        <v>DONE</v>
      </c>
      <c r="E939" s="13">
        <f>IF(INDEX(Heni!$D:$D, 39)="", NA(), INDEX(Heni!$K:$K, 39))</f>
        <v>46286</v>
      </c>
      <c r="F939">
        <f t="shared" si="28"/>
        <v>1</v>
      </c>
      <c r="G939" s="13">
        <f>IF(INDEX(Heni!$D:$D, 39)="", NA(), INDEX(Heni!$L:$L, 39))</f>
        <v>46286</v>
      </c>
      <c r="H939" t="str">
        <f t="shared" si="29"/>
        <v>Heni (Developer) - TICS V2 - Setup local project tics &amp; bug fixing penomoran quotation number</v>
      </c>
    </row>
    <row r="940" spans="1:8" x14ac:dyDescent="0.2">
      <c r="A940" t="str">
        <f>IF(INDEX(Heni!$D:$D, 40)="", NA(), "Heni (Developer)")</f>
        <v>Heni (Developer)</v>
      </c>
      <c r="B940" t="str">
        <f>IF(INDEX(Heni!$D:$D, 40)="", NA(), INDEX(Heni!$B:$B, 40))</f>
        <v>TICS V2</v>
      </c>
      <c r="C940" t="str">
        <f>IF(INDEX(Heni!$D:$D, 40)="", NA(), INDEX(Heni!$D:$D, 40))</f>
        <v>Resolved database connection issues n router duplicates</v>
      </c>
      <c r="D940" t="str">
        <f>IF(INDEX(Heni!$D:$D, 40)="", NA(), INDEX(Heni!$E:$E, 40))</f>
        <v>DONE</v>
      </c>
      <c r="E940" s="13">
        <f>IF(INDEX(Heni!$D:$D, 40)="", NA(), INDEX(Heni!$K:$K, 40))</f>
        <v>46287</v>
      </c>
      <c r="F940">
        <f t="shared" si="28"/>
        <v>1</v>
      </c>
      <c r="G940" s="13">
        <f>IF(INDEX(Heni!$D:$D, 40)="", NA(), INDEX(Heni!$L:$L, 40))</f>
        <v>46287</v>
      </c>
      <c r="H940" t="str">
        <f t="shared" si="29"/>
        <v>Heni (Developer) - TICS V2 - Resolved database connection issues n router duplicates</v>
      </c>
    </row>
    <row r="941" spans="1:8" x14ac:dyDescent="0.2">
      <c r="A941" t="str">
        <f>IF(INDEX(Heni!$D:$D, 41)="", NA(), "Heni (Developer)")</f>
        <v>Heni (Developer)</v>
      </c>
      <c r="B941" t="str">
        <f>IF(INDEX(Heni!$D:$D, 41)="", NA(), INDEX(Heni!$B:$B, 41))</f>
        <v>TTS V2</v>
      </c>
      <c r="C941" t="str">
        <f>IF(INDEX(Heni!$D:$D, 41)="", NA(), INDEX(Heni!$D:$D, 41))</f>
        <v>refine auth logic, SLA module, and monitoring page</v>
      </c>
      <c r="D941" t="str">
        <f>IF(INDEX(Heni!$D:$D, 41)="", NA(), INDEX(Heni!$E:$E, 41))</f>
        <v>DONE</v>
      </c>
      <c r="E941" s="13">
        <f>IF(INDEX(Heni!$D:$D, 41)="", NA(), INDEX(Heni!$K:$K, 41))</f>
        <v>46288</v>
      </c>
      <c r="F941">
        <f t="shared" si="28"/>
        <v>1</v>
      </c>
      <c r="G941" s="13">
        <f>IF(INDEX(Heni!$D:$D, 41)="", NA(), INDEX(Heni!$L:$L, 41))</f>
        <v>46288</v>
      </c>
      <c r="H941" t="str">
        <f t="shared" si="29"/>
        <v>Heni (Developer) - TTS V2 - refine auth logic, SLA module, and monitoring page</v>
      </c>
    </row>
    <row r="942" spans="1:8" x14ac:dyDescent="0.2">
      <c r="A942" t="str">
        <f>IF(INDEX(Heni!$D:$D, 42)="", NA(), "Heni (Developer)")</f>
        <v>Heni (Developer)</v>
      </c>
      <c r="B942" t="str">
        <f>IF(INDEX(Heni!$D:$D, 42)="", NA(), INDEX(Heni!$B:$B, 42))</f>
        <v>TICS - Policy Corp</v>
      </c>
      <c r="C942" t="str">
        <f>IF(INDEX(Heni!$D:$D, 42)="", NA(), INDEX(Heni!$D:$D, 42))</f>
        <v xml:space="preserve">update dependencies tics-policy-mv </v>
      </c>
      <c r="D942" t="str">
        <f>IF(INDEX(Heni!$D:$D, 42)="", NA(), INDEX(Heni!$E:$E, 42))</f>
        <v>DONE</v>
      </c>
      <c r="E942" s="13">
        <f>IF(INDEX(Heni!$D:$D, 42)="", NA(), INDEX(Heni!$K:$K, 42))</f>
        <v>46289</v>
      </c>
      <c r="F942">
        <f t="shared" si="28"/>
        <v>1</v>
      </c>
      <c r="G942" s="13">
        <f>IF(INDEX(Heni!$D:$D, 42)="", NA(), INDEX(Heni!$L:$L, 42))</f>
        <v>46289</v>
      </c>
      <c r="H942" t="str">
        <f t="shared" si="29"/>
        <v xml:space="preserve">Heni (Developer) - TICS - Policy Corp - update dependencies tics-policy-mv </v>
      </c>
    </row>
    <row r="943" spans="1:8" x14ac:dyDescent="0.2">
      <c r="A943" t="str">
        <f>IF(INDEX(Heni!$D:$D, 43)="", NA(), "Heni (Developer)")</f>
        <v>Heni (Developer)</v>
      </c>
      <c r="B943" t="str">
        <f>IF(INDEX(Heni!$D:$D, 43)="", NA(), INDEX(Heni!$B:$B, 43))</f>
        <v>TICS - Policy Corp</v>
      </c>
      <c r="C943" t="str">
        <f>IF(INDEX(Heni!$D:$D, 43)="", NA(), INDEX(Heni!$D:$D, 43))</f>
        <v>update dependencies tics-claim-retail</v>
      </c>
      <c r="D943" t="str">
        <f>IF(INDEX(Heni!$D:$D, 43)="", NA(), INDEX(Heni!$E:$E, 43))</f>
        <v>DONE</v>
      </c>
      <c r="E943" s="13">
        <f>IF(INDEX(Heni!$D:$D, 43)="", NA(), INDEX(Heni!$K:$K, 43))</f>
        <v>46290</v>
      </c>
      <c r="F943">
        <f t="shared" si="28"/>
        <v>1</v>
      </c>
      <c r="G943" s="13">
        <f>IF(INDEX(Heni!$D:$D, 43)="", NA(), INDEX(Heni!$L:$L, 43))</f>
        <v>46290</v>
      </c>
      <c r="H943" t="str">
        <f t="shared" si="29"/>
        <v>Heni (Developer) - TICS - Policy Corp - update dependencies tics-claim-retail</v>
      </c>
    </row>
    <row r="944" spans="1:8" x14ac:dyDescent="0.2">
      <c r="A944" t="e">
        <f>IF(INDEX(Heni!$D:$D, 44)="", NA(), "Heni (Developer)")</f>
        <v>#N/A</v>
      </c>
      <c r="B944" t="e">
        <f>IF(INDEX(Heni!$D:$D, 44)="", NA(), INDEX(Heni!$B:$B, 44))</f>
        <v>#N/A</v>
      </c>
      <c r="C944" t="e">
        <f>IF(INDEX(Heni!$D:$D, 44)="", NA(), INDEX(Heni!$D:$D, 44))</f>
        <v>#N/A</v>
      </c>
      <c r="D944" t="e">
        <f>IF(INDEX(Heni!$D:$D, 44)="", NA(), INDEX(Heni!$E:$E, 44))</f>
        <v>#N/A</v>
      </c>
      <c r="E944" s="13" t="e">
        <f>IF(INDEX(Heni!$D:$D, 44)="", NA(), INDEX(Heni!$K:$K, 44))</f>
        <v>#N/A</v>
      </c>
      <c r="F944" t="e">
        <f t="shared" si="28"/>
        <v>#N/A</v>
      </c>
      <c r="G944" s="13" t="e">
        <f>IF(INDEX(Heni!$D:$D, 44)="", NA(), INDEX(Heni!$L:$L, 44))</f>
        <v>#N/A</v>
      </c>
      <c r="H944" t="e">
        <f t="shared" si="29"/>
        <v>#N/A</v>
      </c>
    </row>
    <row r="945" spans="1:8" x14ac:dyDescent="0.2">
      <c r="A945" t="str">
        <f>IF(INDEX(Heni!$D:$D, 45)="", NA(), "Heni (Developer)")</f>
        <v>Heni (Developer)</v>
      </c>
      <c r="B945" t="str">
        <f>IF(INDEX(Heni!$D:$D, 45)="", NA(), INDEX(Heni!$B:$B, 45))</f>
        <v>TICS - Policy Corp</v>
      </c>
      <c r="C945" t="str">
        <f>IF(INDEX(Heni!$D:$D, 45)="", NA(), INDEX(Heni!$D:$D, 45))</f>
        <v>update dependencies tics-policy-retail</v>
      </c>
      <c r="D945" t="str">
        <f>IF(INDEX(Heni!$D:$D, 45)="", NA(), INDEX(Heni!$E:$E, 45))</f>
        <v>DONE</v>
      </c>
      <c r="E945" s="13">
        <f>IF(INDEX(Heni!$D:$D, 45)="", NA(), INDEX(Heni!$K:$K, 45))</f>
        <v>46294</v>
      </c>
      <c r="F945">
        <f t="shared" si="28"/>
        <v>1</v>
      </c>
      <c r="G945" s="13">
        <f>IF(INDEX(Heni!$D:$D, 45)="", NA(), INDEX(Heni!$L:$L, 45))</f>
        <v>46294</v>
      </c>
      <c r="H945" t="str">
        <f t="shared" si="29"/>
        <v>Heni (Developer) - TICS - Policy Corp - update dependencies tics-policy-retail</v>
      </c>
    </row>
    <row r="946" spans="1:8" x14ac:dyDescent="0.2">
      <c r="A946" t="str">
        <f>IF(INDEX(Heni!$D:$D, 46)="", NA(), "Heni (Developer)")</f>
        <v>Heni (Developer)</v>
      </c>
      <c r="B946" t="str">
        <f>IF(INDEX(Heni!$D:$D, 46)="", NA(), INDEX(Heni!$B:$B, 46))</f>
        <v>TICS - Policy Corp</v>
      </c>
      <c r="C946" t="str">
        <f>IF(INDEX(Heni!$D:$D, 46)="", NA(), INDEX(Heni!$D:$D, 46))</f>
        <v>update dependencies tics-claim-corporate</v>
      </c>
      <c r="D946" t="str">
        <f>IF(INDEX(Heni!$D:$D, 46)="", NA(), INDEX(Heni!$E:$E, 46))</f>
        <v>DONE</v>
      </c>
      <c r="E946" s="13">
        <f>IF(INDEX(Heni!$D:$D, 46)="", NA(), INDEX(Heni!$K:$K, 46))</f>
        <v>46295</v>
      </c>
      <c r="F946">
        <f t="shared" si="28"/>
        <v>1</v>
      </c>
      <c r="G946" s="13">
        <f>IF(INDEX(Heni!$D:$D, 46)="", NA(), INDEX(Heni!$L:$L, 46))</f>
        <v>46296</v>
      </c>
      <c r="H946" t="str">
        <f t="shared" si="29"/>
        <v>Heni (Developer) - TICS - Policy Corp - update dependencies tics-claim-corporate</v>
      </c>
    </row>
    <row r="947" spans="1:8" x14ac:dyDescent="0.2">
      <c r="A947" t="str">
        <f>IF(INDEX(Heni!$D:$D, 47)="", NA(), "Heni (Developer)")</f>
        <v>Heni (Developer)</v>
      </c>
      <c r="B947" t="str">
        <f>IF(INDEX(Heni!$D:$D, 47)="", NA(), INDEX(Heni!$B:$B, 47))</f>
        <v>TICS - Policy Corp</v>
      </c>
      <c r="C947" t="str">
        <f>IF(INDEX(Heni!$D:$D, 47)="", NA(), INDEX(Heni!$D:$D, 47))</f>
        <v>Sharing Knowledge TICS Claim Corporate and fixing variable</v>
      </c>
      <c r="D947" t="str">
        <f>IF(INDEX(Heni!$D:$D, 47)="", NA(), INDEX(Heni!$E:$E, 47))</f>
        <v>DONE</v>
      </c>
      <c r="E947" s="13">
        <f>IF(INDEX(Heni!$D:$D, 47)="", NA(), INDEX(Heni!$K:$K, 47))</f>
        <v>46296</v>
      </c>
      <c r="F947">
        <f t="shared" si="28"/>
        <v>1</v>
      </c>
      <c r="G947" s="13">
        <f>IF(INDEX(Heni!$D:$D, 47)="", NA(), INDEX(Heni!$L:$L, 47))</f>
        <v>46296</v>
      </c>
      <c r="H947" t="str">
        <f t="shared" si="29"/>
        <v>Heni (Developer) - TICS - Policy Corp - Sharing Knowledge TICS Claim Corporate and fixing variable</v>
      </c>
    </row>
    <row r="948" spans="1:8" x14ac:dyDescent="0.2">
      <c r="A948" t="str">
        <f>IF(INDEX(Heni!$D:$D, 48)="", NA(), "Heni (Developer)")</f>
        <v>Heni (Developer)</v>
      </c>
      <c r="B948" t="str">
        <f>IF(INDEX(Heni!$D:$D, 48)="", NA(), INDEX(Heni!$B:$B, 48))</f>
        <v>TICS - Policy Corp</v>
      </c>
      <c r="C948" t="str">
        <f>IF(INDEX(Heni!$D:$D, 48)="", NA(), INDEX(Heni!$D:$D, 48))</f>
        <v>Fix Issue Format Bulleting pada Output Dokumen Marine Cargo, Traversal Marker {{start_nbr}} / {{end_nbr}} dan Pengubahan List Level Master Control</v>
      </c>
      <c r="D948" t="str">
        <f>IF(INDEX(Heni!$D:$D, 48)="", NA(), INDEX(Heni!$E:$E, 48))</f>
        <v>DONE</v>
      </c>
      <c r="E948" s="13">
        <f>IF(INDEX(Heni!$D:$D, 48)="", NA(), INDEX(Heni!$K:$K, 48))</f>
        <v>46300</v>
      </c>
      <c r="F948">
        <f t="shared" si="28"/>
        <v>1</v>
      </c>
      <c r="G948" s="13">
        <f>IF(INDEX(Heni!$D:$D, 48)="", NA(), INDEX(Heni!$L:$L, 48))</f>
        <v>46300</v>
      </c>
      <c r="H948" t="str">
        <f t="shared" si="29"/>
        <v>Heni (Developer) - TICS - Policy Corp - Fix Issue Format Bulleting pada Output Dokumen Marine Cargo, Traversal Marker {{start_nbr}} / {{end_nbr}} dan Pengubahan List Level Master Control</v>
      </c>
    </row>
    <row r="949" spans="1:8" x14ac:dyDescent="0.2">
      <c r="A949" t="str">
        <f>IF(INDEX(Heni!$D:$D, 49)="", NA(), "Heni (Developer)")</f>
        <v>Heni (Developer)</v>
      </c>
      <c r="B949" t="str">
        <f>IF(INDEX(Heni!$D:$D, 49)="", NA(), INDEX(Heni!$B:$B, 49))</f>
        <v>TICS - Policy Corp</v>
      </c>
      <c r="C949" t="str">
        <f>IF(INDEX(Heni!$D:$D, 49)="", NA(), INDEX(Heni!$D:$D, 49))</f>
        <v xml:space="preserve">Fix Feedback document output marine cargo </v>
      </c>
      <c r="D949" t="str">
        <f>IF(INDEX(Heni!$D:$D, 49)="", NA(), INDEX(Heni!$E:$E, 49))</f>
        <v>DONE</v>
      </c>
      <c r="E949" s="13">
        <f>IF(INDEX(Heni!$D:$D, 49)="", NA(), INDEX(Heni!$K:$K, 49))</f>
        <v>46301</v>
      </c>
      <c r="F949">
        <f t="shared" si="28"/>
        <v>1</v>
      </c>
      <c r="G949" s="13">
        <f>IF(INDEX(Heni!$D:$D, 49)="", NA(), INDEX(Heni!$L:$L, 49))</f>
        <v>46301</v>
      </c>
      <c r="H949" t="str">
        <f t="shared" si="29"/>
        <v xml:space="preserve">Heni (Developer) - TICS - Policy Corp - Fix Feedback document output marine cargo </v>
      </c>
    </row>
    <row r="950" spans="1:8" x14ac:dyDescent="0.2">
      <c r="A950" t="str">
        <f>IF(INDEX(Heni!$D:$D, 50)="", NA(), "Heni (Developer)")</f>
        <v>Heni (Developer)</v>
      </c>
      <c r="B950" t="str">
        <f>IF(INDEX(Heni!$D:$D, 50)="", NA(), INDEX(Heni!$B:$B, 50))</f>
        <v>TICS - Policy Corp</v>
      </c>
      <c r="C950" t="str">
        <f>IF(INDEX(Heni!$D:$D, 50)="", NA(), INDEX(Heni!$D:$D, 50))</f>
        <v>Meeting users (Underwiter) dengan Mas Egi pembahasan Marine Hull document</v>
      </c>
      <c r="D950" t="str">
        <f>IF(INDEX(Heni!$D:$D, 50)="", NA(), INDEX(Heni!$E:$E, 50))</f>
        <v>DONE</v>
      </c>
      <c r="E950" s="13">
        <f>IF(INDEX(Heni!$D:$D, 50)="", NA(), INDEX(Heni!$K:$K, 50))</f>
        <v>46302</v>
      </c>
      <c r="F950">
        <f t="shared" si="28"/>
        <v>1</v>
      </c>
      <c r="G950" s="13">
        <f>IF(INDEX(Heni!$D:$D, 50)="", NA(), INDEX(Heni!$L:$L, 50))</f>
        <v>46303</v>
      </c>
      <c r="H950" t="str">
        <f t="shared" si="29"/>
        <v>Heni (Developer) - TICS - Policy Corp - Meeting users (Underwiter) dengan Mas Egi pembahasan Marine Hull document</v>
      </c>
    </row>
    <row r="951" spans="1:8" x14ac:dyDescent="0.2">
      <c r="A951" t="str">
        <f>IF(INDEX(Heni!$D:$D, 51)="", NA(), "Heni (Developer)")</f>
        <v>Heni (Developer)</v>
      </c>
      <c r="B951" t="str">
        <f>IF(INDEX(Heni!$D:$D, 51)="", NA(), INDEX(Heni!$B:$B, 51))</f>
        <v>TTS V2</v>
      </c>
      <c r="C951" t="str">
        <f>IF(INDEX(Heni!$D:$D, 51)="", NA(), INDEX(Heni!$D:$D, 51))</f>
        <v>Fix feedback Halaman root tidak membaca token dari URL</v>
      </c>
      <c r="D951" t="str">
        <f>IF(INDEX(Heni!$D:$D, 51)="", NA(), INDEX(Heni!$E:$E, 51))</f>
        <v>DONE</v>
      </c>
      <c r="E951" s="13">
        <f>IF(INDEX(Heni!$D:$D, 51)="", NA(), INDEX(Heni!$K:$K, 51))</f>
        <v>46304</v>
      </c>
      <c r="F951">
        <f t="shared" si="28"/>
        <v>1</v>
      </c>
      <c r="G951" s="13">
        <f>IF(INDEX(Heni!$D:$D, 51)="", NA(), INDEX(Heni!$L:$L, 51))</f>
        <v>46304</v>
      </c>
      <c r="H951" t="str">
        <f t="shared" si="29"/>
        <v>Heni (Developer) - TTS V2 - Fix feedback Halaman root tidak membaca token dari URL</v>
      </c>
    </row>
    <row r="952" spans="1:8" x14ac:dyDescent="0.2">
      <c r="A952" t="str">
        <f>IF(INDEX(Heni!$D:$D, 52)="", NA(), "Heni (Developer)")</f>
        <v>Heni (Developer)</v>
      </c>
      <c r="B952" t="str">
        <f>IF(INDEX(Heni!$D:$D, 52)="", NA(), INDEX(Heni!$B:$B, 52))</f>
        <v>TICS - Policy Corp</v>
      </c>
      <c r="C952" t="str">
        <f>IF(INDEX(Heni!$D:$D, 52)="", NA(), INDEX(Heni!$D:$D, 52))</f>
        <v>Mempelajari alur COB Marine Hull</v>
      </c>
      <c r="D952" t="str">
        <f>IF(INDEX(Heni!$D:$D, 52)="", NA(), INDEX(Heni!$E:$E, 52))</f>
        <v>DONE</v>
      </c>
      <c r="E952" s="13">
        <f>IF(INDEX(Heni!$D:$D, 52)="", NA(), INDEX(Heni!$K:$K, 52))</f>
        <v>46307</v>
      </c>
      <c r="F952">
        <f t="shared" si="28"/>
        <v>1</v>
      </c>
      <c r="G952" s="13">
        <f>IF(INDEX(Heni!$D:$D, 52)="", NA(), INDEX(Heni!$L:$L, 52))</f>
        <v>46307</v>
      </c>
      <c r="H952" t="str">
        <f t="shared" si="29"/>
        <v>Heni (Developer) - TICS - Policy Corp - Mempelajari alur COB Marine Hull</v>
      </c>
    </row>
    <row r="953" spans="1:8" x14ac:dyDescent="0.2">
      <c r="A953" t="str">
        <f>IF(INDEX(Heni!$D:$D, 53)="", NA(), "Heni (Developer)")</f>
        <v>Heni (Developer)</v>
      </c>
      <c r="B953" t="str">
        <f>IF(INDEX(Heni!$D:$D, 53)="", NA(), INDEX(Heni!$B:$B, 53))</f>
        <v>TTS V2</v>
      </c>
      <c r="C953" t="str">
        <f>IF(INDEX(Heni!$D:$D, 53)="", NA(), INDEX(Heni!$D:$D, 53))</f>
        <v>Fix 404 direct page tts</v>
      </c>
      <c r="D953" t="str">
        <f>IF(INDEX(Heni!$D:$D, 53)="", NA(), INDEX(Heni!$E:$E, 53))</f>
        <v>DONE</v>
      </c>
      <c r="E953" s="13">
        <f>IF(INDEX(Heni!$D:$D, 53)="", NA(), INDEX(Heni!$K:$K, 53))</f>
        <v>46307</v>
      </c>
      <c r="F953">
        <f t="shared" si="28"/>
        <v>1</v>
      </c>
      <c r="G953" s="13">
        <f>IF(INDEX(Heni!$D:$D, 53)="", NA(), INDEX(Heni!$L:$L, 53))</f>
        <v>46307</v>
      </c>
      <c r="H953" t="str">
        <f t="shared" si="29"/>
        <v>Heni (Developer) - TTS V2 - Fix 404 direct page tts</v>
      </c>
    </row>
    <row r="954" spans="1:8" x14ac:dyDescent="0.2">
      <c r="A954" t="str">
        <f>IF(INDEX(Heni!$D:$D, 54)="", NA(), "Heni (Developer)")</f>
        <v>Heni (Developer)</v>
      </c>
      <c r="B954" t="str">
        <f>IF(INDEX(Heni!$D:$D, 54)="", NA(), INDEX(Heni!$B:$B, 54))</f>
        <v>TICS - Policy Corp</v>
      </c>
      <c r="C954" t="str">
        <f>IF(INDEX(Heni!$D:$D, 54)="", NA(), INDEX(Heni!$D:$D, 54))</f>
        <v>Marine Hull trial master document control</v>
      </c>
      <c r="D954" t="str">
        <f>IF(INDEX(Heni!$D:$D, 54)="", NA(), INDEX(Heni!$E:$E, 54))</f>
        <v>DONE</v>
      </c>
      <c r="E954" s="13">
        <f>IF(INDEX(Heni!$D:$D, 54)="", NA(), INDEX(Heni!$K:$K, 54))</f>
        <v>46308</v>
      </c>
      <c r="F954">
        <f t="shared" si="28"/>
        <v>1</v>
      </c>
      <c r="G954" s="13">
        <f>IF(INDEX(Heni!$D:$D, 54)="", NA(), INDEX(Heni!$L:$L, 54))</f>
        <v>46308</v>
      </c>
      <c r="H954" t="str">
        <f t="shared" si="29"/>
        <v>Heni (Developer) - TICS - Policy Corp - Marine Hull trial master document control</v>
      </c>
    </row>
    <row r="955" spans="1:8" x14ac:dyDescent="0.2">
      <c r="A955" t="str">
        <f>IF(INDEX(Heni!$D:$D, 55)="", NA(), "Heni (Developer)")</f>
        <v>Heni (Developer)</v>
      </c>
      <c r="B955" t="str">
        <f>IF(INDEX(Heni!$D:$D, 55)="", NA(), INDEX(Heni!$B:$B, 55))</f>
        <v>TICS - Policy Corp</v>
      </c>
      <c r="C955" t="str">
        <f>IF(INDEX(Heni!$D:$D, 55)="", NA(), INDEX(Heni!$D:$D, 55))</f>
        <v>Marine Hull local Setup, and Push Marine Cargo Fixing to UAT</v>
      </c>
      <c r="D955" t="str">
        <f>IF(INDEX(Heni!$D:$D, 55)="", NA(), INDEX(Heni!$E:$E, 55))</f>
        <v>DONE</v>
      </c>
      <c r="E955" s="13">
        <f>IF(INDEX(Heni!$D:$D, 55)="", NA(), INDEX(Heni!$K:$K, 55))</f>
        <v>46309</v>
      </c>
      <c r="F955">
        <f t="shared" si="28"/>
        <v>1</v>
      </c>
      <c r="G955" s="13">
        <f>IF(INDEX(Heni!$D:$D, 55)="", NA(), INDEX(Heni!$L:$L, 55))</f>
        <v>46309</v>
      </c>
      <c r="H955" t="str">
        <f t="shared" si="29"/>
        <v>Heni (Developer) - TICS - Policy Corp - Marine Hull local Setup, and Push Marine Cargo Fixing to UAT</v>
      </c>
    </row>
    <row r="956" spans="1:8" x14ac:dyDescent="0.2">
      <c r="A956" t="str">
        <f>IF(INDEX(Heni!$D:$D, 56)="", NA(), "Heni (Developer)")</f>
        <v>Heni (Developer)</v>
      </c>
      <c r="B956" t="str">
        <f>IF(INDEX(Heni!$D:$D, 56)="", NA(), INDEX(Heni!$B:$B, 56))</f>
        <v>TICS - Policy Corp</v>
      </c>
      <c r="C956" t="str">
        <f>IF(INDEX(Heni!$D:$D, 56)="", NA(), INDEX(Heni!$D:$D, 56))</f>
        <v>Melakukan monitoring pasca-deploy UAT serta uji regresi intensif pada pipeline PDF Marine Cargo guna memitigasi risiko desinkronisasi halaman dan kerusakan layout pada dokumen bilingual.</v>
      </c>
      <c r="D956" t="str">
        <f>IF(INDEX(Heni!$D:$D, 56)="", NA(), INDEX(Heni!$E:$E, 56))</f>
        <v>DONE</v>
      </c>
      <c r="E956" s="13">
        <f>IF(INDEX(Heni!$D:$D, 56)="", NA(), INDEX(Heni!$K:$K, 56))</f>
        <v>46310</v>
      </c>
      <c r="F956">
        <f t="shared" si="28"/>
        <v>1</v>
      </c>
      <c r="G956" s="13">
        <f>IF(INDEX(Heni!$D:$D, 56)="", NA(), INDEX(Heni!$L:$L, 56))</f>
        <v>46310</v>
      </c>
      <c r="H956" t="str">
        <f t="shared" si="29"/>
        <v>Heni (Developer) - TICS - Policy Corp - Melakukan monitoring pasca-deploy UAT serta uji regresi intensif pada pipeline PDF Marine Cargo guna memitigasi risiko desinkronisasi halaman dan kerusakan layout pada dokumen bilingual.</v>
      </c>
    </row>
    <row r="957" spans="1:8" x14ac:dyDescent="0.2">
      <c r="A957" t="str">
        <f>IF(INDEX(Heni!$D:$D, 57)="", NA(), "Heni (Developer)")</f>
        <v>Heni (Developer)</v>
      </c>
      <c r="B957" t="str">
        <f>IF(INDEX(Heni!$D:$D, 57)="", NA(), INDEX(Heni!$B:$B, 57))</f>
        <v>TICS - Policy Corp</v>
      </c>
      <c r="C957" t="str">
        <f>IF(INDEX(Heni!$D:$D, 57)="", NA(), INDEX(Heni!$D:$D, 57))</f>
        <v>Melakukan investigasi mendalam terhadap dependensi data objek kapal serta isolasi arsitektur service COB Marine Hull (H) agar kustomisasi template baru tidak memicu konflik pada COB lain yang sedang berjalan.</v>
      </c>
      <c r="D957" t="str">
        <f>IF(INDEX(Heni!$D:$D, 57)="", NA(), INDEX(Heni!$E:$E, 57))</f>
        <v>DONE</v>
      </c>
      <c r="E957" s="13">
        <f>IF(INDEX(Heni!$D:$D, 57)="", NA(), INDEX(Heni!$K:$K, 57))</f>
        <v>46311</v>
      </c>
      <c r="F957">
        <f t="shared" si="28"/>
        <v>1</v>
      </c>
      <c r="G957" s="13">
        <f>IF(INDEX(Heni!$D:$D, 57)="", NA(), INDEX(Heni!$L:$L, 57))</f>
        <v>46311</v>
      </c>
      <c r="H957" t="str">
        <f t="shared" si="29"/>
        <v>Heni (Developer) - TICS - Policy Corp - Melakukan investigasi mendalam terhadap dependensi data objek kapal serta isolasi arsitektur service COB Marine Hull (H) agar kustomisasi template baru tidak memicu konflik pada COB lain yang sedang berjalan.</v>
      </c>
    </row>
    <row r="958" spans="1:8" x14ac:dyDescent="0.2">
      <c r="A958" t="str">
        <f>IF(INDEX(Heni!$D:$D, 58)="", NA(), "Heni (Developer)")</f>
        <v>Heni (Developer)</v>
      </c>
      <c r="B958" t="str">
        <f>IF(INDEX(Heni!$D:$D, 58)="", NA(), INDEX(Heni!$B:$B, 58))</f>
        <v>VIRTUAL ACCOUNT</v>
      </c>
      <c r="C958" t="str">
        <f>IF(INDEX(Heni!$D:$D, 58)="", NA(), INDEX(Heni!$D:$D, 58))</f>
        <v>Menyiapkan environment .NET 6 SDK, menjalankan service lokal API SAP Staging, serta membedah alur logika dan menyusun dokumentasi teknis integrasi modul Virtual Account (VA) ke gateway bank mitra.</v>
      </c>
      <c r="D958" t="str">
        <f>IF(INDEX(Heni!$D:$D, 58)="", NA(), INDEX(Heni!$E:$E, 58))</f>
        <v>DONE</v>
      </c>
      <c r="E958" s="13">
        <f>IF(INDEX(Heni!$D:$D, 58)="", NA(), INDEX(Heni!$K:$K, 58))</f>
        <v>46315</v>
      </c>
      <c r="F958">
        <f t="shared" si="28"/>
        <v>1</v>
      </c>
      <c r="G958" s="13">
        <f>IF(INDEX(Heni!$D:$D, 58)="", NA(), INDEX(Heni!$L:$L, 58))</f>
        <v>46315</v>
      </c>
      <c r="H958" t="str">
        <f t="shared" si="29"/>
        <v>Heni (Developer) - VIRTUAL ACCOUNT - Menyiapkan environment .NET 6 SDK, menjalankan service lokal API SAP Staging, serta membedah alur logika dan menyusun dokumentasi teknis integrasi modul Virtual Account (VA) ke gateway bank mitra.</v>
      </c>
    </row>
    <row r="959" spans="1:8" x14ac:dyDescent="0.2">
      <c r="A959" t="str">
        <f>IF(INDEX(Heni!$D:$D, 59)="", NA(), "Heni (Developer)")</f>
        <v>Heni (Developer)</v>
      </c>
      <c r="B959" t="str">
        <f>IF(INDEX(Heni!$D:$D, 59)="", NA(), INDEX(Heni!$B:$B, 59))</f>
        <v>VIRTUAL ACCOUNT</v>
      </c>
      <c r="C959" t="str">
        <f>IF(INDEX(Heni!$D:$D, 59)="", NA(), INDEX(Heni!$D:$D, 59))</f>
        <v>Melakukan analisis arsitektur dan perancangan blueprint rewrite modul Virtual Account (VA) pada project ts-staging (ElysiaJS/TypeScript), serta menyiapkan runner lokal Swagger UI untuk visualisasi dan pengujian endpoint API</v>
      </c>
      <c r="D959" t="str">
        <f>IF(INDEX(Heni!$D:$D, 59)="", NA(), INDEX(Heni!$E:$E, 59))</f>
        <v>DONE</v>
      </c>
      <c r="E959" s="13">
        <f>IF(INDEX(Heni!$D:$D, 59)="", NA(), INDEX(Heni!$K:$K, 59))</f>
        <v>46316</v>
      </c>
      <c r="F959">
        <f t="shared" si="28"/>
        <v>1</v>
      </c>
      <c r="G959" s="13">
        <f>IF(INDEX(Heni!$D:$D, 59)="", NA(), INDEX(Heni!$L:$L, 59))</f>
        <v>46316</v>
      </c>
      <c r="H959" t="str">
        <f t="shared" si="29"/>
        <v>Heni (Developer) - VIRTUAL ACCOUNT - Melakukan analisis arsitektur dan perancangan blueprint rewrite modul Virtual Account (VA) pada project ts-staging (ElysiaJS/TypeScript), serta menyiapkan runner lokal Swagger UI untuk visualisasi dan pengujian endpoint API</v>
      </c>
    </row>
    <row r="960" spans="1:8" x14ac:dyDescent="0.2">
      <c r="A960" t="str">
        <f>IF(INDEX(Heni!$D:$D, 60)="", NA(), "Heni (Developer)")</f>
        <v>Heni (Developer)</v>
      </c>
      <c r="B960" t="str">
        <f>IF(INDEX(Heni!$D:$D, 60)="", NA(), INDEX(Heni!$B:$B, 60))</f>
        <v>VIRTUAL ACCOUNT</v>
      </c>
      <c r="C960" t="str">
        <f>IF(INDEX(Heni!$D:$D, 60)="", NA(), INDEX(Heni!$D:$D, 60))</f>
        <v>Melakukan komparasi dan pemetaan detail skema data (field-by-field mapping) antara DTO Model_VA di .NET dengan kontrak API baru di ts-staging, serta memetakan alur pencatatan audit log (DAL_EndpointLog) sebagai acuan pengujian tanpa mengubah source code yang ada.</v>
      </c>
      <c r="D960" t="str">
        <f>IF(INDEX(Heni!$D:$D, 60)="", NA(), INDEX(Heni!$E:$E, 60))</f>
        <v>DONE</v>
      </c>
      <c r="E960" s="13">
        <f>IF(INDEX(Heni!$D:$D, 60)="", NA(), INDEX(Heni!$K:$K, 60))</f>
        <v>46317</v>
      </c>
      <c r="F960">
        <f t="shared" si="28"/>
        <v>1</v>
      </c>
      <c r="G960" s="13">
        <f>IF(INDEX(Heni!$D:$D, 60)="", NA(), INDEX(Heni!$L:$L, 60))</f>
        <v>46317</v>
      </c>
      <c r="H960" t="str">
        <f t="shared" si="29"/>
        <v>Heni (Developer) - VIRTUAL ACCOUNT - Melakukan komparasi dan pemetaan detail skema data (field-by-field mapping) antara DTO Model_VA di .NET dengan kontrak API baru di ts-staging, serta memetakan alur pencatatan audit log (DAL_EndpointLog) sebagai acuan pengujian tanpa mengubah source code yang ada.</v>
      </c>
    </row>
    <row r="961" spans="1:8" x14ac:dyDescent="0.2">
      <c r="A961" t="str">
        <f>IF(INDEX(Heni!$D:$D, 61)="", NA(), "Heni (Developer)")</f>
        <v>Heni (Developer)</v>
      </c>
      <c r="B961" t="str">
        <f>IF(INDEX(Heni!$D:$D, 61)="", NA(), INDEX(Heni!$B:$B, 61))</f>
        <v>VIRTUAL ACCOUNT</v>
      </c>
      <c r="C961" t="str">
        <f>IF(INDEX(Heni!$D:$D, 61)="", NA(), INDEX(Heni!$D:$D, 61))</f>
        <v>Melakukan Meeting Progress dan Penjelasan Mengenai Project TIC dan VA bersama stakeholder</v>
      </c>
      <c r="D961" t="str">
        <f>IF(INDEX(Heni!$D:$D, 61)="", NA(), INDEX(Heni!$E:$E, 61))</f>
        <v>DONE</v>
      </c>
      <c r="E961" s="13">
        <f>IF(INDEX(Heni!$D:$D, 61)="", NA(), INDEX(Heni!$K:$K, 61))</f>
        <v>46318</v>
      </c>
      <c r="F961">
        <f t="shared" si="28"/>
        <v>1</v>
      </c>
      <c r="G961" s="13">
        <f>IF(INDEX(Heni!$D:$D, 61)="", NA(), INDEX(Heni!$L:$L, 61))</f>
        <v>46318</v>
      </c>
      <c r="H961" t="str">
        <f t="shared" si="29"/>
        <v>Heni (Developer) - VIRTUAL ACCOUNT - Melakukan Meeting Progress dan Penjelasan Mengenai Project TIC dan VA bersama stakeholder</v>
      </c>
    </row>
    <row r="962" spans="1:8" x14ac:dyDescent="0.2">
      <c r="A962" t="e">
        <f>IF(INDEX(Heni!$D:$D, 62)="", NA(), "Heni (Developer)")</f>
        <v>#N/A</v>
      </c>
      <c r="B962" t="e">
        <f>IF(INDEX(Heni!$D:$D, 62)="", NA(), INDEX(Heni!$B:$B, 62))</f>
        <v>#N/A</v>
      </c>
      <c r="C962" t="e">
        <f>IF(INDEX(Heni!$D:$D, 62)="", NA(), INDEX(Heni!$D:$D, 62))</f>
        <v>#N/A</v>
      </c>
      <c r="D962" t="e">
        <f>IF(INDEX(Heni!$D:$D, 62)="", NA(), INDEX(Heni!$E:$E, 62))</f>
        <v>#N/A</v>
      </c>
      <c r="E962" s="13" t="e">
        <f>IF(INDEX(Heni!$D:$D, 62)="", NA(), INDEX(Heni!$K:$K, 62))</f>
        <v>#N/A</v>
      </c>
      <c r="F962" t="e">
        <f t="shared" ref="F962:F1025" si="30">IF(OR(E962="", ISNA(E962), ISNA(G962)), 0, MAX(1, G962-E962))</f>
        <v>#N/A</v>
      </c>
      <c r="G962" s="13" t="e">
        <f>IF(INDEX(Heni!$D:$D, 62)="", NA(), INDEX(Heni!$L:$L, 62))</f>
        <v>#N/A</v>
      </c>
      <c r="H962" t="e">
        <f t="shared" ref="H962:H1025" si="31">IF(ISNA(C962), NA(), A962 &amp; " - " &amp; B962 &amp; " - " &amp; C962)</f>
        <v>#N/A</v>
      </c>
    </row>
    <row r="963" spans="1:8" x14ac:dyDescent="0.2">
      <c r="A963" t="e">
        <f>IF(INDEX(Heni!$D:$D, 63)="", NA(), "Heni (Developer)")</f>
        <v>#N/A</v>
      </c>
      <c r="B963" t="e">
        <f>IF(INDEX(Heni!$D:$D, 63)="", NA(), INDEX(Heni!$B:$B, 63))</f>
        <v>#N/A</v>
      </c>
      <c r="C963" t="e">
        <f>IF(INDEX(Heni!$D:$D, 63)="", NA(), INDEX(Heni!$D:$D, 63))</f>
        <v>#N/A</v>
      </c>
      <c r="D963" t="e">
        <f>IF(INDEX(Heni!$D:$D, 63)="", NA(), INDEX(Heni!$E:$E, 63))</f>
        <v>#N/A</v>
      </c>
      <c r="E963" s="13" t="e">
        <f>IF(INDEX(Heni!$D:$D, 63)="", NA(), INDEX(Heni!$K:$K, 63))</f>
        <v>#N/A</v>
      </c>
      <c r="F963" t="e">
        <f t="shared" si="30"/>
        <v>#N/A</v>
      </c>
      <c r="G963" s="13" t="e">
        <f>IF(INDEX(Heni!$D:$D, 63)="", NA(), INDEX(Heni!$L:$L, 63))</f>
        <v>#N/A</v>
      </c>
      <c r="H963" t="e">
        <f t="shared" si="31"/>
        <v>#N/A</v>
      </c>
    </row>
    <row r="964" spans="1:8" x14ac:dyDescent="0.2">
      <c r="A964" t="e">
        <f>IF(INDEX(Heni!$D:$D, 64)="", NA(), "Heni (Developer)")</f>
        <v>#N/A</v>
      </c>
      <c r="B964" t="e">
        <f>IF(INDEX(Heni!$D:$D, 64)="", NA(), INDEX(Heni!$B:$B, 64))</f>
        <v>#N/A</v>
      </c>
      <c r="C964" t="e">
        <f>IF(INDEX(Heni!$D:$D, 64)="", NA(), INDEX(Heni!$D:$D, 64))</f>
        <v>#N/A</v>
      </c>
      <c r="D964" t="e">
        <f>IF(INDEX(Heni!$D:$D, 64)="", NA(), INDEX(Heni!$E:$E, 64))</f>
        <v>#N/A</v>
      </c>
      <c r="E964" s="13" t="e">
        <f>IF(INDEX(Heni!$D:$D, 64)="", NA(), INDEX(Heni!$K:$K, 64))</f>
        <v>#N/A</v>
      </c>
      <c r="F964" t="e">
        <f t="shared" si="30"/>
        <v>#N/A</v>
      </c>
      <c r="G964" s="13" t="e">
        <f>IF(INDEX(Heni!$D:$D, 64)="", NA(), INDEX(Heni!$L:$L, 64))</f>
        <v>#N/A</v>
      </c>
      <c r="H964" t="e">
        <f t="shared" si="31"/>
        <v>#N/A</v>
      </c>
    </row>
    <row r="965" spans="1:8" x14ac:dyDescent="0.2">
      <c r="A965" t="e">
        <f>IF(INDEX(Heni!$D:$D, 65)="", NA(), "Heni (Developer)")</f>
        <v>#N/A</v>
      </c>
      <c r="B965" t="e">
        <f>IF(INDEX(Heni!$D:$D, 65)="", NA(), INDEX(Heni!$B:$B, 65))</f>
        <v>#N/A</v>
      </c>
      <c r="C965" t="e">
        <f>IF(INDEX(Heni!$D:$D, 65)="", NA(), INDEX(Heni!$D:$D, 65))</f>
        <v>#N/A</v>
      </c>
      <c r="D965" t="e">
        <f>IF(INDEX(Heni!$D:$D, 65)="", NA(), INDEX(Heni!$E:$E, 65))</f>
        <v>#N/A</v>
      </c>
      <c r="E965" s="13" t="e">
        <f>IF(INDEX(Heni!$D:$D, 65)="", NA(), INDEX(Heni!$K:$K, 65))</f>
        <v>#N/A</v>
      </c>
      <c r="F965" t="e">
        <f t="shared" si="30"/>
        <v>#N/A</v>
      </c>
      <c r="G965" s="13" t="e">
        <f>IF(INDEX(Heni!$D:$D, 65)="", NA(), INDEX(Heni!$L:$L, 65))</f>
        <v>#N/A</v>
      </c>
      <c r="H965" t="e">
        <f t="shared" si="31"/>
        <v>#N/A</v>
      </c>
    </row>
    <row r="966" spans="1:8" x14ac:dyDescent="0.2">
      <c r="A966" t="e">
        <f>IF(INDEX(Heni!$D:$D, 66)="", NA(), "Heni (Developer)")</f>
        <v>#N/A</v>
      </c>
      <c r="B966" t="e">
        <f>IF(INDEX(Heni!$D:$D, 66)="", NA(), INDEX(Heni!$B:$B, 66))</f>
        <v>#N/A</v>
      </c>
      <c r="C966" t="e">
        <f>IF(INDEX(Heni!$D:$D, 66)="", NA(), INDEX(Heni!$D:$D, 66))</f>
        <v>#N/A</v>
      </c>
      <c r="D966" t="e">
        <f>IF(INDEX(Heni!$D:$D, 66)="", NA(), INDEX(Heni!$E:$E, 66))</f>
        <v>#N/A</v>
      </c>
      <c r="E966" s="13" t="e">
        <f>IF(INDEX(Heni!$D:$D, 66)="", NA(), INDEX(Heni!$K:$K, 66))</f>
        <v>#N/A</v>
      </c>
      <c r="F966" t="e">
        <f t="shared" si="30"/>
        <v>#N/A</v>
      </c>
      <c r="G966" s="13" t="e">
        <f>IF(INDEX(Heni!$D:$D, 66)="", NA(), INDEX(Heni!$L:$L, 66))</f>
        <v>#N/A</v>
      </c>
      <c r="H966" t="e">
        <f t="shared" si="31"/>
        <v>#N/A</v>
      </c>
    </row>
    <row r="967" spans="1:8" x14ac:dyDescent="0.2">
      <c r="A967" t="e">
        <f>IF(INDEX(Heni!$D:$D, 67)="", NA(), "Heni (Developer)")</f>
        <v>#N/A</v>
      </c>
      <c r="B967" t="e">
        <f>IF(INDEX(Heni!$D:$D, 67)="", NA(), INDEX(Heni!$B:$B, 67))</f>
        <v>#N/A</v>
      </c>
      <c r="C967" t="e">
        <f>IF(INDEX(Heni!$D:$D, 67)="", NA(), INDEX(Heni!$D:$D, 67))</f>
        <v>#N/A</v>
      </c>
      <c r="D967" t="e">
        <f>IF(INDEX(Heni!$D:$D, 67)="", NA(), INDEX(Heni!$E:$E, 67))</f>
        <v>#N/A</v>
      </c>
      <c r="E967" s="13" t="e">
        <f>IF(INDEX(Heni!$D:$D, 67)="", NA(), INDEX(Heni!$K:$K, 67))</f>
        <v>#N/A</v>
      </c>
      <c r="F967" t="e">
        <f t="shared" si="30"/>
        <v>#N/A</v>
      </c>
      <c r="G967" s="13" t="e">
        <f>IF(INDEX(Heni!$D:$D, 67)="", NA(), INDEX(Heni!$L:$L, 67))</f>
        <v>#N/A</v>
      </c>
      <c r="H967" t="e">
        <f t="shared" si="31"/>
        <v>#N/A</v>
      </c>
    </row>
    <row r="968" spans="1:8" x14ac:dyDescent="0.2">
      <c r="A968" t="e">
        <f>IF(INDEX(Heni!$D:$D, 68)="", NA(), "Heni (Developer)")</f>
        <v>#N/A</v>
      </c>
      <c r="B968" t="e">
        <f>IF(INDEX(Heni!$D:$D, 68)="", NA(), INDEX(Heni!$B:$B, 68))</f>
        <v>#N/A</v>
      </c>
      <c r="C968" t="e">
        <f>IF(INDEX(Heni!$D:$D, 68)="", NA(), INDEX(Heni!$D:$D, 68))</f>
        <v>#N/A</v>
      </c>
      <c r="D968" t="e">
        <f>IF(INDEX(Heni!$D:$D, 68)="", NA(), INDEX(Heni!$E:$E, 68))</f>
        <v>#N/A</v>
      </c>
      <c r="E968" s="13" t="e">
        <f>IF(INDEX(Heni!$D:$D, 68)="", NA(), INDEX(Heni!$K:$K, 68))</f>
        <v>#N/A</v>
      </c>
      <c r="F968" t="e">
        <f t="shared" si="30"/>
        <v>#N/A</v>
      </c>
      <c r="G968" s="13" t="e">
        <f>IF(INDEX(Heni!$D:$D, 68)="", NA(), INDEX(Heni!$L:$L, 68))</f>
        <v>#N/A</v>
      </c>
      <c r="H968" t="e">
        <f t="shared" si="31"/>
        <v>#N/A</v>
      </c>
    </row>
    <row r="969" spans="1:8" x14ac:dyDescent="0.2">
      <c r="A969" t="e">
        <f>IF(INDEX(Heni!$D:$D, 69)="", NA(), "Heni (Developer)")</f>
        <v>#N/A</v>
      </c>
      <c r="B969" t="e">
        <f>IF(INDEX(Heni!$D:$D, 69)="", NA(), INDEX(Heni!$B:$B, 69))</f>
        <v>#N/A</v>
      </c>
      <c r="C969" t="e">
        <f>IF(INDEX(Heni!$D:$D, 69)="", NA(), INDEX(Heni!$D:$D, 69))</f>
        <v>#N/A</v>
      </c>
      <c r="D969" t="e">
        <f>IF(INDEX(Heni!$D:$D, 69)="", NA(), INDEX(Heni!$E:$E, 69))</f>
        <v>#N/A</v>
      </c>
      <c r="E969" s="13" t="e">
        <f>IF(INDEX(Heni!$D:$D, 69)="", NA(), INDEX(Heni!$K:$K, 69))</f>
        <v>#N/A</v>
      </c>
      <c r="F969" t="e">
        <f t="shared" si="30"/>
        <v>#N/A</v>
      </c>
      <c r="G969" s="13" t="e">
        <f>IF(INDEX(Heni!$D:$D, 69)="", NA(), INDEX(Heni!$L:$L, 69))</f>
        <v>#N/A</v>
      </c>
      <c r="H969" t="e">
        <f t="shared" si="31"/>
        <v>#N/A</v>
      </c>
    </row>
    <row r="970" spans="1:8" x14ac:dyDescent="0.2">
      <c r="A970" t="e">
        <f>IF(INDEX(Heni!$D:$D, 70)="", NA(), "Heni (Developer)")</f>
        <v>#N/A</v>
      </c>
      <c r="B970" t="e">
        <f>IF(INDEX(Heni!$D:$D, 70)="", NA(), INDEX(Heni!$B:$B, 70))</f>
        <v>#N/A</v>
      </c>
      <c r="C970" t="e">
        <f>IF(INDEX(Heni!$D:$D, 70)="", NA(), INDEX(Heni!$D:$D, 70))</f>
        <v>#N/A</v>
      </c>
      <c r="D970" t="e">
        <f>IF(INDEX(Heni!$D:$D, 70)="", NA(), INDEX(Heni!$E:$E, 70))</f>
        <v>#N/A</v>
      </c>
      <c r="E970" s="13" t="e">
        <f>IF(INDEX(Heni!$D:$D, 70)="", NA(), INDEX(Heni!$K:$K, 70))</f>
        <v>#N/A</v>
      </c>
      <c r="F970" t="e">
        <f t="shared" si="30"/>
        <v>#N/A</v>
      </c>
      <c r="G970" s="13" t="e">
        <f>IF(INDEX(Heni!$D:$D, 70)="", NA(), INDEX(Heni!$L:$L, 70))</f>
        <v>#N/A</v>
      </c>
      <c r="H970" t="e">
        <f t="shared" si="31"/>
        <v>#N/A</v>
      </c>
    </row>
    <row r="971" spans="1:8" x14ac:dyDescent="0.2">
      <c r="A971" t="e">
        <f>IF(INDEX(Heni!$D:$D, 71)="", NA(), "Heni (Developer)")</f>
        <v>#N/A</v>
      </c>
      <c r="B971" t="e">
        <f>IF(INDEX(Heni!$D:$D, 71)="", NA(), INDEX(Heni!$B:$B, 71))</f>
        <v>#N/A</v>
      </c>
      <c r="C971" t="e">
        <f>IF(INDEX(Heni!$D:$D, 71)="", NA(), INDEX(Heni!$D:$D, 71))</f>
        <v>#N/A</v>
      </c>
      <c r="D971" t="e">
        <f>IF(INDEX(Heni!$D:$D, 71)="", NA(), INDEX(Heni!$E:$E, 71))</f>
        <v>#N/A</v>
      </c>
      <c r="E971" s="13" t="e">
        <f>IF(INDEX(Heni!$D:$D, 71)="", NA(), INDEX(Heni!$K:$K, 71))</f>
        <v>#N/A</v>
      </c>
      <c r="F971" t="e">
        <f t="shared" si="30"/>
        <v>#N/A</v>
      </c>
      <c r="G971" s="13" t="e">
        <f>IF(INDEX(Heni!$D:$D, 71)="", NA(), INDEX(Heni!$L:$L, 71))</f>
        <v>#N/A</v>
      </c>
      <c r="H971" t="e">
        <f t="shared" si="31"/>
        <v>#N/A</v>
      </c>
    </row>
    <row r="972" spans="1:8" x14ac:dyDescent="0.2">
      <c r="A972" t="e">
        <f>IF(INDEX(Heni!$D:$D, 72)="", NA(), "Heni (Developer)")</f>
        <v>#N/A</v>
      </c>
      <c r="B972" t="e">
        <f>IF(INDEX(Heni!$D:$D, 72)="", NA(), INDEX(Heni!$B:$B, 72))</f>
        <v>#N/A</v>
      </c>
      <c r="C972" t="e">
        <f>IF(INDEX(Heni!$D:$D, 72)="", NA(), INDEX(Heni!$D:$D, 72))</f>
        <v>#N/A</v>
      </c>
      <c r="D972" t="e">
        <f>IF(INDEX(Heni!$D:$D, 72)="", NA(), INDEX(Heni!$E:$E, 72))</f>
        <v>#N/A</v>
      </c>
      <c r="E972" s="13" t="e">
        <f>IF(INDEX(Heni!$D:$D, 72)="", NA(), INDEX(Heni!$K:$K, 72))</f>
        <v>#N/A</v>
      </c>
      <c r="F972" t="e">
        <f t="shared" si="30"/>
        <v>#N/A</v>
      </c>
      <c r="G972" s="13" t="e">
        <f>IF(INDEX(Heni!$D:$D, 72)="", NA(), INDEX(Heni!$L:$L, 72))</f>
        <v>#N/A</v>
      </c>
      <c r="H972" t="e">
        <f t="shared" si="31"/>
        <v>#N/A</v>
      </c>
    </row>
    <row r="973" spans="1:8" x14ac:dyDescent="0.2">
      <c r="A973" t="e">
        <f>IF(INDEX(Heni!$D:$D, 73)="", NA(), "Heni (Developer)")</f>
        <v>#N/A</v>
      </c>
      <c r="B973" t="e">
        <f>IF(INDEX(Heni!$D:$D, 73)="", NA(), INDEX(Heni!$B:$B, 73))</f>
        <v>#N/A</v>
      </c>
      <c r="C973" t="e">
        <f>IF(INDEX(Heni!$D:$D, 73)="", NA(), INDEX(Heni!$D:$D, 73))</f>
        <v>#N/A</v>
      </c>
      <c r="D973" t="e">
        <f>IF(INDEX(Heni!$D:$D, 73)="", NA(), INDEX(Heni!$E:$E, 73))</f>
        <v>#N/A</v>
      </c>
      <c r="E973" s="13" t="e">
        <f>IF(INDEX(Heni!$D:$D, 73)="", NA(), INDEX(Heni!$K:$K, 73))</f>
        <v>#N/A</v>
      </c>
      <c r="F973" t="e">
        <f t="shared" si="30"/>
        <v>#N/A</v>
      </c>
      <c r="G973" s="13" t="e">
        <f>IF(INDEX(Heni!$D:$D, 73)="", NA(), INDEX(Heni!$L:$L, 73))</f>
        <v>#N/A</v>
      </c>
      <c r="H973" t="e">
        <f t="shared" si="31"/>
        <v>#N/A</v>
      </c>
    </row>
    <row r="974" spans="1:8" x14ac:dyDescent="0.2">
      <c r="A974" t="e">
        <f>IF(INDEX(Heni!$D:$D, 74)="", NA(), "Heni (Developer)")</f>
        <v>#N/A</v>
      </c>
      <c r="B974" t="e">
        <f>IF(INDEX(Heni!$D:$D, 74)="", NA(), INDEX(Heni!$B:$B, 74))</f>
        <v>#N/A</v>
      </c>
      <c r="C974" t="e">
        <f>IF(INDEX(Heni!$D:$D, 74)="", NA(), INDEX(Heni!$D:$D, 74))</f>
        <v>#N/A</v>
      </c>
      <c r="D974" t="e">
        <f>IF(INDEX(Heni!$D:$D, 74)="", NA(), INDEX(Heni!$E:$E, 74))</f>
        <v>#N/A</v>
      </c>
      <c r="E974" s="13" t="e">
        <f>IF(INDEX(Heni!$D:$D, 74)="", NA(), INDEX(Heni!$K:$K, 74))</f>
        <v>#N/A</v>
      </c>
      <c r="F974" t="e">
        <f t="shared" si="30"/>
        <v>#N/A</v>
      </c>
      <c r="G974" s="13" t="e">
        <f>IF(INDEX(Heni!$D:$D, 74)="", NA(), INDEX(Heni!$L:$L, 74))</f>
        <v>#N/A</v>
      </c>
      <c r="H974" t="e">
        <f t="shared" si="31"/>
        <v>#N/A</v>
      </c>
    </row>
    <row r="975" spans="1:8" x14ac:dyDescent="0.2">
      <c r="A975" t="e">
        <f>IF(INDEX(Heni!$D:$D, 75)="", NA(), "Heni (Developer)")</f>
        <v>#N/A</v>
      </c>
      <c r="B975" t="e">
        <f>IF(INDEX(Heni!$D:$D, 75)="", NA(), INDEX(Heni!$B:$B, 75))</f>
        <v>#N/A</v>
      </c>
      <c r="C975" t="e">
        <f>IF(INDEX(Heni!$D:$D, 75)="", NA(), INDEX(Heni!$D:$D, 75))</f>
        <v>#N/A</v>
      </c>
      <c r="D975" t="e">
        <f>IF(INDEX(Heni!$D:$D, 75)="", NA(), INDEX(Heni!$E:$E, 75))</f>
        <v>#N/A</v>
      </c>
      <c r="E975" s="13" t="e">
        <f>IF(INDEX(Heni!$D:$D, 75)="", NA(), INDEX(Heni!$K:$K, 75))</f>
        <v>#N/A</v>
      </c>
      <c r="F975" t="e">
        <f t="shared" si="30"/>
        <v>#N/A</v>
      </c>
      <c r="G975" s="13" t="e">
        <f>IF(INDEX(Heni!$D:$D, 75)="", NA(), INDEX(Heni!$L:$L, 75))</f>
        <v>#N/A</v>
      </c>
      <c r="H975" t="e">
        <f t="shared" si="31"/>
        <v>#N/A</v>
      </c>
    </row>
    <row r="976" spans="1:8" x14ac:dyDescent="0.2">
      <c r="A976" t="e">
        <f>IF(INDEX(Heni!$D:$D, 76)="", NA(), "Heni (Developer)")</f>
        <v>#N/A</v>
      </c>
      <c r="B976" t="e">
        <f>IF(INDEX(Heni!$D:$D, 76)="", NA(), INDEX(Heni!$B:$B, 76))</f>
        <v>#N/A</v>
      </c>
      <c r="C976" t="e">
        <f>IF(INDEX(Heni!$D:$D, 76)="", NA(), INDEX(Heni!$D:$D, 76))</f>
        <v>#N/A</v>
      </c>
      <c r="D976" t="e">
        <f>IF(INDEX(Heni!$D:$D, 76)="", NA(), INDEX(Heni!$E:$E, 76))</f>
        <v>#N/A</v>
      </c>
      <c r="E976" s="13" t="e">
        <f>IF(INDEX(Heni!$D:$D, 76)="", NA(), INDEX(Heni!$K:$K, 76))</f>
        <v>#N/A</v>
      </c>
      <c r="F976" t="e">
        <f t="shared" si="30"/>
        <v>#N/A</v>
      </c>
      <c r="G976" s="13" t="e">
        <f>IF(INDEX(Heni!$D:$D, 76)="", NA(), INDEX(Heni!$L:$L, 76))</f>
        <v>#N/A</v>
      </c>
      <c r="H976" t="e">
        <f t="shared" si="31"/>
        <v>#N/A</v>
      </c>
    </row>
    <row r="977" spans="1:8" x14ac:dyDescent="0.2">
      <c r="A977" t="e">
        <f>IF(INDEX(Heni!$D:$D, 77)="", NA(), "Heni (Developer)")</f>
        <v>#N/A</v>
      </c>
      <c r="B977" t="e">
        <f>IF(INDEX(Heni!$D:$D, 77)="", NA(), INDEX(Heni!$B:$B, 77))</f>
        <v>#N/A</v>
      </c>
      <c r="C977" t="e">
        <f>IF(INDEX(Heni!$D:$D, 77)="", NA(), INDEX(Heni!$D:$D, 77))</f>
        <v>#N/A</v>
      </c>
      <c r="D977" t="e">
        <f>IF(INDEX(Heni!$D:$D, 77)="", NA(), INDEX(Heni!$E:$E, 77))</f>
        <v>#N/A</v>
      </c>
      <c r="E977" s="13" t="e">
        <f>IF(INDEX(Heni!$D:$D, 77)="", NA(), INDEX(Heni!$K:$K, 77))</f>
        <v>#N/A</v>
      </c>
      <c r="F977" t="e">
        <f t="shared" si="30"/>
        <v>#N/A</v>
      </c>
      <c r="G977" s="13" t="e">
        <f>IF(INDEX(Heni!$D:$D, 77)="", NA(), INDEX(Heni!$L:$L, 77))</f>
        <v>#N/A</v>
      </c>
      <c r="H977" t="e">
        <f t="shared" si="31"/>
        <v>#N/A</v>
      </c>
    </row>
    <row r="978" spans="1:8" x14ac:dyDescent="0.2">
      <c r="A978" t="e">
        <f>IF(INDEX(Heni!$D:$D, 78)="", NA(), "Heni (Developer)")</f>
        <v>#N/A</v>
      </c>
      <c r="B978" t="e">
        <f>IF(INDEX(Heni!$D:$D, 78)="", NA(), INDEX(Heni!$B:$B, 78))</f>
        <v>#N/A</v>
      </c>
      <c r="C978" t="e">
        <f>IF(INDEX(Heni!$D:$D, 78)="", NA(), INDEX(Heni!$D:$D, 78))</f>
        <v>#N/A</v>
      </c>
      <c r="D978" t="e">
        <f>IF(INDEX(Heni!$D:$D, 78)="", NA(), INDEX(Heni!$E:$E, 78))</f>
        <v>#N/A</v>
      </c>
      <c r="E978" s="13" t="e">
        <f>IF(INDEX(Heni!$D:$D, 78)="", NA(), INDEX(Heni!$K:$K, 78))</f>
        <v>#N/A</v>
      </c>
      <c r="F978" t="e">
        <f t="shared" si="30"/>
        <v>#N/A</v>
      </c>
      <c r="G978" s="13" t="e">
        <f>IF(INDEX(Heni!$D:$D, 78)="", NA(), INDEX(Heni!$L:$L, 78))</f>
        <v>#N/A</v>
      </c>
      <c r="H978" t="e">
        <f t="shared" si="31"/>
        <v>#N/A</v>
      </c>
    </row>
    <row r="979" spans="1:8" x14ac:dyDescent="0.2">
      <c r="A979" t="e">
        <f>IF(INDEX(Heni!$D:$D, 79)="", NA(), "Heni (Developer)")</f>
        <v>#N/A</v>
      </c>
      <c r="B979" t="e">
        <f>IF(INDEX(Heni!$D:$D, 79)="", NA(), INDEX(Heni!$B:$B, 79))</f>
        <v>#N/A</v>
      </c>
      <c r="C979" t="e">
        <f>IF(INDEX(Heni!$D:$D, 79)="", NA(), INDEX(Heni!$D:$D, 79))</f>
        <v>#N/A</v>
      </c>
      <c r="D979" t="e">
        <f>IF(INDEX(Heni!$D:$D, 79)="", NA(), INDEX(Heni!$E:$E, 79))</f>
        <v>#N/A</v>
      </c>
      <c r="E979" s="13" t="e">
        <f>IF(INDEX(Heni!$D:$D, 79)="", NA(), INDEX(Heni!$K:$K, 79))</f>
        <v>#N/A</v>
      </c>
      <c r="F979" t="e">
        <f t="shared" si="30"/>
        <v>#N/A</v>
      </c>
      <c r="G979" s="13" t="e">
        <f>IF(INDEX(Heni!$D:$D, 79)="", NA(), INDEX(Heni!$L:$L, 79))</f>
        <v>#N/A</v>
      </c>
      <c r="H979" t="e">
        <f t="shared" si="31"/>
        <v>#N/A</v>
      </c>
    </row>
    <row r="980" spans="1:8" x14ac:dyDescent="0.2">
      <c r="A980" t="e">
        <f>IF(INDEX(Heni!$D:$D, 80)="", NA(), "Heni (Developer)")</f>
        <v>#N/A</v>
      </c>
      <c r="B980" t="e">
        <f>IF(INDEX(Heni!$D:$D, 80)="", NA(), INDEX(Heni!$B:$B, 80))</f>
        <v>#N/A</v>
      </c>
      <c r="C980" t="e">
        <f>IF(INDEX(Heni!$D:$D, 80)="", NA(), INDEX(Heni!$D:$D, 80))</f>
        <v>#N/A</v>
      </c>
      <c r="D980" t="e">
        <f>IF(INDEX(Heni!$D:$D, 80)="", NA(), INDEX(Heni!$E:$E, 80))</f>
        <v>#N/A</v>
      </c>
      <c r="E980" s="13" t="e">
        <f>IF(INDEX(Heni!$D:$D, 80)="", NA(), INDEX(Heni!$K:$K, 80))</f>
        <v>#N/A</v>
      </c>
      <c r="F980" t="e">
        <f t="shared" si="30"/>
        <v>#N/A</v>
      </c>
      <c r="G980" s="13" t="e">
        <f>IF(INDEX(Heni!$D:$D, 80)="", NA(), INDEX(Heni!$L:$L, 80))</f>
        <v>#N/A</v>
      </c>
      <c r="H980" t="e">
        <f t="shared" si="31"/>
        <v>#N/A</v>
      </c>
    </row>
    <row r="981" spans="1:8" x14ac:dyDescent="0.2">
      <c r="A981" t="e">
        <f>IF(INDEX(Heni!$D:$D, 81)="", NA(), "Heni (Developer)")</f>
        <v>#N/A</v>
      </c>
      <c r="B981" t="e">
        <f>IF(INDEX(Heni!$D:$D, 81)="", NA(), INDEX(Heni!$B:$B, 81))</f>
        <v>#N/A</v>
      </c>
      <c r="C981" t="e">
        <f>IF(INDEX(Heni!$D:$D, 81)="", NA(), INDEX(Heni!$D:$D, 81))</f>
        <v>#N/A</v>
      </c>
      <c r="D981" t="e">
        <f>IF(INDEX(Heni!$D:$D, 81)="", NA(), INDEX(Heni!$E:$E, 81))</f>
        <v>#N/A</v>
      </c>
      <c r="E981" s="13" t="e">
        <f>IF(INDEX(Heni!$D:$D, 81)="", NA(), INDEX(Heni!$K:$K, 81))</f>
        <v>#N/A</v>
      </c>
      <c r="F981" t="e">
        <f t="shared" si="30"/>
        <v>#N/A</v>
      </c>
      <c r="G981" s="13" t="e">
        <f>IF(INDEX(Heni!$D:$D, 81)="", NA(), INDEX(Heni!$L:$L, 81))</f>
        <v>#N/A</v>
      </c>
      <c r="H981" t="e">
        <f t="shared" si="31"/>
        <v>#N/A</v>
      </c>
    </row>
    <row r="982" spans="1:8" x14ac:dyDescent="0.2">
      <c r="A982" t="e">
        <f>IF(INDEX(Heni!$D:$D, 82)="", NA(), "Heni (Developer)")</f>
        <v>#N/A</v>
      </c>
      <c r="B982" t="e">
        <f>IF(INDEX(Heni!$D:$D, 82)="", NA(), INDEX(Heni!$B:$B, 82))</f>
        <v>#N/A</v>
      </c>
      <c r="C982" t="e">
        <f>IF(INDEX(Heni!$D:$D, 82)="", NA(), INDEX(Heni!$D:$D, 82))</f>
        <v>#N/A</v>
      </c>
      <c r="D982" t="e">
        <f>IF(INDEX(Heni!$D:$D, 82)="", NA(), INDEX(Heni!$E:$E, 82))</f>
        <v>#N/A</v>
      </c>
      <c r="E982" s="13" t="e">
        <f>IF(INDEX(Heni!$D:$D, 82)="", NA(), INDEX(Heni!$K:$K, 82))</f>
        <v>#N/A</v>
      </c>
      <c r="F982" t="e">
        <f t="shared" si="30"/>
        <v>#N/A</v>
      </c>
      <c r="G982" s="13" t="e">
        <f>IF(INDEX(Heni!$D:$D, 82)="", NA(), INDEX(Heni!$L:$L, 82))</f>
        <v>#N/A</v>
      </c>
      <c r="H982" t="e">
        <f t="shared" si="31"/>
        <v>#N/A</v>
      </c>
    </row>
    <row r="983" spans="1:8" x14ac:dyDescent="0.2">
      <c r="A983" t="e">
        <f>IF(INDEX(Heni!$D:$D, 83)="", NA(), "Heni (Developer)")</f>
        <v>#N/A</v>
      </c>
      <c r="B983" t="e">
        <f>IF(INDEX(Heni!$D:$D, 83)="", NA(), INDEX(Heni!$B:$B, 83))</f>
        <v>#N/A</v>
      </c>
      <c r="C983" t="e">
        <f>IF(INDEX(Heni!$D:$D, 83)="", NA(), INDEX(Heni!$D:$D, 83))</f>
        <v>#N/A</v>
      </c>
      <c r="D983" t="e">
        <f>IF(INDEX(Heni!$D:$D, 83)="", NA(), INDEX(Heni!$E:$E, 83))</f>
        <v>#N/A</v>
      </c>
      <c r="E983" s="13" t="e">
        <f>IF(INDEX(Heni!$D:$D, 83)="", NA(), INDEX(Heni!$K:$K, 83))</f>
        <v>#N/A</v>
      </c>
      <c r="F983" t="e">
        <f t="shared" si="30"/>
        <v>#N/A</v>
      </c>
      <c r="G983" s="13" t="e">
        <f>IF(INDEX(Heni!$D:$D, 83)="", NA(), INDEX(Heni!$L:$L, 83))</f>
        <v>#N/A</v>
      </c>
      <c r="H983" t="e">
        <f t="shared" si="31"/>
        <v>#N/A</v>
      </c>
    </row>
    <row r="984" spans="1:8" x14ac:dyDescent="0.2">
      <c r="A984" t="e">
        <f>IF(INDEX(Heni!$D:$D, 84)="", NA(), "Heni (Developer)")</f>
        <v>#N/A</v>
      </c>
      <c r="B984" t="e">
        <f>IF(INDEX(Heni!$D:$D, 84)="", NA(), INDEX(Heni!$B:$B, 84))</f>
        <v>#N/A</v>
      </c>
      <c r="C984" t="e">
        <f>IF(INDEX(Heni!$D:$D, 84)="", NA(), INDEX(Heni!$D:$D, 84))</f>
        <v>#N/A</v>
      </c>
      <c r="D984" t="e">
        <f>IF(INDEX(Heni!$D:$D, 84)="", NA(), INDEX(Heni!$E:$E, 84))</f>
        <v>#N/A</v>
      </c>
      <c r="E984" s="13" t="e">
        <f>IF(INDEX(Heni!$D:$D, 84)="", NA(), INDEX(Heni!$K:$K, 84))</f>
        <v>#N/A</v>
      </c>
      <c r="F984" t="e">
        <f t="shared" si="30"/>
        <v>#N/A</v>
      </c>
      <c r="G984" s="13" t="e">
        <f>IF(INDEX(Heni!$D:$D, 84)="", NA(), INDEX(Heni!$L:$L, 84))</f>
        <v>#N/A</v>
      </c>
      <c r="H984" t="e">
        <f t="shared" si="31"/>
        <v>#N/A</v>
      </c>
    </row>
    <row r="985" spans="1:8" x14ac:dyDescent="0.2">
      <c r="A985" t="e">
        <f>IF(INDEX(Heni!$D:$D, 85)="", NA(), "Heni (Developer)")</f>
        <v>#N/A</v>
      </c>
      <c r="B985" t="e">
        <f>IF(INDEX(Heni!$D:$D, 85)="", NA(), INDEX(Heni!$B:$B, 85))</f>
        <v>#N/A</v>
      </c>
      <c r="C985" t="e">
        <f>IF(INDEX(Heni!$D:$D, 85)="", NA(), INDEX(Heni!$D:$D, 85))</f>
        <v>#N/A</v>
      </c>
      <c r="D985" t="e">
        <f>IF(INDEX(Heni!$D:$D, 85)="", NA(), INDEX(Heni!$E:$E, 85))</f>
        <v>#N/A</v>
      </c>
      <c r="E985" s="13" t="e">
        <f>IF(INDEX(Heni!$D:$D, 85)="", NA(), INDEX(Heni!$K:$K, 85))</f>
        <v>#N/A</v>
      </c>
      <c r="F985" t="e">
        <f t="shared" si="30"/>
        <v>#N/A</v>
      </c>
      <c r="G985" s="13" t="e">
        <f>IF(INDEX(Heni!$D:$D, 85)="", NA(), INDEX(Heni!$L:$L, 85))</f>
        <v>#N/A</v>
      </c>
      <c r="H985" t="e">
        <f t="shared" si="31"/>
        <v>#N/A</v>
      </c>
    </row>
    <row r="986" spans="1:8" x14ac:dyDescent="0.2">
      <c r="A986" t="e">
        <f>IF(INDEX(Heni!$D:$D, 86)="", NA(), "Heni (Developer)")</f>
        <v>#N/A</v>
      </c>
      <c r="B986" t="e">
        <f>IF(INDEX(Heni!$D:$D, 86)="", NA(), INDEX(Heni!$B:$B, 86))</f>
        <v>#N/A</v>
      </c>
      <c r="C986" t="e">
        <f>IF(INDEX(Heni!$D:$D, 86)="", NA(), INDEX(Heni!$D:$D, 86))</f>
        <v>#N/A</v>
      </c>
      <c r="D986" t="e">
        <f>IF(INDEX(Heni!$D:$D, 86)="", NA(), INDEX(Heni!$E:$E, 86))</f>
        <v>#N/A</v>
      </c>
      <c r="E986" s="13" t="e">
        <f>IF(INDEX(Heni!$D:$D, 86)="", NA(), INDEX(Heni!$K:$K, 86))</f>
        <v>#N/A</v>
      </c>
      <c r="F986" t="e">
        <f t="shared" si="30"/>
        <v>#N/A</v>
      </c>
      <c r="G986" s="13" t="e">
        <f>IF(INDEX(Heni!$D:$D, 86)="", NA(), INDEX(Heni!$L:$L, 86))</f>
        <v>#N/A</v>
      </c>
      <c r="H986" t="e">
        <f t="shared" si="31"/>
        <v>#N/A</v>
      </c>
    </row>
    <row r="987" spans="1:8" x14ac:dyDescent="0.2">
      <c r="A987" t="e">
        <f>IF(INDEX(Heni!$D:$D, 87)="", NA(), "Heni (Developer)")</f>
        <v>#N/A</v>
      </c>
      <c r="B987" t="e">
        <f>IF(INDEX(Heni!$D:$D, 87)="", NA(), INDEX(Heni!$B:$B, 87))</f>
        <v>#N/A</v>
      </c>
      <c r="C987" t="e">
        <f>IF(INDEX(Heni!$D:$D, 87)="", NA(), INDEX(Heni!$D:$D, 87))</f>
        <v>#N/A</v>
      </c>
      <c r="D987" t="e">
        <f>IF(INDEX(Heni!$D:$D, 87)="", NA(), INDEX(Heni!$E:$E, 87))</f>
        <v>#N/A</v>
      </c>
      <c r="E987" s="13" t="e">
        <f>IF(INDEX(Heni!$D:$D, 87)="", NA(), INDEX(Heni!$K:$K, 87))</f>
        <v>#N/A</v>
      </c>
      <c r="F987" t="e">
        <f t="shared" si="30"/>
        <v>#N/A</v>
      </c>
      <c r="G987" s="13" t="e">
        <f>IF(INDEX(Heni!$D:$D, 87)="", NA(), INDEX(Heni!$L:$L, 87))</f>
        <v>#N/A</v>
      </c>
      <c r="H987" t="e">
        <f t="shared" si="31"/>
        <v>#N/A</v>
      </c>
    </row>
    <row r="988" spans="1:8" x14ac:dyDescent="0.2">
      <c r="A988" t="e">
        <f>IF(INDEX(Heni!$D:$D, 88)="", NA(), "Heni (Developer)")</f>
        <v>#N/A</v>
      </c>
      <c r="B988" t="e">
        <f>IF(INDEX(Heni!$D:$D, 88)="", NA(), INDEX(Heni!$B:$B, 88))</f>
        <v>#N/A</v>
      </c>
      <c r="C988" t="e">
        <f>IF(INDEX(Heni!$D:$D, 88)="", NA(), INDEX(Heni!$D:$D, 88))</f>
        <v>#N/A</v>
      </c>
      <c r="D988" t="e">
        <f>IF(INDEX(Heni!$D:$D, 88)="", NA(), INDEX(Heni!$E:$E, 88))</f>
        <v>#N/A</v>
      </c>
      <c r="E988" s="13" t="e">
        <f>IF(INDEX(Heni!$D:$D, 88)="", NA(), INDEX(Heni!$K:$K, 88))</f>
        <v>#N/A</v>
      </c>
      <c r="F988" t="e">
        <f t="shared" si="30"/>
        <v>#N/A</v>
      </c>
      <c r="G988" s="13" t="e">
        <f>IF(INDEX(Heni!$D:$D, 88)="", NA(), INDEX(Heni!$L:$L, 88))</f>
        <v>#N/A</v>
      </c>
      <c r="H988" t="e">
        <f t="shared" si="31"/>
        <v>#N/A</v>
      </c>
    </row>
    <row r="989" spans="1:8" x14ac:dyDescent="0.2">
      <c r="A989" t="e">
        <f>IF(INDEX(Heni!$D:$D, 89)="", NA(), "Heni (Developer)")</f>
        <v>#N/A</v>
      </c>
      <c r="B989" t="e">
        <f>IF(INDEX(Heni!$D:$D, 89)="", NA(), INDEX(Heni!$B:$B, 89))</f>
        <v>#N/A</v>
      </c>
      <c r="C989" t="e">
        <f>IF(INDEX(Heni!$D:$D, 89)="", NA(), INDEX(Heni!$D:$D, 89))</f>
        <v>#N/A</v>
      </c>
      <c r="D989" t="e">
        <f>IF(INDEX(Heni!$D:$D, 89)="", NA(), INDEX(Heni!$E:$E, 89))</f>
        <v>#N/A</v>
      </c>
      <c r="E989" s="13" t="e">
        <f>IF(INDEX(Heni!$D:$D, 89)="", NA(), INDEX(Heni!$K:$K, 89))</f>
        <v>#N/A</v>
      </c>
      <c r="F989" t="e">
        <f t="shared" si="30"/>
        <v>#N/A</v>
      </c>
      <c r="G989" s="13" t="e">
        <f>IF(INDEX(Heni!$D:$D, 89)="", NA(), INDEX(Heni!$L:$L, 89))</f>
        <v>#N/A</v>
      </c>
      <c r="H989" t="e">
        <f t="shared" si="31"/>
        <v>#N/A</v>
      </c>
    </row>
    <row r="990" spans="1:8" x14ac:dyDescent="0.2">
      <c r="A990" t="e">
        <f>IF(INDEX(Heni!$D:$D, 90)="", NA(), "Heni (Developer)")</f>
        <v>#N/A</v>
      </c>
      <c r="B990" t="e">
        <f>IF(INDEX(Heni!$D:$D, 90)="", NA(), INDEX(Heni!$B:$B, 90))</f>
        <v>#N/A</v>
      </c>
      <c r="C990" t="e">
        <f>IF(INDEX(Heni!$D:$D, 90)="", NA(), INDEX(Heni!$D:$D, 90))</f>
        <v>#N/A</v>
      </c>
      <c r="D990" t="e">
        <f>IF(INDEX(Heni!$D:$D, 90)="", NA(), INDEX(Heni!$E:$E, 90))</f>
        <v>#N/A</v>
      </c>
      <c r="E990" s="13" t="e">
        <f>IF(INDEX(Heni!$D:$D, 90)="", NA(), INDEX(Heni!$K:$K, 90))</f>
        <v>#N/A</v>
      </c>
      <c r="F990" t="e">
        <f t="shared" si="30"/>
        <v>#N/A</v>
      </c>
      <c r="G990" s="13" t="e">
        <f>IF(INDEX(Heni!$D:$D, 90)="", NA(), INDEX(Heni!$L:$L, 90))</f>
        <v>#N/A</v>
      </c>
      <c r="H990" t="e">
        <f t="shared" si="31"/>
        <v>#N/A</v>
      </c>
    </row>
    <row r="991" spans="1:8" x14ac:dyDescent="0.2">
      <c r="A991" t="e">
        <f>IF(INDEX(Heni!$D:$D, 91)="", NA(), "Heni (Developer)")</f>
        <v>#N/A</v>
      </c>
      <c r="B991" t="e">
        <f>IF(INDEX(Heni!$D:$D, 91)="", NA(), INDEX(Heni!$B:$B, 91))</f>
        <v>#N/A</v>
      </c>
      <c r="C991" t="e">
        <f>IF(INDEX(Heni!$D:$D, 91)="", NA(), INDEX(Heni!$D:$D, 91))</f>
        <v>#N/A</v>
      </c>
      <c r="D991" t="e">
        <f>IF(INDEX(Heni!$D:$D, 91)="", NA(), INDEX(Heni!$E:$E, 91))</f>
        <v>#N/A</v>
      </c>
      <c r="E991" s="13" t="e">
        <f>IF(INDEX(Heni!$D:$D, 91)="", NA(), INDEX(Heni!$K:$K, 91))</f>
        <v>#N/A</v>
      </c>
      <c r="F991" t="e">
        <f t="shared" si="30"/>
        <v>#N/A</v>
      </c>
      <c r="G991" s="13" t="e">
        <f>IF(INDEX(Heni!$D:$D, 91)="", NA(), INDEX(Heni!$L:$L, 91))</f>
        <v>#N/A</v>
      </c>
      <c r="H991" t="e">
        <f t="shared" si="31"/>
        <v>#N/A</v>
      </c>
    </row>
    <row r="992" spans="1:8" x14ac:dyDescent="0.2">
      <c r="A992" t="e">
        <f>IF(INDEX(Heni!$D:$D, 92)="", NA(), "Heni (Developer)")</f>
        <v>#N/A</v>
      </c>
      <c r="B992" t="e">
        <f>IF(INDEX(Heni!$D:$D, 92)="", NA(), INDEX(Heni!$B:$B, 92))</f>
        <v>#N/A</v>
      </c>
      <c r="C992" t="e">
        <f>IF(INDEX(Heni!$D:$D, 92)="", NA(), INDEX(Heni!$D:$D, 92))</f>
        <v>#N/A</v>
      </c>
      <c r="D992" t="e">
        <f>IF(INDEX(Heni!$D:$D, 92)="", NA(), INDEX(Heni!$E:$E, 92))</f>
        <v>#N/A</v>
      </c>
      <c r="E992" s="13" t="e">
        <f>IF(INDEX(Heni!$D:$D, 92)="", NA(), INDEX(Heni!$K:$K, 92))</f>
        <v>#N/A</v>
      </c>
      <c r="F992" t="e">
        <f t="shared" si="30"/>
        <v>#N/A</v>
      </c>
      <c r="G992" s="13" t="e">
        <f>IF(INDEX(Heni!$D:$D, 92)="", NA(), INDEX(Heni!$L:$L, 92))</f>
        <v>#N/A</v>
      </c>
      <c r="H992" t="e">
        <f t="shared" si="31"/>
        <v>#N/A</v>
      </c>
    </row>
    <row r="993" spans="1:8" x14ac:dyDescent="0.2">
      <c r="A993" t="e">
        <f>IF(INDEX(Heni!$D:$D, 93)="", NA(), "Heni (Developer)")</f>
        <v>#N/A</v>
      </c>
      <c r="B993" t="e">
        <f>IF(INDEX(Heni!$D:$D, 93)="", NA(), INDEX(Heni!$B:$B, 93))</f>
        <v>#N/A</v>
      </c>
      <c r="C993" t="e">
        <f>IF(INDEX(Heni!$D:$D, 93)="", NA(), INDEX(Heni!$D:$D, 93))</f>
        <v>#N/A</v>
      </c>
      <c r="D993" t="e">
        <f>IF(INDEX(Heni!$D:$D, 93)="", NA(), INDEX(Heni!$E:$E, 93))</f>
        <v>#N/A</v>
      </c>
      <c r="E993" s="13" t="e">
        <f>IF(INDEX(Heni!$D:$D, 93)="", NA(), INDEX(Heni!$K:$K, 93))</f>
        <v>#N/A</v>
      </c>
      <c r="F993" t="e">
        <f t="shared" si="30"/>
        <v>#N/A</v>
      </c>
      <c r="G993" s="13" t="e">
        <f>IF(INDEX(Heni!$D:$D, 93)="", NA(), INDEX(Heni!$L:$L, 93))</f>
        <v>#N/A</v>
      </c>
      <c r="H993" t="e">
        <f t="shared" si="31"/>
        <v>#N/A</v>
      </c>
    </row>
    <row r="994" spans="1:8" x14ac:dyDescent="0.2">
      <c r="A994" t="e">
        <f>IF(INDEX(Heni!$D:$D, 94)="", NA(), "Heni (Developer)")</f>
        <v>#N/A</v>
      </c>
      <c r="B994" t="e">
        <f>IF(INDEX(Heni!$D:$D, 94)="", NA(), INDEX(Heni!$B:$B, 94))</f>
        <v>#N/A</v>
      </c>
      <c r="C994" t="e">
        <f>IF(INDEX(Heni!$D:$D, 94)="", NA(), INDEX(Heni!$D:$D, 94))</f>
        <v>#N/A</v>
      </c>
      <c r="D994" t="e">
        <f>IF(INDEX(Heni!$D:$D, 94)="", NA(), INDEX(Heni!$E:$E, 94))</f>
        <v>#N/A</v>
      </c>
      <c r="E994" s="13" t="e">
        <f>IF(INDEX(Heni!$D:$D, 94)="", NA(), INDEX(Heni!$K:$K, 94))</f>
        <v>#N/A</v>
      </c>
      <c r="F994" t="e">
        <f t="shared" si="30"/>
        <v>#N/A</v>
      </c>
      <c r="G994" s="13" t="e">
        <f>IF(INDEX(Heni!$D:$D, 94)="", NA(), INDEX(Heni!$L:$L, 94))</f>
        <v>#N/A</v>
      </c>
      <c r="H994" t="e">
        <f t="shared" si="31"/>
        <v>#N/A</v>
      </c>
    </row>
    <row r="995" spans="1:8" x14ac:dyDescent="0.2">
      <c r="A995" t="e">
        <f>IF(INDEX(Heni!$D:$D, 95)="", NA(), "Heni (Developer)")</f>
        <v>#N/A</v>
      </c>
      <c r="B995" t="e">
        <f>IF(INDEX(Heni!$D:$D, 95)="", NA(), INDEX(Heni!$B:$B, 95))</f>
        <v>#N/A</v>
      </c>
      <c r="C995" t="e">
        <f>IF(INDEX(Heni!$D:$D, 95)="", NA(), INDEX(Heni!$D:$D, 95))</f>
        <v>#N/A</v>
      </c>
      <c r="D995" t="e">
        <f>IF(INDEX(Heni!$D:$D, 95)="", NA(), INDEX(Heni!$E:$E, 95))</f>
        <v>#N/A</v>
      </c>
      <c r="E995" s="13" t="e">
        <f>IF(INDEX(Heni!$D:$D, 95)="", NA(), INDEX(Heni!$K:$K, 95))</f>
        <v>#N/A</v>
      </c>
      <c r="F995" t="e">
        <f t="shared" si="30"/>
        <v>#N/A</v>
      </c>
      <c r="G995" s="13" t="e">
        <f>IF(INDEX(Heni!$D:$D, 95)="", NA(), INDEX(Heni!$L:$L, 95))</f>
        <v>#N/A</v>
      </c>
      <c r="H995" t="e">
        <f t="shared" si="31"/>
        <v>#N/A</v>
      </c>
    </row>
    <row r="996" spans="1:8" x14ac:dyDescent="0.2">
      <c r="A996" t="e">
        <f>IF(INDEX(Heni!$D:$D, 96)="", NA(), "Heni (Developer)")</f>
        <v>#N/A</v>
      </c>
      <c r="B996" t="e">
        <f>IF(INDEX(Heni!$D:$D, 96)="", NA(), INDEX(Heni!$B:$B, 96))</f>
        <v>#N/A</v>
      </c>
      <c r="C996" t="e">
        <f>IF(INDEX(Heni!$D:$D, 96)="", NA(), INDEX(Heni!$D:$D, 96))</f>
        <v>#N/A</v>
      </c>
      <c r="D996" t="e">
        <f>IF(INDEX(Heni!$D:$D, 96)="", NA(), INDEX(Heni!$E:$E, 96))</f>
        <v>#N/A</v>
      </c>
      <c r="E996" s="13" t="e">
        <f>IF(INDEX(Heni!$D:$D, 96)="", NA(), INDEX(Heni!$K:$K, 96))</f>
        <v>#N/A</v>
      </c>
      <c r="F996" t="e">
        <f t="shared" si="30"/>
        <v>#N/A</v>
      </c>
      <c r="G996" s="13" t="e">
        <f>IF(INDEX(Heni!$D:$D, 96)="", NA(), INDEX(Heni!$L:$L, 96))</f>
        <v>#N/A</v>
      </c>
      <c r="H996" t="e">
        <f t="shared" si="31"/>
        <v>#N/A</v>
      </c>
    </row>
    <row r="997" spans="1:8" x14ac:dyDescent="0.2">
      <c r="A997" t="e">
        <f>IF(INDEX(Heni!$D:$D, 97)="", NA(), "Heni (Developer)")</f>
        <v>#N/A</v>
      </c>
      <c r="B997" t="e">
        <f>IF(INDEX(Heni!$D:$D, 97)="", NA(), INDEX(Heni!$B:$B, 97))</f>
        <v>#N/A</v>
      </c>
      <c r="C997" t="e">
        <f>IF(INDEX(Heni!$D:$D, 97)="", NA(), INDEX(Heni!$D:$D, 97))</f>
        <v>#N/A</v>
      </c>
      <c r="D997" t="e">
        <f>IF(INDEX(Heni!$D:$D, 97)="", NA(), INDEX(Heni!$E:$E, 97))</f>
        <v>#N/A</v>
      </c>
      <c r="E997" s="13" t="e">
        <f>IF(INDEX(Heni!$D:$D, 97)="", NA(), INDEX(Heni!$K:$K, 97))</f>
        <v>#N/A</v>
      </c>
      <c r="F997" t="e">
        <f t="shared" si="30"/>
        <v>#N/A</v>
      </c>
      <c r="G997" s="13" t="e">
        <f>IF(INDEX(Heni!$D:$D, 97)="", NA(), INDEX(Heni!$L:$L, 97))</f>
        <v>#N/A</v>
      </c>
      <c r="H997" t="e">
        <f t="shared" si="31"/>
        <v>#N/A</v>
      </c>
    </row>
    <row r="998" spans="1:8" x14ac:dyDescent="0.2">
      <c r="A998" t="e">
        <f>IF(INDEX(Heni!$D:$D, 98)="", NA(), "Heni (Developer)")</f>
        <v>#N/A</v>
      </c>
      <c r="B998" t="e">
        <f>IF(INDEX(Heni!$D:$D, 98)="", NA(), INDEX(Heni!$B:$B, 98))</f>
        <v>#N/A</v>
      </c>
      <c r="C998" t="e">
        <f>IF(INDEX(Heni!$D:$D, 98)="", NA(), INDEX(Heni!$D:$D, 98))</f>
        <v>#N/A</v>
      </c>
      <c r="D998" t="e">
        <f>IF(INDEX(Heni!$D:$D, 98)="", NA(), INDEX(Heni!$E:$E, 98))</f>
        <v>#N/A</v>
      </c>
      <c r="E998" s="13" t="e">
        <f>IF(INDEX(Heni!$D:$D, 98)="", NA(), INDEX(Heni!$K:$K, 98))</f>
        <v>#N/A</v>
      </c>
      <c r="F998" t="e">
        <f t="shared" si="30"/>
        <v>#N/A</v>
      </c>
      <c r="G998" s="13" t="e">
        <f>IF(INDEX(Heni!$D:$D, 98)="", NA(), INDEX(Heni!$L:$L, 98))</f>
        <v>#N/A</v>
      </c>
      <c r="H998" t="e">
        <f t="shared" si="31"/>
        <v>#N/A</v>
      </c>
    </row>
    <row r="999" spans="1:8" x14ac:dyDescent="0.2">
      <c r="A999" t="e">
        <f>IF(INDEX(Heni!$D:$D, 99)="", NA(), "Heni (Developer)")</f>
        <v>#N/A</v>
      </c>
      <c r="B999" t="e">
        <f>IF(INDEX(Heni!$D:$D, 99)="", NA(), INDEX(Heni!$B:$B, 99))</f>
        <v>#N/A</v>
      </c>
      <c r="C999" t="e">
        <f>IF(INDEX(Heni!$D:$D, 99)="", NA(), INDEX(Heni!$D:$D, 99))</f>
        <v>#N/A</v>
      </c>
      <c r="D999" t="e">
        <f>IF(INDEX(Heni!$D:$D, 99)="", NA(), INDEX(Heni!$E:$E, 99))</f>
        <v>#N/A</v>
      </c>
      <c r="E999" s="13" t="e">
        <f>IF(INDEX(Heni!$D:$D, 99)="", NA(), INDEX(Heni!$K:$K, 99))</f>
        <v>#N/A</v>
      </c>
      <c r="F999" t="e">
        <f t="shared" si="30"/>
        <v>#N/A</v>
      </c>
      <c r="G999" s="13" t="e">
        <f>IF(INDEX(Heni!$D:$D, 99)="", NA(), INDEX(Heni!$L:$L, 99))</f>
        <v>#N/A</v>
      </c>
      <c r="H999" t="e">
        <f t="shared" si="31"/>
        <v>#N/A</v>
      </c>
    </row>
    <row r="1000" spans="1:8" x14ac:dyDescent="0.2">
      <c r="A1000" t="e">
        <f>IF(INDEX(Heni!$D:$D, 100)="", NA(), "Heni (Developer)")</f>
        <v>#N/A</v>
      </c>
      <c r="B1000" t="e">
        <f>IF(INDEX(Heni!$D:$D, 100)="", NA(), INDEX(Heni!$B:$B, 100))</f>
        <v>#N/A</v>
      </c>
      <c r="C1000" t="e">
        <f>IF(INDEX(Heni!$D:$D, 100)="", NA(), INDEX(Heni!$D:$D, 100))</f>
        <v>#N/A</v>
      </c>
      <c r="D1000" t="e">
        <f>IF(INDEX(Heni!$D:$D, 100)="", NA(), INDEX(Heni!$E:$E, 100))</f>
        <v>#N/A</v>
      </c>
      <c r="E1000" s="13" t="e">
        <f>IF(INDEX(Heni!$D:$D, 100)="", NA(), INDEX(Heni!$K:$K, 100))</f>
        <v>#N/A</v>
      </c>
      <c r="F1000" t="e">
        <f t="shared" si="30"/>
        <v>#N/A</v>
      </c>
      <c r="G1000" s="13" t="e">
        <f>IF(INDEX(Heni!$D:$D, 100)="", NA(), INDEX(Heni!$L:$L, 100))</f>
        <v>#N/A</v>
      </c>
      <c r="H1000" t="e">
        <f t="shared" si="31"/>
        <v>#N/A</v>
      </c>
    </row>
    <row r="1001" spans="1:8" x14ac:dyDescent="0.2">
      <c r="A1001" t="e">
        <f>IF(INDEX(Heni!$D:$D, 101)="", NA(), "Heni (Developer)")</f>
        <v>#N/A</v>
      </c>
      <c r="B1001" t="e">
        <f>IF(INDEX(Heni!$D:$D, 101)="", NA(), INDEX(Heni!$B:$B, 101))</f>
        <v>#N/A</v>
      </c>
      <c r="C1001" t="e">
        <f>IF(INDEX(Heni!$D:$D, 101)="", NA(), INDEX(Heni!$D:$D, 101))</f>
        <v>#N/A</v>
      </c>
      <c r="D1001" t="e">
        <f>IF(INDEX(Heni!$D:$D, 101)="", NA(), INDEX(Heni!$E:$E, 101))</f>
        <v>#N/A</v>
      </c>
      <c r="E1001" s="13" t="e">
        <f>IF(INDEX(Heni!$D:$D, 101)="", NA(), INDEX(Heni!$K:$K, 101))</f>
        <v>#N/A</v>
      </c>
      <c r="F1001" t="e">
        <f t="shared" si="30"/>
        <v>#N/A</v>
      </c>
      <c r="G1001" s="13" t="e">
        <f>IF(INDEX(Heni!$D:$D, 101)="", NA(), INDEX(Heni!$L:$L, 101))</f>
        <v>#N/A</v>
      </c>
      <c r="H1001" t="e">
        <f t="shared" si="31"/>
        <v>#N/A</v>
      </c>
    </row>
    <row r="1002" spans="1:8" x14ac:dyDescent="0.2">
      <c r="A1002" t="e">
        <f>IF(INDEX(Heni!$D:$D, 102)="", NA(), "Heni (Developer)")</f>
        <v>#N/A</v>
      </c>
      <c r="B1002" t="e">
        <f>IF(INDEX(Heni!$D:$D, 102)="", NA(), INDEX(Heni!$B:$B, 102))</f>
        <v>#N/A</v>
      </c>
      <c r="C1002" t="e">
        <f>IF(INDEX(Heni!$D:$D, 102)="", NA(), INDEX(Heni!$D:$D, 102))</f>
        <v>#N/A</v>
      </c>
      <c r="D1002" t="e">
        <f>IF(INDEX(Heni!$D:$D, 102)="", NA(), INDEX(Heni!$E:$E, 102))</f>
        <v>#N/A</v>
      </c>
      <c r="E1002" s="13" t="e">
        <f>IF(INDEX(Heni!$D:$D, 102)="", NA(), INDEX(Heni!$K:$K, 102))</f>
        <v>#N/A</v>
      </c>
      <c r="F1002" t="e">
        <f t="shared" si="30"/>
        <v>#N/A</v>
      </c>
      <c r="G1002" s="13" t="e">
        <f>IF(INDEX(Heni!$D:$D, 102)="", NA(), INDEX(Heni!$L:$L, 102))</f>
        <v>#N/A</v>
      </c>
      <c r="H1002" t="e">
        <f t="shared" si="31"/>
        <v>#N/A</v>
      </c>
    </row>
    <row r="1003" spans="1:8" x14ac:dyDescent="0.2">
      <c r="A1003" t="e">
        <f>IF(INDEX(Heni!$D:$D, 103)="", NA(), "Heni (Developer)")</f>
        <v>#N/A</v>
      </c>
      <c r="B1003" t="e">
        <f>IF(INDEX(Heni!$D:$D, 103)="", NA(), INDEX(Heni!$B:$B, 103))</f>
        <v>#N/A</v>
      </c>
      <c r="C1003" t="e">
        <f>IF(INDEX(Heni!$D:$D, 103)="", NA(), INDEX(Heni!$D:$D, 103))</f>
        <v>#N/A</v>
      </c>
      <c r="D1003" t="e">
        <f>IF(INDEX(Heni!$D:$D, 103)="", NA(), INDEX(Heni!$E:$E, 103))</f>
        <v>#N/A</v>
      </c>
      <c r="E1003" s="13" t="e">
        <f>IF(INDEX(Heni!$D:$D, 103)="", NA(), INDEX(Heni!$K:$K, 103))</f>
        <v>#N/A</v>
      </c>
      <c r="F1003" t="e">
        <f t="shared" si="30"/>
        <v>#N/A</v>
      </c>
      <c r="G1003" s="13" t="e">
        <f>IF(INDEX(Heni!$D:$D, 103)="", NA(), INDEX(Heni!$L:$L, 103))</f>
        <v>#N/A</v>
      </c>
      <c r="H1003" t="e">
        <f t="shared" si="31"/>
        <v>#N/A</v>
      </c>
    </row>
    <row r="1004" spans="1:8" x14ac:dyDescent="0.2">
      <c r="A1004" t="e">
        <f>IF(INDEX(Heni!$D:$D, 104)="", NA(), "Heni (Developer)")</f>
        <v>#N/A</v>
      </c>
      <c r="B1004" t="e">
        <f>IF(INDEX(Heni!$D:$D, 104)="", NA(), INDEX(Heni!$B:$B, 104))</f>
        <v>#N/A</v>
      </c>
      <c r="C1004" t="e">
        <f>IF(INDEX(Heni!$D:$D, 104)="", NA(), INDEX(Heni!$D:$D, 104))</f>
        <v>#N/A</v>
      </c>
      <c r="D1004" t="e">
        <f>IF(INDEX(Heni!$D:$D, 104)="", NA(), INDEX(Heni!$E:$E, 104))</f>
        <v>#N/A</v>
      </c>
      <c r="E1004" s="13" t="e">
        <f>IF(INDEX(Heni!$D:$D, 104)="", NA(), INDEX(Heni!$K:$K, 104))</f>
        <v>#N/A</v>
      </c>
      <c r="F1004" t="e">
        <f t="shared" si="30"/>
        <v>#N/A</v>
      </c>
      <c r="G1004" s="13" t="e">
        <f>IF(INDEX(Heni!$D:$D, 104)="", NA(), INDEX(Heni!$L:$L, 104))</f>
        <v>#N/A</v>
      </c>
      <c r="H1004" t="e">
        <f t="shared" si="31"/>
        <v>#N/A</v>
      </c>
    </row>
    <row r="1005" spans="1:8" x14ac:dyDescent="0.2">
      <c r="A1005" t="e">
        <f>IF(INDEX(Heni!$D:$D, 105)="", NA(), "Heni (Developer)")</f>
        <v>#N/A</v>
      </c>
      <c r="B1005" t="e">
        <f>IF(INDEX(Heni!$D:$D, 105)="", NA(), INDEX(Heni!$B:$B, 105))</f>
        <v>#N/A</v>
      </c>
      <c r="C1005" t="e">
        <f>IF(INDEX(Heni!$D:$D, 105)="", NA(), INDEX(Heni!$D:$D, 105))</f>
        <v>#N/A</v>
      </c>
      <c r="D1005" t="e">
        <f>IF(INDEX(Heni!$D:$D, 105)="", NA(), INDEX(Heni!$E:$E, 105))</f>
        <v>#N/A</v>
      </c>
      <c r="E1005" s="13" t="e">
        <f>IF(INDEX(Heni!$D:$D, 105)="", NA(), INDEX(Heni!$K:$K, 105))</f>
        <v>#N/A</v>
      </c>
      <c r="F1005" t="e">
        <f t="shared" si="30"/>
        <v>#N/A</v>
      </c>
      <c r="G1005" s="13" t="e">
        <f>IF(INDEX(Heni!$D:$D, 105)="", NA(), INDEX(Heni!$L:$L, 105))</f>
        <v>#N/A</v>
      </c>
      <c r="H1005" t="e">
        <f t="shared" si="31"/>
        <v>#N/A</v>
      </c>
    </row>
    <row r="1006" spans="1:8" x14ac:dyDescent="0.2">
      <c r="A1006" t="e">
        <f>IF(INDEX(Heni!$D:$D, 106)="", NA(), "Heni (Developer)")</f>
        <v>#N/A</v>
      </c>
      <c r="B1006" t="e">
        <f>IF(INDEX(Heni!$D:$D, 106)="", NA(), INDEX(Heni!$B:$B, 106))</f>
        <v>#N/A</v>
      </c>
      <c r="C1006" t="e">
        <f>IF(INDEX(Heni!$D:$D, 106)="", NA(), INDEX(Heni!$D:$D, 106))</f>
        <v>#N/A</v>
      </c>
      <c r="D1006" t="e">
        <f>IF(INDEX(Heni!$D:$D, 106)="", NA(), INDEX(Heni!$E:$E, 106))</f>
        <v>#N/A</v>
      </c>
      <c r="E1006" s="13" t="e">
        <f>IF(INDEX(Heni!$D:$D, 106)="", NA(), INDEX(Heni!$K:$K, 106))</f>
        <v>#N/A</v>
      </c>
      <c r="F1006" t="e">
        <f t="shared" si="30"/>
        <v>#N/A</v>
      </c>
      <c r="G1006" s="13" t="e">
        <f>IF(INDEX(Heni!$D:$D, 106)="", NA(), INDEX(Heni!$L:$L, 106))</f>
        <v>#N/A</v>
      </c>
      <c r="H1006" t="e">
        <f t="shared" si="31"/>
        <v>#N/A</v>
      </c>
    </row>
    <row r="1007" spans="1:8" x14ac:dyDescent="0.2">
      <c r="A1007" t="e">
        <f>IF(INDEX(Heni!$D:$D, 107)="", NA(), "Heni (Developer)")</f>
        <v>#N/A</v>
      </c>
      <c r="B1007" t="e">
        <f>IF(INDEX(Heni!$D:$D, 107)="", NA(), INDEX(Heni!$B:$B, 107))</f>
        <v>#N/A</v>
      </c>
      <c r="C1007" t="e">
        <f>IF(INDEX(Heni!$D:$D, 107)="", NA(), INDEX(Heni!$D:$D, 107))</f>
        <v>#N/A</v>
      </c>
      <c r="D1007" t="e">
        <f>IF(INDEX(Heni!$D:$D, 107)="", NA(), INDEX(Heni!$E:$E, 107))</f>
        <v>#N/A</v>
      </c>
      <c r="E1007" s="13" t="e">
        <f>IF(INDEX(Heni!$D:$D, 107)="", NA(), INDEX(Heni!$K:$K, 107))</f>
        <v>#N/A</v>
      </c>
      <c r="F1007" t="e">
        <f t="shared" si="30"/>
        <v>#N/A</v>
      </c>
      <c r="G1007" s="13" t="e">
        <f>IF(INDEX(Heni!$D:$D, 107)="", NA(), INDEX(Heni!$L:$L, 107))</f>
        <v>#N/A</v>
      </c>
      <c r="H1007" t="e">
        <f t="shared" si="31"/>
        <v>#N/A</v>
      </c>
    </row>
    <row r="1008" spans="1:8" x14ac:dyDescent="0.2">
      <c r="A1008" t="e">
        <f>IF(INDEX(Heni!$D:$D, 108)="", NA(), "Heni (Developer)")</f>
        <v>#N/A</v>
      </c>
      <c r="B1008" t="e">
        <f>IF(INDEX(Heni!$D:$D, 108)="", NA(), INDEX(Heni!$B:$B, 108))</f>
        <v>#N/A</v>
      </c>
      <c r="C1008" t="e">
        <f>IF(INDEX(Heni!$D:$D, 108)="", NA(), INDEX(Heni!$D:$D, 108))</f>
        <v>#N/A</v>
      </c>
      <c r="D1008" t="e">
        <f>IF(INDEX(Heni!$D:$D, 108)="", NA(), INDEX(Heni!$E:$E, 108))</f>
        <v>#N/A</v>
      </c>
      <c r="E1008" s="13" t="e">
        <f>IF(INDEX(Heni!$D:$D, 108)="", NA(), INDEX(Heni!$K:$K, 108))</f>
        <v>#N/A</v>
      </c>
      <c r="F1008" t="e">
        <f t="shared" si="30"/>
        <v>#N/A</v>
      </c>
      <c r="G1008" s="13" t="e">
        <f>IF(INDEX(Heni!$D:$D, 108)="", NA(), INDEX(Heni!$L:$L, 108))</f>
        <v>#N/A</v>
      </c>
      <c r="H1008" t="e">
        <f t="shared" si="31"/>
        <v>#N/A</v>
      </c>
    </row>
    <row r="1009" spans="1:8" x14ac:dyDescent="0.2">
      <c r="A1009" t="e">
        <f>IF(INDEX(Heni!$D:$D, 109)="", NA(), "Heni (Developer)")</f>
        <v>#N/A</v>
      </c>
      <c r="B1009" t="e">
        <f>IF(INDEX(Heni!$D:$D, 109)="", NA(), INDEX(Heni!$B:$B, 109))</f>
        <v>#N/A</v>
      </c>
      <c r="C1009" t="e">
        <f>IF(INDEX(Heni!$D:$D, 109)="", NA(), INDEX(Heni!$D:$D, 109))</f>
        <v>#N/A</v>
      </c>
      <c r="D1009" t="e">
        <f>IF(INDEX(Heni!$D:$D, 109)="", NA(), INDEX(Heni!$E:$E, 109))</f>
        <v>#N/A</v>
      </c>
      <c r="E1009" s="13" t="e">
        <f>IF(INDEX(Heni!$D:$D, 109)="", NA(), INDEX(Heni!$K:$K, 109))</f>
        <v>#N/A</v>
      </c>
      <c r="F1009" t="e">
        <f t="shared" si="30"/>
        <v>#N/A</v>
      </c>
      <c r="G1009" s="13" t="e">
        <f>IF(INDEX(Heni!$D:$D, 109)="", NA(), INDEX(Heni!$L:$L, 109))</f>
        <v>#N/A</v>
      </c>
      <c r="H1009" t="e">
        <f t="shared" si="31"/>
        <v>#N/A</v>
      </c>
    </row>
    <row r="1010" spans="1:8" x14ac:dyDescent="0.2">
      <c r="A1010" t="e">
        <f>IF(INDEX(Heni!$D:$D, 110)="", NA(), "Heni (Developer)")</f>
        <v>#N/A</v>
      </c>
      <c r="B1010" t="e">
        <f>IF(INDEX(Heni!$D:$D, 110)="", NA(), INDEX(Heni!$B:$B, 110))</f>
        <v>#N/A</v>
      </c>
      <c r="C1010" t="e">
        <f>IF(INDEX(Heni!$D:$D, 110)="", NA(), INDEX(Heni!$D:$D, 110))</f>
        <v>#N/A</v>
      </c>
      <c r="D1010" t="e">
        <f>IF(INDEX(Heni!$D:$D, 110)="", NA(), INDEX(Heni!$E:$E, 110))</f>
        <v>#N/A</v>
      </c>
      <c r="E1010" s="13" t="e">
        <f>IF(INDEX(Heni!$D:$D, 110)="", NA(), INDEX(Heni!$K:$K, 110))</f>
        <v>#N/A</v>
      </c>
      <c r="F1010" t="e">
        <f t="shared" si="30"/>
        <v>#N/A</v>
      </c>
      <c r="G1010" s="13" t="e">
        <f>IF(INDEX(Heni!$D:$D, 110)="", NA(), INDEX(Heni!$L:$L, 110))</f>
        <v>#N/A</v>
      </c>
      <c r="H1010" t="e">
        <f t="shared" si="31"/>
        <v>#N/A</v>
      </c>
    </row>
    <row r="1011" spans="1:8" x14ac:dyDescent="0.2">
      <c r="A1011" t="e">
        <f>IF(INDEX(Heni!$D:$D, 111)="", NA(), "Heni (Developer)")</f>
        <v>#N/A</v>
      </c>
      <c r="B1011" t="e">
        <f>IF(INDEX(Heni!$D:$D, 111)="", NA(), INDEX(Heni!$B:$B, 111))</f>
        <v>#N/A</v>
      </c>
      <c r="C1011" t="e">
        <f>IF(INDEX(Heni!$D:$D, 111)="", NA(), INDEX(Heni!$D:$D, 111))</f>
        <v>#N/A</v>
      </c>
      <c r="D1011" t="e">
        <f>IF(INDEX(Heni!$D:$D, 111)="", NA(), INDEX(Heni!$E:$E, 111))</f>
        <v>#N/A</v>
      </c>
      <c r="E1011" s="13" t="e">
        <f>IF(INDEX(Heni!$D:$D, 111)="", NA(), INDEX(Heni!$K:$K, 111))</f>
        <v>#N/A</v>
      </c>
      <c r="F1011" t="e">
        <f t="shared" si="30"/>
        <v>#N/A</v>
      </c>
      <c r="G1011" s="13" t="e">
        <f>IF(INDEX(Heni!$D:$D, 111)="", NA(), INDEX(Heni!$L:$L, 111))</f>
        <v>#N/A</v>
      </c>
      <c r="H1011" t="e">
        <f t="shared" si="31"/>
        <v>#N/A</v>
      </c>
    </row>
    <row r="1012" spans="1:8" x14ac:dyDescent="0.2">
      <c r="A1012" t="e">
        <f>IF(INDEX(Heni!$D:$D, 112)="", NA(), "Heni (Developer)")</f>
        <v>#N/A</v>
      </c>
      <c r="B1012" t="e">
        <f>IF(INDEX(Heni!$D:$D, 112)="", NA(), INDEX(Heni!$B:$B, 112))</f>
        <v>#N/A</v>
      </c>
      <c r="C1012" t="e">
        <f>IF(INDEX(Heni!$D:$D, 112)="", NA(), INDEX(Heni!$D:$D, 112))</f>
        <v>#N/A</v>
      </c>
      <c r="D1012" t="e">
        <f>IF(INDEX(Heni!$D:$D, 112)="", NA(), INDEX(Heni!$E:$E, 112))</f>
        <v>#N/A</v>
      </c>
      <c r="E1012" s="13" t="e">
        <f>IF(INDEX(Heni!$D:$D, 112)="", NA(), INDEX(Heni!$K:$K, 112))</f>
        <v>#N/A</v>
      </c>
      <c r="F1012" t="e">
        <f t="shared" si="30"/>
        <v>#N/A</v>
      </c>
      <c r="G1012" s="13" t="e">
        <f>IF(INDEX(Heni!$D:$D, 112)="", NA(), INDEX(Heni!$L:$L, 112))</f>
        <v>#N/A</v>
      </c>
      <c r="H1012" t="e">
        <f t="shared" si="31"/>
        <v>#N/A</v>
      </c>
    </row>
    <row r="1013" spans="1:8" x14ac:dyDescent="0.2">
      <c r="A1013" t="e">
        <f>IF(INDEX(Heni!$D:$D, 113)="", NA(), "Heni (Developer)")</f>
        <v>#N/A</v>
      </c>
      <c r="B1013" t="e">
        <f>IF(INDEX(Heni!$D:$D, 113)="", NA(), INDEX(Heni!$B:$B, 113))</f>
        <v>#N/A</v>
      </c>
      <c r="C1013" t="e">
        <f>IF(INDEX(Heni!$D:$D, 113)="", NA(), INDEX(Heni!$D:$D, 113))</f>
        <v>#N/A</v>
      </c>
      <c r="D1013" t="e">
        <f>IF(INDEX(Heni!$D:$D, 113)="", NA(), INDEX(Heni!$E:$E, 113))</f>
        <v>#N/A</v>
      </c>
      <c r="E1013" s="13" t="e">
        <f>IF(INDEX(Heni!$D:$D, 113)="", NA(), INDEX(Heni!$K:$K, 113))</f>
        <v>#N/A</v>
      </c>
      <c r="F1013" t="e">
        <f t="shared" si="30"/>
        <v>#N/A</v>
      </c>
      <c r="G1013" s="13" t="e">
        <f>IF(INDEX(Heni!$D:$D, 113)="", NA(), INDEX(Heni!$L:$L, 113))</f>
        <v>#N/A</v>
      </c>
      <c r="H1013" t="e">
        <f t="shared" si="31"/>
        <v>#N/A</v>
      </c>
    </row>
    <row r="1014" spans="1:8" x14ac:dyDescent="0.2">
      <c r="A1014" t="e">
        <f>IF(INDEX(Heni!$D:$D, 114)="", NA(), "Heni (Developer)")</f>
        <v>#N/A</v>
      </c>
      <c r="B1014" t="e">
        <f>IF(INDEX(Heni!$D:$D, 114)="", NA(), INDEX(Heni!$B:$B, 114))</f>
        <v>#N/A</v>
      </c>
      <c r="C1014" t="e">
        <f>IF(INDEX(Heni!$D:$D, 114)="", NA(), INDEX(Heni!$D:$D, 114))</f>
        <v>#N/A</v>
      </c>
      <c r="D1014" t="e">
        <f>IF(INDEX(Heni!$D:$D, 114)="", NA(), INDEX(Heni!$E:$E, 114))</f>
        <v>#N/A</v>
      </c>
      <c r="E1014" s="13" t="e">
        <f>IF(INDEX(Heni!$D:$D, 114)="", NA(), INDEX(Heni!$K:$K, 114))</f>
        <v>#N/A</v>
      </c>
      <c r="F1014" t="e">
        <f t="shared" si="30"/>
        <v>#N/A</v>
      </c>
      <c r="G1014" s="13" t="e">
        <f>IF(INDEX(Heni!$D:$D, 114)="", NA(), INDEX(Heni!$L:$L, 114))</f>
        <v>#N/A</v>
      </c>
      <c r="H1014" t="e">
        <f t="shared" si="31"/>
        <v>#N/A</v>
      </c>
    </row>
    <row r="1015" spans="1:8" x14ac:dyDescent="0.2">
      <c r="A1015" t="e">
        <f>IF(INDEX(Heni!$D:$D, 115)="", NA(), "Heni (Developer)")</f>
        <v>#N/A</v>
      </c>
      <c r="B1015" t="e">
        <f>IF(INDEX(Heni!$D:$D, 115)="", NA(), INDEX(Heni!$B:$B, 115))</f>
        <v>#N/A</v>
      </c>
      <c r="C1015" t="e">
        <f>IF(INDEX(Heni!$D:$D, 115)="", NA(), INDEX(Heni!$D:$D, 115))</f>
        <v>#N/A</v>
      </c>
      <c r="D1015" t="e">
        <f>IF(INDEX(Heni!$D:$D, 115)="", NA(), INDEX(Heni!$E:$E, 115))</f>
        <v>#N/A</v>
      </c>
      <c r="E1015" s="13" t="e">
        <f>IF(INDEX(Heni!$D:$D, 115)="", NA(), INDEX(Heni!$K:$K, 115))</f>
        <v>#N/A</v>
      </c>
      <c r="F1015" t="e">
        <f t="shared" si="30"/>
        <v>#N/A</v>
      </c>
      <c r="G1015" s="13" t="e">
        <f>IF(INDEX(Heni!$D:$D, 115)="", NA(), INDEX(Heni!$L:$L, 115))</f>
        <v>#N/A</v>
      </c>
      <c r="H1015" t="e">
        <f t="shared" si="31"/>
        <v>#N/A</v>
      </c>
    </row>
    <row r="1016" spans="1:8" x14ac:dyDescent="0.2">
      <c r="A1016" t="e">
        <f>IF(INDEX(Heni!$D:$D, 116)="", NA(), "Heni (Developer)")</f>
        <v>#N/A</v>
      </c>
      <c r="B1016" t="e">
        <f>IF(INDEX(Heni!$D:$D, 116)="", NA(), INDEX(Heni!$B:$B, 116))</f>
        <v>#N/A</v>
      </c>
      <c r="C1016" t="e">
        <f>IF(INDEX(Heni!$D:$D, 116)="", NA(), INDEX(Heni!$D:$D, 116))</f>
        <v>#N/A</v>
      </c>
      <c r="D1016" t="e">
        <f>IF(INDEX(Heni!$D:$D, 116)="", NA(), INDEX(Heni!$E:$E, 116))</f>
        <v>#N/A</v>
      </c>
      <c r="E1016" s="13" t="e">
        <f>IF(INDEX(Heni!$D:$D, 116)="", NA(), INDEX(Heni!$K:$K, 116))</f>
        <v>#N/A</v>
      </c>
      <c r="F1016" t="e">
        <f t="shared" si="30"/>
        <v>#N/A</v>
      </c>
      <c r="G1016" s="13" t="e">
        <f>IF(INDEX(Heni!$D:$D, 116)="", NA(), INDEX(Heni!$L:$L, 116))</f>
        <v>#N/A</v>
      </c>
      <c r="H1016" t="e">
        <f t="shared" si="31"/>
        <v>#N/A</v>
      </c>
    </row>
    <row r="1017" spans="1:8" x14ac:dyDescent="0.2">
      <c r="A1017" t="e">
        <f>IF(INDEX(Heni!$D:$D, 117)="", NA(), "Heni (Developer)")</f>
        <v>#N/A</v>
      </c>
      <c r="B1017" t="e">
        <f>IF(INDEX(Heni!$D:$D, 117)="", NA(), INDEX(Heni!$B:$B, 117))</f>
        <v>#N/A</v>
      </c>
      <c r="C1017" t="e">
        <f>IF(INDEX(Heni!$D:$D, 117)="", NA(), INDEX(Heni!$D:$D, 117))</f>
        <v>#N/A</v>
      </c>
      <c r="D1017" t="e">
        <f>IF(INDEX(Heni!$D:$D, 117)="", NA(), INDEX(Heni!$E:$E, 117))</f>
        <v>#N/A</v>
      </c>
      <c r="E1017" s="13" t="e">
        <f>IF(INDEX(Heni!$D:$D, 117)="", NA(), INDEX(Heni!$K:$K, 117))</f>
        <v>#N/A</v>
      </c>
      <c r="F1017" t="e">
        <f t="shared" si="30"/>
        <v>#N/A</v>
      </c>
      <c r="G1017" s="13" t="e">
        <f>IF(INDEX(Heni!$D:$D, 117)="", NA(), INDEX(Heni!$L:$L, 117))</f>
        <v>#N/A</v>
      </c>
      <c r="H1017" t="e">
        <f t="shared" si="31"/>
        <v>#N/A</v>
      </c>
    </row>
    <row r="1018" spans="1:8" x14ac:dyDescent="0.2">
      <c r="A1018" t="e">
        <f>IF(INDEX(Heni!$D:$D, 118)="", NA(), "Heni (Developer)")</f>
        <v>#N/A</v>
      </c>
      <c r="B1018" t="e">
        <f>IF(INDEX(Heni!$D:$D, 118)="", NA(), INDEX(Heni!$B:$B, 118))</f>
        <v>#N/A</v>
      </c>
      <c r="C1018" t="e">
        <f>IF(INDEX(Heni!$D:$D, 118)="", NA(), INDEX(Heni!$D:$D, 118))</f>
        <v>#N/A</v>
      </c>
      <c r="D1018" t="e">
        <f>IF(INDEX(Heni!$D:$D, 118)="", NA(), INDEX(Heni!$E:$E, 118))</f>
        <v>#N/A</v>
      </c>
      <c r="E1018" s="13" t="e">
        <f>IF(INDEX(Heni!$D:$D, 118)="", NA(), INDEX(Heni!$K:$K, 118))</f>
        <v>#N/A</v>
      </c>
      <c r="F1018" t="e">
        <f t="shared" si="30"/>
        <v>#N/A</v>
      </c>
      <c r="G1018" s="13" t="e">
        <f>IF(INDEX(Heni!$D:$D, 118)="", NA(), INDEX(Heni!$L:$L, 118))</f>
        <v>#N/A</v>
      </c>
      <c r="H1018" t="e">
        <f t="shared" si="31"/>
        <v>#N/A</v>
      </c>
    </row>
    <row r="1019" spans="1:8" x14ac:dyDescent="0.2">
      <c r="A1019" t="e">
        <f>IF(INDEX(Heni!$D:$D, 119)="", NA(), "Heni (Developer)")</f>
        <v>#N/A</v>
      </c>
      <c r="B1019" t="e">
        <f>IF(INDEX(Heni!$D:$D, 119)="", NA(), INDEX(Heni!$B:$B, 119))</f>
        <v>#N/A</v>
      </c>
      <c r="C1019" t="e">
        <f>IF(INDEX(Heni!$D:$D, 119)="", NA(), INDEX(Heni!$D:$D, 119))</f>
        <v>#N/A</v>
      </c>
      <c r="D1019" t="e">
        <f>IF(INDEX(Heni!$D:$D, 119)="", NA(), INDEX(Heni!$E:$E, 119))</f>
        <v>#N/A</v>
      </c>
      <c r="E1019" s="13" t="e">
        <f>IF(INDEX(Heni!$D:$D, 119)="", NA(), INDEX(Heni!$K:$K, 119))</f>
        <v>#N/A</v>
      </c>
      <c r="F1019" t="e">
        <f t="shared" si="30"/>
        <v>#N/A</v>
      </c>
      <c r="G1019" s="13" t="e">
        <f>IF(INDEX(Heni!$D:$D, 119)="", NA(), INDEX(Heni!$L:$L, 119))</f>
        <v>#N/A</v>
      </c>
      <c r="H1019" t="e">
        <f t="shared" si="31"/>
        <v>#N/A</v>
      </c>
    </row>
    <row r="1020" spans="1:8" x14ac:dyDescent="0.2">
      <c r="A1020" t="e">
        <f>IF(INDEX(Heni!$D:$D, 120)="", NA(), "Heni (Developer)")</f>
        <v>#N/A</v>
      </c>
      <c r="B1020" t="e">
        <f>IF(INDEX(Heni!$D:$D, 120)="", NA(), INDEX(Heni!$B:$B, 120))</f>
        <v>#N/A</v>
      </c>
      <c r="C1020" t="e">
        <f>IF(INDEX(Heni!$D:$D, 120)="", NA(), INDEX(Heni!$D:$D, 120))</f>
        <v>#N/A</v>
      </c>
      <c r="D1020" t="e">
        <f>IF(INDEX(Heni!$D:$D, 120)="", NA(), INDEX(Heni!$E:$E, 120))</f>
        <v>#N/A</v>
      </c>
      <c r="E1020" s="13" t="e">
        <f>IF(INDEX(Heni!$D:$D, 120)="", NA(), INDEX(Heni!$K:$K, 120))</f>
        <v>#N/A</v>
      </c>
      <c r="F1020" t="e">
        <f t="shared" si="30"/>
        <v>#N/A</v>
      </c>
      <c r="G1020" s="13" t="e">
        <f>IF(INDEX(Heni!$D:$D, 120)="", NA(), INDEX(Heni!$L:$L, 120))</f>
        <v>#N/A</v>
      </c>
      <c r="H1020" t="e">
        <f t="shared" si="31"/>
        <v>#N/A</v>
      </c>
    </row>
    <row r="1021" spans="1:8" x14ac:dyDescent="0.2">
      <c r="A1021" t="e">
        <f>IF(INDEX(Heni!$D:$D, 121)="", NA(), "Heni (Developer)")</f>
        <v>#N/A</v>
      </c>
      <c r="B1021" t="e">
        <f>IF(INDEX(Heni!$D:$D, 121)="", NA(), INDEX(Heni!$B:$B, 121))</f>
        <v>#N/A</v>
      </c>
      <c r="C1021" t="e">
        <f>IF(INDEX(Heni!$D:$D, 121)="", NA(), INDEX(Heni!$D:$D, 121))</f>
        <v>#N/A</v>
      </c>
      <c r="D1021" t="e">
        <f>IF(INDEX(Heni!$D:$D, 121)="", NA(), INDEX(Heni!$E:$E, 121))</f>
        <v>#N/A</v>
      </c>
      <c r="E1021" s="13" t="e">
        <f>IF(INDEX(Heni!$D:$D, 121)="", NA(), INDEX(Heni!$K:$K, 121))</f>
        <v>#N/A</v>
      </c>
      <c r="F1021" t="e">
        <f t="shared" si="30"/>
        <v>#N/A</v>
      </c>
      <c r="G1021" s="13" t="e">
        <f>IF(INDEX(Heni!$D:$D, 121)="", NA(), INDEX(Heni!$L:$L, 121))</f>
        <v>#N/A</v>
      </c>
      <c r="H1021" t="e">
        <f t="shared" si="31"/>
        <v>#N/A</v>
      </c>
    </row>
    <row r="1022" spans="1:8" x14ac:dyDescent="0.2">
      <c r="A1022" t="e">
        <f>IF(INDEX(Heni!$D:$D, 122)="", NA(), "Heni (Developer)")</f>
        <v>#N/A</v>
      </c>
      <c r="B1022" t="e">
        <f>IF(INDEX(Heni!$D:$D, 122)="", NA(), INDEX(Heni!$B:$B, 122))</f>
        <v>#N/A</v>
      </c>
      <c r="C1022" t="e">
        <f>IF(INDEX(Heni!$D:$D, 122)="", NA(), INDEX(Heni!$D:$D, 122))</f>
        <v>#N/A</v>
      </c>
      <c r="D1022" t="e">
        <f>IF(INDEX(Heni!$D:$D, 122)="", NA(), INDEX(Heni!$E:$E, 122))</f>
        <v>#N/A</v>
      </c>
      <c r="E1022" s="13" t="e">
        <f>IF(INDEX(Heni!$D:$D, 122)="", NA(), INDEX(Heni!$K:$K, 122))</f>
        <v>#N/A</v>
      </c>
      <c r="F1022" t="e">
        <f t="shared" si="30"/>
        <v>#N/A</v>
      </c>
      <c r="G1022" s="13" t="e">
        <f>IF(INDEX(Heni!$D:$D, 122)="", NA(), INDEX(Heni!$L:$L, 122))</f>
        <v>#N/A</v>
      </c>
      <c r="H1022" t="e">
        <f t="shared" si="31"/>
        <v>#N/A</v>
      </c>
    </row>
    <row r="1023" spans="1:8" x14ac:dyDescent="0.2">
      <c r="A1023" t="e">
        <f>IF(INDEX(Heni!$D:$D, 123)="", NA(), "Heni (Developer)")</f>
        <v>#N/A</v>
      </c>
      <c r="B1023" t="e">
        <f>IF(INDEX(Heni!$D:$D, 123)="", NA(), INDEX(Heni!$B:$B, 123))</f>
        <v>#N/A</v>
      </c>
      <c r="C1023" t="e">
        <f>IF(INDEX(Heni!$D:$D, 123)="", NA(), INDEX(Heni!$D:$D, 123))</f>
        <v>#N/A</v>
      </c>
      <c r="D1023" t="e">
        <f>IF(INDEX(Heni!$D:$D, 123)="", NA(), INDEX(Heni!$E:$E, 123))</f>
        <v>#N/A</v>
      </c>
      <c r="E1023" s="13" t="e">
        <f>IF(INDEX(Heni!$D:$D, 123)="", NA(), INDEX(Heni!$K:$K, 123))</f>
        <v>#N/A</v>
      </c>
      <c r="F1023" t="e">
        <f t="shared" si="30"/>
        <v>#N/A</v>
      </c>
      <c r="G1023" s="13" t="e">
        <f>IF(INDEX(Heni!$D:$D, 123)="", NA(), INDEX(Heni!$L:$L, 123))</f>
        <v>#N/A</v>
      </c>
      <c r="H1023" t="e">
        <f t="shared" si="31"/>
        <v>#N/A</v>
      </c>
    </row>
    <row r="1024" spans="1:8" x14ac:dyDescent="0.2">
      <c r="A1024" t="e">
        <f>IF(INDEX(Heni!$D:$D, 124)="", NA(), "Heni (Developer)")</f>
        <v>#N/A</v>
      </c>
      <c r="B1024" t="e">
        <f>IF(INDEX(Heni!$D:$D, 124)="", NA(), INDEX(Heni!$B:$B, 124))</f>
        <v>#N/A</v>
      </c>
      <c r="C1024" t="e">
        <f>IF(INDEX(Heni!$D:$D, 124)="", NA(), INDEX(Heni!$D:$D, 124))</f>
        <v>#N/A</v>
      </c>
      <c r="D1024" t="e">
        <f>IF(INDEX(Heni!$D:$D, 124)="", NA(), INDEX(Heni!$E:$E, 124))</f>
        <v>#N/A</v>
      </c>
      <c r="E1024" s="13" t="e">
        <f>IF(INDEX(Heni!$D:$D, 124)="", NA(), INDEX(Heni!$K:$K, 124))</f>
        <v>#N/A</v>
      </c>
      <c r="F1024" t="e">
        <f t="shared" si="30"/>
        <v>#N/A</v>
      </c>
      <c r="G1024" s="13" t="e">
        <f>IF(INDEX(Heni!$D:$D, 124)="", NA(), INDEX(Heni!$L:$L, 124))</f>
        <v>#N/A</v>
      </c>
      <c r="H1024" t="e">
        <f t="shared" si="31"/>
        <v>#N/A</v>
      </c>
    </row>
    <row r="1025" spans="1:8" x14ac:dyDescent="0.2">
      <c r="A1025" t="e">
        <f>IF(INDEX(Heni!$D:$D, 125)="", NA(), "Heni (Developer)")</f>
        <v>#N/A</v>
      </c>
      <c r="B1025" t="e">
        <f>IF(INDEX(Heni!$D:$D, 125)="", NA(), INDEX(Heni!$B:$B, 125))</f>
        <v>#N/A</v>
      </c>
      <c r="C1025" t="e">
        <f>IF(INDEX(Heni!$D:$D, 125)="", NA(), INDEX(Heni!$D:$D, 125))</f>
        <v>#N/A</v>
      </c>
      <c r="D1025" t="e">
        <f>IF(INDEX(Heni!$D:$D, 125)="", NA(), INDEX(Heni!$E:$E, 125))</f>
        <v>#N/A</v>
      </c>
      <c r="E1025" s="13" t="e">
        <f>IF(INDEX(Heni!$D:$D, 125)="", NA(), INDEX(Heni!$K:$K, 125))</f>
        <v>#N/A</v>
      </c>
      <c r="F1025" t="e">
        <f t="shared" si="30"/>
        <v>#N/A</v>
      </c>
      <c r="G1025" s="13" t="e">
        <f>IF(INDEX(Heni!$D:$D, 125)="", NA(), INDEX(Heni!$L:$L, 125))</f>
        <v>#N/A</v>
      </c>
      <c r="H1025" t="e">
        <f t="shared" si="31"/>
        <v>#N/A</v>
      </c>
    </row>
    <row r="1026" spans="1:8" x14ac:dyDescent="0.2">
      <c r="A1026" t="e">
        <f>IF(INDEX(Heni!$D:$D, 126)="", NA(), "Heni (Developer)")</f>
        <v>#N/A</v>
      </c>
      <c r="B1026" t="e">
        <f>IF(INDEX(Heni!$D:$D, 126)="", NA(), INDEX(Heni!$B:$B, 126))</f>
        <v>#N/A</v>
      </c>
      <c r="C1026" t="e">
        <f>IF(INDEX(Heni!$D:$D, 126)="", NA(), INDEX(Heni!$D:$D, 126))</f>
        <v>#N/A</v>
      </c>
      <c r="D1026" t="e">
        <f>IF(INDEX(Heni!$D:$D, 126)="", NA(), INDEX(Heni!$E:$E, 126))</f>
        <v>#N/A</v>
      </c>
      <c r="E1026" s="13" t="e">
        <f>IF(INDEX(Heni!$D:$D, 126)="", NA(), INDEX(Heni!$K:$K, 126))</f>
        <v>#N/A</v>
      </c>
      <c r="F1026" t="e">
        <f t="shared" ref="F1026:F1051" si="32">IF(OR(E1026="", ISNA(E1026), ISNA(G1026)), 0, MAX(1, G1026-E1026))</f>
        <v>#N/A</v>
      </c>
      <c r="G1026" s="13" t="e">
        <f>IF(INDEX(Heni!$D:$D, 126)="", NA(), INDEX(Heni!$L:$L, 126))</f>
        <v>#N/A</v>
      </c>
      <c r="H1026" t="e">
        <f t="shared" ref="H1026:H1051" si="33">IF(ISNA(C1026), NA(), A1026 &amp; " - " &amp; B1026 &amp; " - " &amp; C1026)</f>
        <v>#N/A</v>
      </c>
    </row>
    <row r="1027" spans="1:8" x14ac:dyDescent="0.2">
      <c r="A1027" t="e">
        <f>IF(INDEX(Heni!$D:$D, 127)="", NA(), "Heni (Developer)")</f>
        <v>#N/A</v>
      </c>
      <c r="B1027" t="e">
        <f>IF(INDEX(Heni!$D:$D, 127)="", NA(), INDEX(Heni!$B:$B, 127))</f>
        <v>#N/A</v>
      </c>
      <c r="C1027" t="e">
        <f>IF(INDEX(Heni!$D:$D, 127)="", NA(), INDEX(Heni!$D:$D, 127))</f>
        <v>#N/A</v>
      </c>
      <c r="D1027" t="e">
        <f>IF(INDEX(Heni!$D:$D, 127)="", NA(), INDEX(Heni!$E:$E, 127))</f>
        <v>#N/A</v>
      </c>
      <c r="E1027" s="13" t="e">
        <f>IF(INDEX(Heni!$D:$D, 127)="", NA(), INDEX(Heni!$K:$K, 127))</f>
        <v>#N/A</v>
      </c>
      <c r="F1027" t="e">
        <f t="shared" si="32"/>
        <v>#N/A</v>
      </c>
      <c r="G1027" s="13" t="e">
        <f>IF(INDEX(Heni!$D:$D, 127)="", NA(), INDEX(Heni!$L:$L, 127))</f>
        <v>#N/A</v>
      </c>
      <c r="H1027" t="e">
        <f t="shared" si="33"/>
        <v>#N/A</v>
      </c>
    </row>
    <row r="1028" spans="1:8" x14ac:dyDescent="0.2">
      <c r="A1028" t="e">
        <f>IF(INDEX(Heni!$D:$D, 128)="", NA(), "Heni (Developer)")</f>
        <v>#N/A</v>
      </c>
      <c r="B1028" t="e">
        <f>IF(INDEX(Heni!$D:$D, 128)="", NA(), INDEX(Heni!$B:$B, 128))</f>
        <v>#N/A</v>
      </c>
      <c r="C1028" t="e">
        <f>IF(INDEX(Heni!$D:$D, 128)="", NA(), INDEX(Heni!$D:$D, 128))</f>
        <v>#N/A</v>
      </c>
      <c r="D1028" t="e">
        <f>IF(INDEX(Heni!$D:$D, 128)="", NA(), INDEX(Heni!$E:$E, 128))</f>
        <v>#N/A</v>
      </c>
      <c r="E1028" s="13" t="e">
        <f>IF(INDEX(Heni!$D:$D, 128)="", NA(), INDEX(Heni!$K:$K, 128))</f>
        <v>#N/A</v>
      </c>
      <c r="F1028" t="e">
        <f t="shared" si="32"/>
        <v>#N/A</v>
      </c>
      <c r="G1028" s="13" t="e">
        <f>IF(INDEX(Heni!$D:$D, 128)="", NA(), INDEX(Heni!$L:$L, 128))</f>
        <v>#N/A</v>
      </c>
      <c r="H1028" t="e">
        <f t="shared" si="33"/>
        <v>#N/A</v>
      </c>
    </row>
    <row r="1029" spans="1:8" x14ac:dyDescent="0.2">
      <c r="A1029" t="e">
        <f>IF(INDEX(Heni!$D:$D, 129)="", NA(), "Heni (Developer)")</f>
        <v>#N/A</v>
      </c>
      <c r="B1029" t="e">
        <f>IF(INDEX(Heni!$D:$D, 129)="", NA(), INDEX(Heni!$B:$B, 129))</f>
        <v>#N/A</v>
      </c>
      <c r="C1029" t="e">
        <f>IF(INDEX(Heni!$D:$D, 129)="", NA(), INDEX(Heni!$D:$D, 129))</f>
        <v>#N/A</v>
      </c>
      <c r="D1029" t="e">
        <f>IF(INDEX(Heni!$D:$D, 129)="", NA(), INDEX(Heni!$E:$E, 129))</f>
        <v>#N/A</v>
      </c>
      <c r="E1029" s="13" t="e">
        <f>IF(INDEX(Heni!$D:$D, 129)="", NA(), INDEX(Heni!$K:$K, 129))</f>
        <v>#N/A</v>
      </c>
      <c r="F1029" t="e">
        <f t="shared" si="32"/>
        <v>#N/A</v>
      </c>
      <c r="G1029" s="13" t="e">
        <f>IF(INDEX(Heni!$D:$D, 129)="", NA(), INDEX(Heni!$L:$L, 129))</f>
        <v>#N/A</v>
      </c>
      <c r="H1029" t="e">
        <f t="shared" si="33"/>
        <v>#N/A</v>
      </c>
    </row>
    <row r="1030" spans="1:8" x14ac:dyDescent="0.2">
      <c r="A1030" t="e">
        <f>IF(INDEX(Heni!$D:$D, 130)="", NA(), "Heni (Developer)")</f>
        <v>#N/A</v>
      </c>
      <c r="B1030" t="e">
        <f>IF(INDEX(Heni!$D:$D, 130)="", NA(), INDEX(Heni!$B:$B, 130))</f>
        <v>#N/A</v>
      </c>
      <c r="C1030" t="e">
        <f>IF(INDEX(Heni!$D:$D, 130)="", NA(), INDEX(Heni!$D:$D, 130))</f>
        <v>#N/A</v>
      </c>
      <c r="D1030" t="e">
        <f>IF(INDEX(Heni!$D:$D, 130)="", NA(), INDEX(Heni!$E:$E, 130))</f>
        <v>#N/A</v>
      </c>
      <c r="E1030" s="13" t="e">
        <f>IF(INDEX(Heni!$D:$D, 130)="", NA(), INDEX(Heni!$K:$K, 130))</f>
        <v>#N/A</v>
      </c>
      <c r="F1030" t="e">
        <f t="shared" si="32"/>
        <v>#N/A</v>
      </c>
      <c r="G1030" s="13" t="e">
        <f>IF(INDEX(Heni!$D:$D, 130)="", NA(), INDEX(Heni!$L:$L, 130))</f>
        <v>#N/A</v>
      </c>
      <c r="H1030" t="e">
        <f t="shared" si="33"/>
        <v>#N/A</v>
      </c>
    </row>
    <row r="1031" spans="1:8" x14ac:dyDescent="0.2">
      <c r="A1031" t="e">
        <f>IF(INDEX(Heni!$D:$D, 131)="", NA(), "Heni (Developer)")</f>
        <v>#N/A</v>
      </c>
      <c r="B1031" t="e">
        <f>IF(INDEX(Heni!$D:$D, 131)="", NA(), INDEX(Heni!$B:$B, 131))</f>
        <v>#N/A</v>
      </c>
      <c r="C1031" t="e">
        <f>IF(INDEX(Heni!$D:$D, 131)="", NA(), INDEX(Heni!$D:$D, 131))</f>
        <v>#N/A</v>
      </c>
      <c r="D1031" t="e">
        <f>IF(INDEX(Heni!$D:$D, 131)="", NA(), INDEX(Heni!$E:$E, 131))</f>
        <v>#N/A</v>
      </c>
      <c r="E1031" s="13" t="e">
        <f>IF(INDEX(Heni!$D:$D, 131)="", NA(), INDEX(Heni!$K:$K, 131))</f>
        <v>#N/A</v>
      </c>
      <c r="F1031" t="e">
        <f t="shared" si="32"/>
        <v>#N/A</v>
      </c>
      <c r="G1031" s="13" t="e">
        <f>IF(INDEX(Heni!$D:$D, 131)="", NA(), INDEX(Heni!$L:$L, 131))</f>
        <v>#N/A</v>
      </c>
      <c r="H1031" t="e">
        <f t="shared" si="33"/>
        <v>#N/A</v>
      </c>
    </row>
    <row r="1032" spans="1:8" x14ac:dyDescent="0.2">
      <c r="A1032" t="e">
        <f>IF(INDEX(Heni!$D:$D, 132)="", NA(), "Heni (Developer)")</f>
        <v>#N/A</v>
      </c>
      <c r="B1032" t="e">
        <f>IF(INDEX(Heni!$D:$D, 132)="", NA(), INDEX(Heni!$B:$B, 132))</f>
        <v>#N/A</v>
      </c>
      <c r="C1032" t="e">
        <f>IF(INDEX(Heni!$D:$D, 132)="", NA(), INDEX(Heni!$D:$D, 132))</f>
        <v>#N/A</v>
      </c>
      <c r="D1032" t="e">
        <f>IF(INDEX(Heni!$D:$D, 132)="", NA(), INDEX(Heni!$E:$E, 132))</f>
        <v>#N/A</v>
      </c>
      <c r="E1032" s="13" t="e">
        <f>IF(INDEX(Heni!$D:$D, 132)="", NA(), INDEX(Heni!$K:$K, 132))</f>
        <v>#N/A</v>
      </c>
      <c r="F1032" t="e">
        <f t="shared" si="32"/>
        <v>#N/A</v>
      </c>
      <c r="G1032" s="13" t="e">
        <f>IF(INDEX(Heni!$D:$D, 132)="", NA(), INDEX(Heni!$L:$L, 132))</f>
        <v>#N/A</v>
      </c>
      <c r="H1032" t="e">
        <f t="shared" si="33"/>
        <v>#N/A</v>
      </c>
    </row>
    <row r="1033" spans="1:8" x14ac:dyDescent="0.2">
      <c r="A1033" t="e">
        <f>IF(INDEX(Heni!$D:$D, 133)="", NA(), "Heni (Developer)")</f>
        <v>#N/A</v>
      </c>
      <c r="B1033" t="e">
        <f>IF(INDEX(Heni!$D:$D, 133)="", NA(), INDEX(Heni!$B:$B, 133))</f>
        <v>#N/A</v>
      </c>
      <c r="C1033" t="e">
        <f>IF(INDEX(Heni!$D:$D, 133)="", NA(), INDEX(Heni!$D:$D, 133))</f>
        <v>#N/A</v>
      </c>
      <c r="D1033" t="e">
        <f>IF(INDEX(Heni!$D:$D, 133)="", NA(), INDEX(Heni!$E:$E, 133))</f>
        <v>#N/A</v>
      </c>
      <c r="E1033" s="13" t="e">
        <f>IF(INDEX(Heni!$D:$D, 133)="", NA(), INDEX(Heni!$K:$K, 133))</f>
        <v>#N/A</v>
      </c>
      <c r="F1033" t="e">
        <f t="shared" si="32"/>
        <v>#N/A</v>
      </c>
      <c r="G1033" s="13" t="e">
        <f>IF(INDEX(Heni!$D:$D, 133)="", NA(), INDEX(Heni!$L:$L, 133))</f>
        <v>#N/A</v>
      </c>
      <c r="H1033" t="e">
        <f t="shared" si="33"/>
        <v>#N/A</v>
      </c>
    </row>
    <row r="1034" spans="1:8" x14ac:dyDescent="0.2">
      <c r="A1034" t="e">
        <f>IF(INDEX(Heni!$D:$D, 134)="", NA(), "Heni (Developer)")</f>
        <v>#N/A</v>
      </c>
      <c r="B1034" t="e">
        <f>IF(INDEX(Heni!$D:$D, 134)="", NA(), INDEX(Heni!$B:$B, 134))</f>
        <v>#N/A</v>
      </c>
      <c r="C1034" t="e">
        <f>IF(INDEX(Heni!$D:$D, 134)="", NA(), INDEX(Heni!$D:$D, 134))</f>
        <v>#N/A</v>
      </c>
      <c r="D1034" t="e">
        <f>IF(INDEX(Heni!$D:$D, 134)="", NA(), INDEX(Heni!$E:$E, 134))</f>
        <v>#N/A</v>
      </c>
      <c r="E1034" s="13" t="e">
        <f>IF(INDEX(Heni!$D:$D, 134)="", NA(), INDEX(Heni!$K:$K, 134))</f>
        <v>#N/A</v>
      </c>
      <c r="F1034" t="e">
        <f t="shared" si="32"/>
        <v>#N/A</v>
      </c>
      <c r="G1034" s="13" t="e">
        <f>IF(INDEX(Heni!$D:$D, 134)="", NA(), INDEX(Heni!$L:$L, 134))</f>
        <v>#N/A</v>
      </c>
      <c r="H1034" t="e">
        <f t="shared" si="33"/>
        <v>#N/A</v>
      </c>
    </row>
    <row r="1035" spans="1:8" x14ac:dyDescent="0.2">
      <c r="A1035" t="e">
        <f>IF(INDEX(Heni!$D:$D, 135)="", NA(), "Heni (Developer)")</f>
        <v>#N/A</v>
      </c>
      <c r="B1035" t="e">
        <f>IF(INDEX(Heni!$D:$D, 135)="", NA(), INDEX(Heni!$B:$B, 135))</f>
        <v>#N/A</v>
      </c>
      <c r="C1035" t="e">
        <f>IF(INDEX(Heni!$D:$D, 135)="", NA(), INDEX(Heni!$D:$D, 135))</f>
        <v>#N/A</v>
      </c>
      <c r="D1035" t="e">
        <f>IF(INDEX(Heni!$D:$D, 135)="", NA(), INDEX(Heni!$E:$E, 135))</f>
        <v>#N/A</v>
      </c>
      <c r="E1035" s="13" t="e">
        <f>IF(INDEX(Heni!$D:$D, 135)="", NA(), INDEX(Heni!$K:$K, 135))</f>
        <v>#N/A</v>
      </c>
      <c r="F1035" t="e">
        <f t="shared" si="32"/>
        <v>#N/A</v>
      </c>
      <c r="G1035" s="13" t="e">
        <f>IF(INDEX(Heni!$D:$D, 135)="", NA(), INDEX(Heni!$L:$L, 135))</f>
        <v>#N/A</v>
      </c>
      <c r="H1035" t="e">
        <f t="shared" si="33"/>
        <v>#N/A</v>
      </c>
    </row>
    <row r="1036" spans="1:8" x14ac:dyDescent="0.2">
      <c r="A1036" t="e">
        <f>IF(INDEX(Heni!$D:$D, 136)="", NA(), "Heni (Developer)")</f>
        <v>#N/A</v>
      </c>
      <c r="B1036" t="e">
        <f>IF(INDEX(Heni!$D:$D, 136)="", NA(), INDEX(Heni!$B:$B, 136))</f>
        <v>#N/A</v>
      </c>
      <c r="C1036" t="e">
        <f>IF(INDEX(Heni!$D:$D, 136)="", NA(), INDEX(Heni!$D:$D, 136))</f>
        <v>#N/A</v>
      </c>
      <c r="D1036" t="e">
        <f>IF(INDEX(Heni!$D:$D, 136)="", NA(), INDEX(Heni!$E:$E, 136))</f>
        <v>#N/A</v>
      </c>
      <c r="E1036" s="13" t="e">
        <f>IF(INDEX(Heni!$D:$D, 136)="", NA(), INDEX(Heni!$K:$K, 136))</f>
        <v>#N/A</v>
      </c>
      <c r="F1036" t="e">
        <f t="shared" si="32"/>
        <v>#N/A</v>
      </c>
      <c r="G1036" s="13" t="e">
        <f>IF(INDEX(Heni!$D:$D, 136)="", NA(), INDEX(Heni!$L:$L, 136))</f>
        <v>#N/A</v>
      </c>
      <c r="H1036" t="e">
        <f t="shared" si="33"/>
        <v>#N/A</v>
      </c>
    </row>
    <row r="1037" spans="1:8" x14ac:dyDescent="0.2">
      <c r="A1037" t="e">
        <f>IF(INDEX(Heni!$D:$D, 137)="", NA(), "Heni (Developer)")</f>
        <v>#N/A</v>
      </c>
      <c r="B1037" t="e">
        <f>IF(INDEX(Heni!$D:$D, 137)="", NA(), INDEX(Heni!$B:$B, 137))</f>
        <v>#N/A</v>
      </c>
      <c r="C1037" t="e">
        <f>IF(INDEX(Heni!$D:$D, 137)="", NA(), INDEX(Heni!$D:$D, 137))</f>
        <v>#N/A</v>
      </c>
      <c r="D1037" t="e">
        <f>IF(INDEX(Heni!$D:$D, 137)="", NA(), INDEX(Heni!$E:$E, 137))</f>
        <v>#N/A</v>
      </c>
      <c r="E1037" s="13" t="e">
        <f>IF(INDEX(Heni!$D:$D, 137)="", NA(), INDEX(Heni!$K:$K, 137))</f>
        <v>#N/A</v>
      </c>
      <c r="F1037" t="e">
        <f t="shared" si="32"/>
        <v>#N/A</v>
      </c>
      <c r="G1037" s="13" t="e">
        <f>IF(INDEX(Heni!$D:$D, 137)="", NA(), INDEX(Heni!$L:$L, 137))</f>
        <v>#N/A</v>
      </c>
      <c r="H1037" t="e">
        <f t="shared" si="33"/>
        <v>#N/A</v>
      </c>
    </row>
    <row r="1038" spans="1:8" x14ac:dyDescent="0.2">
      <c r="A1038" t="e">
        <f>IF(INDEX(Heni!$D:$D, 138)="", NA(), "Heni (Developer)")</f>
        <v>#N/A</v>
      </c>
      <c r="B1038" t="e">
        <f>IF(INDEX(Heni!$D:$D, 138)="", NA(), INDEX(Heni!$B:$B, 138))</f>
        <v>#N/A</v>
      </c>
      <c r="C1038" t="e">
        <f>IF(INDEX(Heni!$D:$D, 138)="", NA(), INDEX(Heni!$D:$D, 138))</f>
        <v>#N/A</v>
      </c>
      <c r="D1038" t="e">
        <f>IF(INDEX(Heni!$D:$D, 138)="", NA(), INDEX(Heni!$E:$E, 138))</f>
        <v>#N/A</v>
      </c>
      <c r="E1038" s="13" t="e">
        <f>IF(INDEX(Heni!$D:$D, 138)="", NA(), INDEX(Heni!$K:$K, 138))</f>
        <v>#N/A</v>
      </c>
      <c r="F1038" t="e">
        <f t="shared" si="32"/>
        <v>#N/A</v>
      </c>
      <c r="G1038" s="13" t="e">
        <f>IF(INDEX(Heni!$D:$D, 138)="", NA(), INDEX(Heni!$L:$L, 138))</f>
        <v>#N/A</v>
      </c>
      <c r="H1038" t="e">
        <f t="shared" si="33"/>
        <v>#N/A</v>
      </c>
    </row>
    <row r="1039" spans="1:8" x14ac:dyDescent="0.2">
      <c r="A1039" t="e">
        <f>IF(INDEX(Heni!$D:$D, 139)="", NA(), "Heni (Developer)")</f>
        <v>#N/A</v>
      </c>
      <c r="B1039" t="e">
        <f>IF(INDEX(Heni!$D:$D, 139)="", NA(), INDEX(Heni!$B:$B, 139))</f>
        <v>#N/A</v>
      </c>
      <c r="C1039" t="e">
        <f>IF(INDEX(Heni!$D:$D, 139)="", NA(), INDEX(Heni!$D:$D, 139))</f>
        <v>#N/A</v>
      </c>
      <c r="D1039" t="e">
        <f>IF(INDEX(Heni!$D:$D, 139)="", NA(), INDEX(Heni!$E:$E, 139))</f>
        <v>#N/A</v>
      </c>
      <c r="E1039" s="13" t="e">
        <f>IF(INDEX(Heni!$D:$D, 139)="", NA(), INDEX(Heni!$K:$K, 139))</f>
        <v>#N/A</v>
      </c>
      <c r="F1039" t="e">
        <f t="shared" si="32"/>
        <v>#N/A</v>
      </c>
      <c r="G1039" s="13" t="e">
        <f>IF(INDEX(Heni!$D:$D, 139)="", NA(), INDEX(Heni!$L:$L, 139))</f>
        <v>#N/A</v>
      </c>
      <c r="H1039" t="e">
        <f t="shared" si="33"/>
        <v>#N/A</v>
      </c>
    </row>
    <row r="1040" spans="1:8" x14ac:dyDescent="0.2">
      <c r="A1040" t="e">
        <f>IF(INDEX(Heni!$D:$D, 140)="", NA(), "Heni (Developer)")</f>
        <v>#N/A</v>
      </c>
      <c r="B1040" t="e">
        <f>IF(INDEX(Heni!$D:$D, 140)="", NA(), INDEX(Heni!$B:$B, 140))</f>
        <v>#N/A</v>
      </c>
      <c r="C1040" t="e">
        <f>IF(INDEX(Heni!$D:$D, 140)="", NA(), INDEX(Heni!$D:$D, 140))</f>
        <v>#N/A</v>
      </c>
      <c r="D1040" t="e">
        <f>IF(INDEX(Heni!$D:$D, 140)="", NA(), INDEX(Heni!$E:$E, 140))</f>
        <v>#N/A</v>
      </c>
      <c r="E1040" s="13" t="e">
        <f>IF(INDEX(Heni!$D:$D, 140)="", NA(), INDEX(Heni!$K:$K, 140))</f>
        <v>#N/A</v>
      </c>
      <c r="F1040" t="e">
        <f t="shared" si="32"/>
        <v>#N/A</v>
      </c>
      <c r="G1040" s="13" t="e">
        <f>IF(INDEX(Heni!$D:$D, 140)="", NA(), INDEX(Heni!$L:$L, 140))</f>
        <v>#N/A</v>
      </c>
      <c r="H1040" t="e">
        <f t="shared" si="33"/>
        <v>#N/A</v>
      </c>
    </row>
    <row r="1041" spans="1:8" x14ac:dyDescent="0.2">
      <c r="A1041" t="e">
        <f>IF(INDEX(Heni!$D:$D, 141)="", NA(), "Heni (Developer)")</f>
        <v>#N/A</v>
      </c>
      <c r="B1041" t="e">
        <f>IF(INDEX(Heni!$D:$D, 141)="", NA(), INDEX(Heni!$B:$B, 141))</f>
        <v>#N/A</v>
      </c>
      <c r="C1041" t="e">
        <f>IF(INDEX(Heni!$D:$D, 141)="", NA(), INDEX(Heni!$D:$D, 141))</f>
        <v>#N/A</v>
      </c>
      <c r="D1041" t="e">
        <f>IF(INDEX(Heni!$D:$D, 141)="", NA(), INDEX(Heni!$E:$E, 141))</f>
        <v>#N/A</v>
      </c>
      <c r="E1041" s="13" t="e">
        <f>IF(INDEX(Heni!$D:$D, 141)="", NA(), INDEX(Heni!$K:$K, 141))</f>
        <v>#N/A</v>
      </c>
      <c r="F1041" t="e">
        <f t="shared" si="32"/>
        <v>#N/A</v>
      </c>
      <c r="G1041" s="13" t="e">
        <f>IF(INDEX(Heni!$D:$D, 141)="", NA(), INDEX(Heni!$L:$L, 141))</f>
        <v>#N/A</v>
      </c>
      <c r="H1041" t="e">
        <f t="shared" si="33"/>
        <v>#N/A</v>
      </c>
    </row>
    <row r="1042" spans="1:8" x14ac:dyDescent="0.2">
      <c r="A1042" t="e">
        <f>IF(INDEX(Heni!$D:$D, 142)="", NA(), "Heni (Developer)")</f>
        <v>#N/A</v>
      </c>
      <c r="B1042" t="e">
        <f>IF(INDEX(Heni!$D:$D, 142)="", NA(), INDEX(Heni!$B:$B, 142))</f>
        <v>#N/A</v>
      </c>
      <c r="C1042" t="e">
        <f>IF(INDEX(Heni!$D:$D, 142)="", NA(), INDEX(Heni!$D:$D, 142))</f>
        <v>#N/A</v>
      </c>
      <c r="D1042" t="e">
        <f>IF(INDEX(Heni!$D:$D, 142)="", NA(), INDEX(Heni!$E:$E, 142))</f>
        <v>#N/A</v>
      </c>
      <c r="E1042" s="13" t="e">
        <f>IF(INDEX(Heni!$D:$D, 142)="", NA(), INDEX(Heni!$K:$K, 142))</f>
        <v>#N/A</v>
      </c>
      <c r="F1042" t="e">
        <f t="shared" si="32"/>
        <v>#N/A</v>
      </c>
      <c r="G1042" s="13" t="e">
        <f>IF(INDEX(Heni!$D:$D, 142)="", NA(), INDEX(Heni!$L:$L, 142))</f>
        <v>#N/A</v>
      </c>
      <c r="H1042" t="e">
        <f t="shared" si="33"/>
        <v>#N/A</v>
      </c>
    </row>
    <row r="1043" spans="1:8" x14ac:dyDescent="0.2">
      <c r="A1043" t="e">
        <f>IF(INDEX(Heni!$D:$D, 143)="", NA(), "Heni (Developer)")</f>
        <v>#N/A</v>
      </c>
      <c r="B1043" t="e">
        <f>IF(INDEX(Heni!$D:$D, 143)="", NA(), INDEX(Heni!$B:$B, 143))</f>
        <v>#N/A</v>
      </c>
      <c r="C1043" t="e">
        <f>IF(INDEX(Heni!$D:$D, 143)="", NA(), INDEX(Heni!$D:$D, 143))</f>
        <v>#N/A</v>
      </c>
      <c r="D1043" t="e">
        <f>IF(INDEX(Heni!$D:$D, 143)="", NA(), INDEX(Heni!$E:$E, 143))</f>
        <v>#N/A</v>
      </c>
      <c r="E1043" s="13" t="e">
        <f>IF(INDEX(Heni!$D:$D, 143)="", NA(), INDEX(Heni!$K:$K, 143))</f>
        <v>#N/A</v>
      </c>
      <c r="F1043" t="e">
        <f t="shared" si="32"/>
        <v>#N/A</v>
      </c>
      <c r="G1043" s="13" t="e">
        <f>IF(INDEX(Heni!$D:$D, 143)="", NA(), INDEX(Heni!$L:$L, 143))</f>
        <v>#N/A</v>
      </c>
      <c r="H1043" t="e">
        <f t="shared" si="33"/>
        <v>#N/A</v>
      </c>
    </row>
    <row r="1044" spans="1:8" x14ac:dyDescent="0.2">
      <c r="A1044" t="e">
        <f>IF(INDEX(Heni!$D:$D, 144)="", NA(), "Heni (Developer)")</f>
        <v>#N/A</v>
      </c>
      <c r="B1044" t="e">
        <f>IF(INDEX(Heni!$D:$D, 144)="", NA(), INDEX(Heni!$B:$B, 144))</f>
        <v>#N/A</v>
      </c>
      <c r="C1044" t="e">
        <f>IF(INDEX(Heni!$D:$D, 144)="", NA(), INDEX(Heni!$D:$D, 144))</f>
        <v>#N/A</v>
      </c>
      <c r="D1044" t="e">
        <f>IF(INDEX(Heni!$D:$D, 144)="", NA(), INDEX(Heni!$E:$E, 144))</f>
        <v>#N/A</v>
      </c>
      <c r="E1044" s="13" t="e">
        <f>IF(INDEX(Heni!$D:$D, 144)="", NA(), INDEX(Heni!$K:$K, 144))</f>
        <v>#N/A</v>
      </c>
      <c r="F1044" t="e">
        <f t="shared" si="32"/>
        <v>#N/A</v>
      </c>
      <c r="G1044" s="13" t="e">
        <f>IF(INDEX(Heni!$D:$D, 144)="", NA(), INDEX(Heni!$L:$L, 144))</f>
        <v>#N/A</v>
      </c>
      <c r="H1044" t="e">
        <f t="shared" si="33"/>
        <v>#N/A</v>
      </c>
    </row>
    <row r="1045" spans="1:8" x14ac:dyDescent="0.2">
      <c r="A1045" t="e">
        <f>IF(INDEX(Heni!$D:$D, 145)="", NA(), "Heni (Developer)")</f>
        <v>#N/A</v>
      </c>
      <c r="B1045" t="e">
        <f>IF(INDEX(Heni!$D:$D, 145)="", NA(), INDEX(Heni!$B:$B, 145))</f>
        <v>#N/A</v>
      </c>
      <c r="C1045" t="e">
        <f>IF(INDEX(Heni!$D:$D, 145)="", NA(), INDEX(Heni!$D:$D, 145))</f>
        <v>#N/A</v>
      </c>
      <c r="D1045" t="e">
        <f>IF(INDEX(Heni!$D:$D, 145)="", NA(), INDEX(Heni!$E:$E, 145))</f>
        <v>#N/A</v>
      </c>
      <c r="E1045" s="13" t="e">
        <f>IF(INDEX(Heni!$D:$D, 145)="", NA(), INDEX(Heni!$K:$K, 145))</f>
        <v>#N/A</v>
      </c>
      <c r="F1045" t="e">
        <f t="shared" si="32"/>
        <v>#N/A</v>
      </c>
      <c r="G1045" s="13" t="e">
        <f>IF(INDEX(Heni!$D:$D, 145)="", NA(), INDEX(Heni!$L:$L, 145))</f>
        <v>#N/A</v>
      </c>
      <c r="H1045" t="e">
        <f t="shared" si="33"/>
        <v>#N/A</v>
      </c>
    </row>
    <row r="1046" spans="1:8" x14ac:dyDescent="0.2">
      <c r="A1046" t="e">
        <f>IF(INDEX(Heni!$D:$D, 146)="", NA(), "Heni (Developer)")</f>
        <v>#N/A</v>
      </c>
      <c r="B1046" t="e">
        <f>IF(INDEX(Heni!$D:$D, 146)="", NA(), INDEX(Heni!$B:$B, 146))</f>
        <v>#N/A</v>
      </c>
      <c r="C1046" t="e">
        <f>IF(INDEX(Heni!$D:$D, 146)="", NA(), INDEX(Heni!$D:$D, 146))</f>
        <v>#N/A</v>
      </c>
      <c r="D1046" t="e">
        <f>IF(INDEX(Heni!$D:$D, 146)="", NA(), INDEX(Heni!$E:$E, 146))</f>
        <v>#N/A</v>
      </c>
      <c r="E1046" s="13" t="e">
        <f>IF(INDEX(Heni!$D:$D, 146)="", NA(), INDEX(Heni!$K:$K, 146))</f>
        <v>#N/A</v>
      </c>
      <c r="F1046" t="e">
        <f t="shared" si="32"/>
        <v>#N/A</v>
      </c>
      <c r="G1046" s="13" t="e">
        <f>IF(INDEX(Heni!$D:$D, 146)="", NA(), INDEX(Heni!$L:$L, 146))</f>
        <v>#N/A</v>
      </c>
      <c r="H1046" t="e">
        <f t="shared" si="33"/>
        <v>#N/A</v>
      </c>
    </row>
    <row r="1047" spans="1:8" x14ac:dyDescent="0.2">
      <c r="A1047" t="e">
        <f>IF(INDEX(Heni!$D:$D, 147)="", NA(), "Heni (Developer)")</f>
        <v>#N/A</v>
      </c>
      <c r="B1047" t="e">
        <f>IF(INDEX(Heni!$D:$D, 147)="", NA(), INDEX(Heni!$B:$B, 147))</f>
        <v>#N/A</v>
      </c>
      <c r="C1047" t="e">
        <f>IF(INDEX(Heni!$D:$D, 147)="", NA(), INDEX(Heni!$D:$D, 147))</f>
        <v>#N/A</v>
      </c>
      <c r="D1047" t="e">
        <f>IF(INDEX(Heni!$D:$D, 147)="", NA(), INDEX(Heni!$E:$E, 147))</f>
        <v>#N/A</v>
      </c>
      <c r="E1047" s="13" t="e">
        <f>IF(INDEX(Heni!$D:$D, 147)="", NA(), INDEX(Heni!$K:$K, 147))</f>
        <v>#N/A</v>
      </c>
      <c r="F1047" t="e">
        <f t="shared" si="32"/>
        <v>#N/A</v>
      </c>
      <c r="G1047" s="13" t="e">
        <f>IF(INDEX(Heni!$D:$D, 147)="", NA(), INDEX(Heni!$L:$L, 147))</f>
        <v>#N/A</v>
      </c>
      <c r="H1047" t="e">
        <f t="shared" si="33"/>
        <v>#N/A</v>
      </c>
    </row>
    <row r="1048" spans="1:8" x14ac:dyDescent="0.2">
      <c r="A1048" t="e">
        <f>IF(INDEX(Heni!$D:$D, 148)="", NA(), "Heni (Developer)")</f>
        <v>#N/A</v>
      </c>
      <c r="B1048" t="e">
        <f>IF(INDEX(Heni!$D:$D, 148)="", NA(), INDEX(Heni!$B:$B, 148))</f>
        <v>#N/A</v>
      </c>
      <c r="C1048" t="e">
        <f>IF(INDEX(Heni!$D:$D, 148)="", NA(), INDEX(Heni!$D:$D, 148))</f>
        <v>#N/A</v>
      </c>
      <c r="D1048" t="e">
        <f>IF(INDEX(Heni!$D:$D, 148)="", NA(), INDEX(Heni!$E:$E, 148))</f>
        <v>#N/A</v>
      </c>
      <c r="E1048" s="13" t="e">
        <f>IF(INDEX(Heni!$D:$D, 148)="", NA(), INDEX(Heni!$K:$K, 148))</f>
        <v>#N/A</v>
      </c>
      <c r="F1048" t="e">
        <f t="shared" si="32"/>
        <v>#N/A</v>
      </c>
      <c r="G1048" s="13" t="e">
        <f>IF(INDEX(Heni!$D:$D, 148)="", NA(), INDEX(Heni!$L:$L, 148))</f>
        <v>#N/A</v>
      </c>
      <c r="H1048" t="e">
        <f t="shared" si="33"/>
        <v>#N/A</v>
      </c>
    </row>
    <row r="1049" spans="1:8" x14ac:dyDescent="0.2">
      <c r="A1049" t="e">
        <f>IF(INDEX(Heni!$D:$D, 149)="", NA(), "Heni (Developer)")</f>
        <v>#N/A</v>
      </c>
      <c r="B1049" t="e">
        <f>IF(INDEX(Heni!$D:$D, 149)="", NA(), INDEX(Heni!$B:$B, 149))</f>
        <v>#N/A</v>
      </c>
      <c r="C1049" t="e">
        <f>IF(INDEX(Heni!$D:$D, 149)="", NA(), INDEX(Heni!$D:$D, 149))</f>
        <v>#N/A</v>
      </c>
      <c r="D1049" t="e">
        <f>IF(INDEX(Heni!$D:$D, 149)="", NA(), INDEX(Heni!$E:$E, 149))</f>
        <v>#N/A</v>
      </c>
      <c r="E1049" s="13" t="e">
        <f>IF(INDEX(Heni!$D:$D, 149)="", NA(), INDEX(Heni!$K:$K, 149))</f>
        <v>#N/A</v>
      </c>
      <c r="F1049" t="e">
        <f t="shared" si="32"/>
        <v>#N/A</v>
      </c>
      <c r="G1049" s="13" t="e">
        <f>IF(INDEX(Heni!$D:$D, 149)="", NA(), INDEX(Heni!$L:$L, 149))</f>
        <v>#N/A</v>
      </c>
      <c r="H1049" t="e">
        <f t="shared" si="33"/>
        <v>#N/A</v>
      </c>
    </row>
    <row r="1050" spans="1:8" x14ac:dyDescent="0.2">
      <c r="A1050" t="e">
        <f>IF(INDEX(Heni!$D:$D, 150)="", NA(), "Heni (Developer)")</f>
        <v>#N/A</v>
      </c>
      <c r="B1050" t="e">
        <f>IF(INDEX(Heni!$D:$D, 150)="", NA(), INDEX(Heni!$B:$B, 150))</f>
        <v>#N/A</v>
      </c>
      <c r="C1050" t="e">
        <f>IF(INDEX(Heni!$D:$D, 150)="", NA(), INDEX(Heni!$D:$D, 150))</f>
        <v>#N/A</v>
      </c>
      <c r="D1050" t="e">
        <f>IF(INDEX(Heni!$D:$D, 150)="", NA(), INDEX(Heni!$E:$E, 150))</f>
        <v>#N/A</v>
      </c>
      <c r="E1050" s="13" t="e">
        <f>IF(INDEX(Heni!$D:$D, 150)="", NA(), INDEX(Heni!$K:$K, 150))</f>
        <v>#N/A</v>
      </c>
      <c r="F1050" t="e">
        <f t="shared" si="32"/>
        <v>#N/A</v>
      </c>
      <c r="G1050" s="13" t="e">
        <f>IF(INDEX(Heni!$D:$D, 150)="", NA(), INDEX(Heni!$L:$L, 150))</f>
        <v>#N/A</v>
      </c>
      <c r="H1050" t="e">
        <f t="shared" si="33"/>
        <v>#N/A</v>
      </c>
    </row>
    <row r="1051" spans="1:8" x14ac:dyDescent="0.2">
      <c r="A1051" t="e">
        <f>IF(INDEX(Heni!$D:$D, 151)="", NA(), "Heni (Developer)")</f>
        <v>#N/A</v>
      </c>
      <c r="B1051" t="e">
        <f>IF(INDEX(Heni!$D:$D, 151)="", NA(), INDEX(Heni!$B:$B, 151))</f>
        <v>#N/A</v>
      </c>
      <c r="C1051" t="e">
        <f>IF(INDEX(Heni!$D:$D, 151)="", NA(), INDEX(Heni!$D:$D, 151))</f>
        <v>#N/A</v>
      </c>
      <c r="D1051" t="e">
        <f>IF(INDEX(Heni!$D:$D, 151)="", NA(), INDEX(Heni!$E:$E, 151))</f>
        <v>#N/A</v>
      </c>
      <c r="E1051" s="13" t="e">
        <f>IF(INDEX(Heni!$D:$D, 151)="", NA(), INDEX(Heni!$K:$K, 151))</f>
        <v>#N/A</v>
      </c>
      <c r="F1051" t="e">
        <f t="shared" si="32"/>
        <v>#N/A</v>
      </c>
      <c r="G1051" s="13" t="e">
        <f>IF(INDEX(Heni!$D:$D, 151)="", NA(), INDEX(Heni!$L:$L, 151))</f>
        <v>#N/A</v>
      </c>
      <c r="H1051" t="e">
        <f t="shared" si="33"/>
        <v>#N/A</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1"/>
  <sheetViews>
    <sheetView tabSelected="1" workbookViewId="0">
      <pane ySplit="1" topLeftCell="A29" activePane="bottomLeft" state="frozen"/>
      <selection pane="bottomLeft" activeCell="H29" sqref="H29"/>
    </sheetView>
  </sheetViews>
  <sheetFormatPr baseColWidth="10" defaultColWidth="8.83203125" defaultRowHeight="15" x14ac:dyDescent="0.2"/>
  <cols>
    <col min="1" max="1" width="6" style="48" customWidth="1"/>
    <col min="2" max="2" width="28" style="48" customWidth="1"/>
    <col min="3" max="3" width="18" style="48" customWidth="1"/>
    <col min="4" max="4" width="45" style="48" customWidth="1"/>
    <col min="5" max="5" width="15" style="48" customWidth="1"/>
    <col min="6" max="6" width="13" style="48" customWidth="1"/>
    <col min="7" max="7" width="20" style="48" customWidth="1"/>
    <col min="8" max="8" width="22" style="48" customWidth="1"/>
    <col min="9" max="9" width="18" style="48" customWidth="1"/>
    <col min="10" max="10" width="12" style="48" customWidth="1"/>
    <col min="11" max="12" width="14" style="48" customWidth="1"/>
    <col min="13" max="13" width="15" style="48" customWidth="1"/>
    <col min="14" max="14" width="25" style="48" customWidth="1"/>
    <col min="15" max="18" width="24" style="48" customWidth="1"/>
    <col min="19" max="21" width="26" style="48" customWidth="1"/>
    <col min="22" max="23" width="30" style="48" customWidth="1"/>
    <col min="24" max="24" width="14.5" customWidth="1"/>
    <col min="25" max="25" width="13" customWidth="1"/>
    <col min="26" max="26" width="15.33203125" customWidth="1"/>
  </cols>
  <sheetData>
    <row r="1" spans="1:26" ht="28" customHeight="1" x14ac:dyDescent="0.2">
      <c r="A1" s="49" t="s">
        <v>138</v>
      </c>
      <c r="B1" s="49" t="s">
        <v>0</v>
      </c>
      <c r="C1" s="49" t="s">
        <v>1</v>
      </c>
      <c r="D1" s="49" t="s">
        <v>139</v>
      </c>
      <c r="E1" s="49" t="s">
        <v>140</v>
      </c>
      <c r="F1" s="49" t="s">
        <v>141</v>
      </c>
      <c r="G1" s="49" t="s">
        <v>142</v>
      </c>
      <c r="H1" s="49" t="s">
        <v>143</v>
      </c>
      <c r="I1" s="49" t="s">
        <v>144</v>
      </c>
      <c r="J1" s="49" t="s">
        <v>145</v>
      </c>
      <c r="K1" s="49" t="s">
        <v>146</v>
      </c>
      <c r="L1" s="49" t="s">
        <v>147</v>
      </c>
      <c r="M1" s="49" t="s">
        <v>148</v>
      </c>
      <c r="N1" s="49" t="s">
        <v>149</v>
      </c>
      <c r="O1" s="49" t="s">
        <v>150</v>
      </c>
      <c r="P1" s="49" t="s">
        <v>151</v>
      </c>
      <c r="Q1" s="49" t="s">
        <v>152</v>
      </c>
      <c r="R1" s="49" t="s">
        <v>153</v>
      </c>
      <c r="S1" s="49" t="s">
        <v>154</v>
      </c>
      <c r="T1" s="49" t="s">
        <v>155</v>
      </c>
      <c r="U1" s="49" t="s">
        <v>156</v>
      </c>
      <c r="V1" s="49" t="s">
        <v>157</v>
      </c>
      <c r="W1" s="89" t="s">
        <v>158</v>
      </c>
      <c r="X1" s="49" t="s">
        <v>159</v>
      </c>
      <c r="Y1" s="49" t="s">
        <v>160</v>
      </c>
      <c r="Z1" s="49" t="s">
        <v>161</v>
      </c>
    </row>
    <row r="2" spans="1:26" ht="30" x14ac:dyDescent="0.2">
      <c r="A2" s="50"/>
      <c r="B2" s="21" t="s">
        <v>74</v>
      </c>
      <c r="C2" s="21"/>
      <c r="D2" s="21" t="s">
        <v>162</v>
      </c>
      <c r="E2" s="21" t="s">
        <v>109</v>
      </c>
      <c r="F2" s="21" t="s">
        <v>163</v>
      </c>
      <c r="G2" s="21" t="s">
        <v>164</v>
      </c>
      <c r="H2" s="21" t="s">
        <v>165</v>
      </c>
      <c r="I2" s="21"/>
      <c r="J2" s="51">
        <v>1</v>
      </c>
      <c r="K2" s="52">
        <v>46238</v>
      </c>
      <c r="L2" s="52">
        <v>46240</v>
      </c>
      <c r="M2" s="52">
        <v>46240</v>
      </c>
      <c r="N2" s="21"/>
      <c r="O2" s="21" t="s">
        <v>166</v>
      </c>
      <c r="P2" s="21"/>
      <c r="Q2" s="21"/>
      <c r="R2" s="21" t="s">
        <v>167</v>
      </c>
      <c r="S2" s="21"/>
      <c r="T2" s="21"/>
      <c r="U2" s="21"/>
      <c r="V2" s="21" t="s">
        <v>168</v>
      </c>
      <c r="W2" s="36" t="s">
        <v>169</v>
      </c>
      <c r="X2" s="48"/>
      <c r="Y2" s="48"/>
    </row>
    <row r="3" spans="1:26" ht="195" x14ac:dyDescent="0.2">
      <c r="A3" s="50">
        <f t="shared" ref="A3:A34" si="0">IF(OR(D3&lt;&gt;"", B3&lt;&gt;""), ROW()-1, "")</f>
        <v>2</v>
      </c>
      <c r="B3" s="21" t="s">
        <v>170</v>
      </c>
      <c r="C3" s="21"/>
      <c r="D3" s="21" t="s">
        <v>171</v>
      </c>
      <c r="E3" s="21" t="s">
        <v>109</v>
      </c>
      <c r="F3" s="21" t="s">
        <v>172</v>
      </c>
      <c r="G3" s="21" t="s">
        <v>164</v>
      </c>
      <c r="H3" s="21" t="s">
        <v>173</v>
      </c>
      <c r="I3" s="21"/>
      <c r="J3" s="51">
        <v>1</v>
      </c>
      <c r="K3" s="52">
        <v>46239</v>
      </c>
      <c r="L3" s="52">
        <v>46239</v>
      </c>
      <c r="M3" s="52">
        <v>46239</v>
      </c>
      <c r="N3" s="21" t="s">
        <v>174</v>
      </c>
      <c r="O3" s="21" t="s">
        <v>166</v>
      </c>
      <c r="P3" s="21"/>
      <c r="Q3" s="21"/>
      <c r="R3" s="21"/>
      <c r="S3" s="21" t="s">
        <v>175</v>
      </c>
      <c r="T3" s="21" t="s">
        <v>167</v>
      </c>
      <c r="U3" s="21"/>
      <c r="V3" s="21" t="s">
        <v>176</v>
      </c>
      <c r="W3" s="36" t="s">
        <v>177</v>
      </c>
      <c r="X3" s="48"/>
      <c r="Y3" s="48"/>
    </row>
    <row r="4" spans="1:26" ht="105" x14ac:dyDescent="0.2">
      <c r="A4" s="50">
        <f t="shared" si="0"/>
        <v>3</v>
      </c>
      <c r="B4" s="21" t="s">
        <v>170</v>
      </c>
      <c r="C4" s="21"/>
      <c r="D4" s="21" t="s">
        <v>178</v>
      </c>
      <c r="E4" s="21" t="s">
        <v>109</v>
      </c>
      <c r="F4" s="21" t="s">
        <v>163</v>
      </c>
      <c r="G4" s="21" t="s">
        <v>179</v>
      </c>
      <c r="H4" s="21" t="s">
        <v>173</v>
      </c>
      <c r="I4" s="21"/>
      <c r="J4" s="51">
        <v>1</v>
      </c>
      <c r="K4" s="52">
        <v>46240</v>
      </c>
      <c r="L4" s="52">
        <v>46240</v>
      </c>
      <c r="M4" s="52">
        <v>46240</v>
      </c>
      <c r="N4" s="21" t="s">
        <v>174</v>
      </c>
      <c r="O4" s="21" t="s">
        <v>166</v>
      </c>
      <c r="P4" s="21"/>
      <c r="Q4" s="21"/>
      <c r="R4" s="21"/>
      <c r="S4" s="21" t="s">
        <v>175</v>
      </c>
      <c r="T4" s="21" t="s">
        <v>167</v>
      </c>
      <c r="U4" s="21"/>
      <c r="V4" s="21" t="s">
        <v>180</v>
      </c>
      <c r="W4" s="36" t="s">
        <v>181</v>
      </c>
      <c r="X4" s="48"/>
      <c r="Y4" s="48"/>
    </row>
    <row r="5" spans="1:26" ht="30" x14ac:dyDescent="0.2">
      <c r="A5" s="50">
        <f t="shared" si="0"/>
        <v>4</v>
      </c>
      <c r="B5" s="21" t="s">
        <v>74</v>
      </c>
      <c r="C5" s="21"/>
      <c r="D5" s="21" t="s">
        <v>182</v>
      </c>
      <c r="E5" s="21" t="s">
        <v>109</v>
      </c>
      <c r="F5" s="21" t="s">
        <v>163</v>
      </c>
      <c r="G5" s="21" t="s">
        <v>164</v>
      </c>
      <c r="H5" s="21" t="s">
        <v>165</v>
      </c>
      <c r="I5" s="21"/>
      <c r="J5" s="51">
        <v>1</v>
      </c>
      <c r="K5" s="52">
        <v>46240</v>
      </c>
      <c r="L5" s="52">
        <v>46246</v>
      </c>
      <c r="M5" s="52">
        <v>46246</v>
      </c>
      <c r="N5" s="21"/>
      <c r="O5" s="21" t="s">
        <v>166</v>
      </c>
      <c r="P5" s="21"/>
      <c r="Q5" s="21"/>
      <c r="R5" s="21" t="s">
        <v>167</v>
      </c>
      <c r="S5" s="21"/>
      <c r="T5" s="21"/>
      <c r="U5" s="21"/>
      <c r="V5" s="21" t="s">
        <v>183</v>
      </c>
      <c r="W5" s="36" t="s">
        <v>184</v>
      </c>
      <c r="X5" s="48"/>
      <c r="Y5" s="48"/>
    </row>
    <row r="6" spans="1:26" ht="45" x14ac:dyDescent="0.2">
      <c r="A6" s="50">
        <f t="shared" si="0"/>
        <v>5</v>
      </c>
      <c r="B6" s="21" t="s">
        <v>170</v>
      </c>
      <c r="C6" s="21"/>
      <c r="D6" s="21" t="s">
        <v>185</v>
      </c>
      <c r="E6" s="21" t="s">
        <v>109</v>
      </c>
      <c r="F6" s="21" t="s">
        <v>163</v>
      </c>
      <c r="G6" s="21" t="s">
        <v>164</v>
      </c>
      <c r="H6" s="21" t="s">
        <v>173</v>
      </c>
      <c r="I6" s="21"/>
      <c r="J6" s="51">
        <v>1</v>
      </c>
      <c r="K6" s="52">
        <v>46241</v>
      </c>
      <c r="L6" s="52">
        <v>46246</v>
      </c>
      <c r="M6" s="52">
        <v>46246</v>
      </c>
      <c r="N6" s="21" t="s">
        <v>174</v>
      </c>
      <c r="O6" s="21" t="s">
        <v>166</v>
      </c>
      <c r="P6" s="21"/>
      <c r="Q6" s="21"/>
      <c r="R6" s="21"/>
      <c r="S6" s="21" t="s">
        <v>175</v>
      </c>
      <c r="T6" s="21" t="s">
        <v>167</v>
      </c>
      <c r="U6" s="21"/>
      <c r="V6" s="21" t="s">
        <v>186</v>
      </c>
      <c r="W6" s="36" t="s">
        <v>187</v>
      </c>
      <c r="X6" s="48"/>
      <c r="Y6" s="48"/>
    </row>
    <row r="7" spans="1:26" ht="60" x14ac:dyDescent="0.2">
      <c r="A7" s="50">
        <f t="shared" si="0"/>
        <v>6</v>
      </c>
      <c r="B7" s="21" t="s">
        <v>170</v>
      </c>
      <c r="C7" s="21"/>
      <c r="D7" s="21" t="s">
        <v>188</v>
      </c>
      <c r="E7" s="21" t="s">
        <v>109</v>
      </c>
      <c r="F7" s="21" t="s">
        <v>163</v>
      </c>
      <c r="G7" s="21" t="s">
        <v>164</v>
      </c>
      <c r="H7" s="21" t="s">
        <v>173</v>
      </c>
      <c r="I7" s="21"/>
      <c r="J7" s="51">
        <v>1</v>
      </c>
      <c r="K7" s="52">
        <v>46241</v>
      </c>
      <c r="L7" s="52">
        <v>46246</v>
      </c>
      <c r="M7" s="52">
        <v>46246</v>
      </c>
      <c r="N7" s="21" t="s">
        <v>174</v>
      </c>
      <c r="O7" s="21" t="s">
        <v>166</v>
      </c>
      <c r="P7" s="21"/>
      <c r="Q7" s="21"/>
      <c r="R7" s="21"/>
      <c r="S7" s="21" t="s">
        <v>175</v>
      </c>
      <c r="T7" s="21" t="s">
        <v>167</v>
      </c>
      <c r="U7" s="21"/>
      <c r="V7" s="21" t="s">
        <v>189</v>
      </c>
      <c r="W7" s="36" t="s">
        <v>190</v>
      </c>
      <c r="X7" s="48"/>
      <c r="Y7" s="48"/>
    </row>
    <row r="8" spans="1:26" ht="105" x14ac:dyDescent="0.2">
      <c r="A8" s="50">
        <f t="shared" si="0"/>
        <v>7</v>
      </c>
      <c r="B8" s="21" t="s">
        <v>170</v>
      </c>
      <c r="C8" s="21"/>
      <c r="D8" s="21" t="s">
        <v>191</v>
      </c>
      <c r="E8" s="21" t="s">
        <v>109</v>
      </c>
      <c r="F8" s="21" t="s">
        <v>163</v>
      </c>
      <c r="G8" s="21" t="s">
        <v>164</v>
      </c>
      <c r="H8" s="21" t="s">
        <v>173</v>
      </c>
      <c r="I8" s="21"/>
      <c r="J8" s="51">
        <v>1</v>
      </c>
      <c r="K8" s="52">
        <v>46244</v>
      </c>
      <c r="L8" s="52">
        <v>46244</v>
      </c>
      <c r="M8" s="52">
        <v>46244</v>
      </c>
      <c r="N8" s="21" t="s">
        <v>174</v>
      </c>
      <c r="O8" s="21" t="s">
        <v>166</v>
      </c>
      <c r="P8" s="21"/>
      <c r="Q8" s="21"/>
      <c r="R8" s="21"/>
      <c r="S8" s="21" t="s">
        <v>175</v>
      </c>
      <c r="T8" s="21" t="s">
        <v>167</v>
      </c>
      <c r="U8" s="21"/>
      <c r="V8" s="21"/>
      <c r="W8" s="36" t="s">
        <v>192</v>
      </c>
      <c r="X8" s="48"/>
      <c r="Y8" s="48"/>
    </row>
    <row r="9" spans="1:26" ht="30" x14ac:dyDescent="0.2">
      <c r="A9" s="50">
        <f t="shared" si="0"/>
        <v>8</v>
      </c>
      <c r="B9" s="21" t="s">
        <v>170</v>
      </c>
      <c r="C9" s="21"/>
      <c r="D9" s="21" t="s">
        <v>193</v>
      </c>
      <c r="E9" s="21" t="s">
        <v>109</v>
      </c>
      <c r="F9" s="21" t="s">
        <v>163</v>
      </c>
      <c r="G9" s="21" t="s">
        <v>179</v>
      </c>
      <c r="H9" s="21" t="s">
        <v>173</v>
      </c>
      <c r="I9" s="21"/>
      <c r="J9" s="51">
        <v>1</v>
      </c>
      <c r="K9" s="52">
        <v>46244</v>
      </c>
      <c r="L9" s="52">
        <v>46248</v>
      </c>
      <c r="M9" s="52">
        <v>46248</v>
      </c>
      <c r="N9" s="21" t="s">
        <v>174</v>
      </c>
      <c r="O9" s="21" t="s">
        <v>166</v>
      </c>
      <c r="P9" s="21"/>
      <c r="Q9" s="21"/>
      <c r="R9" s="21"/>
      <c r="S9" s="21" t="s">
        <v>175</v>
      </c>
      <c r="T9" s="21" t="s">
        <v>167</v>
      </c>
      <c r="U9" s="21"/>
      <c r="V9" s="21" t="s">
        <v>180</v>
      </c>
      <c r="W9" s="36" t="s">
        <v>194</v>
      </c>
      <c r="X9" s="48"/>
      <c r="Y9" s="48"/>
    </row>
    <row r="10" spans="1:26" ht="135" x14ac:dyDescent="0.2">
      <c r="A10" s="50">
        <f t="shared" si="0"/>
        <v>9</v>
      </c>
      <c r="B10" s="21" t="s">
        <v>170</v>
      </c>
      <c r="C10" s="21"/>
      <c r="D10" s="21" t="s">
        <v>195</v>
      </c>
      <c r="E10" s="21" t="s">
        <v>109</v>
      </c>
      <c r="F10" s="21" t="s">
        <v>163</v>
      </c>
      <c r="G10" s="21" t="s">
        <v>179</v>
      </c>
      <c r="H10" s="21" t="s">
        <v>173</v>
      </c>
      <c r="I10" s="21"/>
      <c r="J10" s="51">
        <v>1</v>
      </c>
      <c r="K10" s="52">
        <v>46244</v>
      </c>
      <c r="L10" s="52">
        <v>46248</v>
      </c>
      <c r="M10" s="52">
        <v>46248</v>
      </c>
      <c r="N10" s="21" t="s">
        <v>174</v>
      </c>
      <c r="O10" s="21" t="s">
        <v>166</v>
      </c>
      <c r="P10" s="21"/>
      <c r="Q10" s="21"/>
      <c r="R10" s="21"/>
      <c r="S10" s="21" t="s">
        <v>175</v>
      </c>
      <c r="T10" s="21" t="s">
        <v>167</v>
      </c>
      <c r="U10" s="21"/>
      <c r="V10" s="21"/>
      <c r="W10" s="36" t="s">
        <v>196</v>
      </c>
      <c r="X10" s="48"/>
      <c r="Y10" s="48"/>
    </row>
    <row r="11" spans="1:26" ht="120" x14ac:dyDescent="0.2">
      <c r="A11" s="50">
        <f t="shared" si="0"/>
        <v>10</v>
      </c>
      <c r="B11" s="21" t="s">
        <v>170</v>
      </c>
      <c r="C11" s="21"/>
      <c r="D11" s="21" t="s">
        <v>197</v>
      </c>
      <c r="E11" s="21" t="s">
        <v>109</v>
      </c>
      <c r="F11" s="21" t="s">
        <v>163</v>
      </c>
      <c r="G11" s="21" t="s">
        <v>179</v>
      </c>
      <c r="H11" s="21" t="s">
        <v>173</v>
      </c>
      <c r="I11" s="21"/>
      <c r="J11" s="51">
        <v>1</v>
      </c>
      <c r="K11" s="52">
        <v>46244</v>
      </c>
      <c r="L11" s="52">
        <v>46248</v>
      </c>
      <c r="M11" s="52">
        <v>46248</v>
      </c>
      <c r="N11" s="21" t="s">
        <v>174</v>
      </c>
      <c r="O11" s="21" t="s">
        <v>166</v>
      </c>
      <c r="P11" s="21"/>
      <c r="Q11" s="21"/>
      <c r="R11" s="21"/>
      <c r="S11" s="21" t="s">
        <v>175</v>
      </c>
      <c r="T11" s="21" t="s">
        <v>167</v>
      </c>
      <c r="U11" s="21"/>
      <c r="V11" s="21"/>
      <c r="W11" s="36" t="s">
        <v>198</v>
      </c>
      <c r="X11" s="48"/>
      <c r="Y11" s="48"/>
    </row>
    <row r="12" spans="1:26" ht="45" x14ac:dyDescent="0.2">
      <c r="A12" s="50">
        <f t="shared" si="0"/>
        <v>11</v>
      </c>
      <c r="B12" s="21" t="s">
        <v>170</v>
      </c>
      <c r="C12" s="21"/>
      <c r="D12" s="21" t="s">
        <v>199</v>
      </c>
      <c r="E12" s="21" t="s">
        <v>109</v>
      </c>
      <c r="F12" s="21" t="s">
        <v>163</v>
      </c>
      <c r="G12" s="21" t="s">
        <v>200</v>
      </c>
      <c r="H12" s="21" t="s">
        <v>173</v>
      </c>
      <c r="I12" s="21"/>
      <c r="J12" s="51">
        <v>1</v>
      </c>
      <c r="K12" s="52">
        <v>46245</v>
      </c>
      <c r="L12" s="52">
        <v>46245</v>
      </c>
      <c r="M12" s="52">
        <v>46245</v>
      </c>
      <c r="N12" s="21" t="s">
        <v>174</v>
      </c>
      <c r="O12" s="21" t="s">
        <v>166</v>
      </c>
      <c r="P12" s="21"/>
      <c r="Q12" s="21"/>
      <c r="R12" s="21"/>
      <c r="S12" s="21" t="s">
        <v>175</v>
      </c>
      <c r="T12" s="21" t="s">
        <v>167</v>
      </c>
      <c r="U12" s="21"/>
      <c r="V12" s="21"/>
      <c r="W12" s="36" t="s">
        <v>201</v>
      </c>
      <c r="X12" s="48"/>
      <c r="Y12" s="48"/>
    </row>
    <row r="13" spans="1:26" ht="165" x14ac:dyDescent="0.2">
      <c r="A13" s="50">
        <f t="shared" si="0"/>
        <v>12</v>
      </c>
      <c r="B13" s="21" t="s">
        <v>170</v>
      </c>
      <c r="C13" s="21"/>
      <c r="D13" s="21" t="s">
        <v>202</v>
      </c>
      <c r="E13" s="21" t="s">
        <v>109</v>
      </c>
      <c r="F13" s="21" t="s">
        <v>203</v>
      </c>
      <c r="G13" s="21" t="s">
        <v>179</v>
      </c>
      <c r="H13" s="21" t="s">
        <v>173</v>
      </c>
      <c r="I13" s="21"/>
      <c r="J13" s="51">
        <v>1</v>
      </c>
      <c r="K13" s="52">
        <v>46246</v>
      </c>
      <c r="L13" s="52">
        <v>46248</v>
      </c>
      <c r="M13" s="52">
        <v>46248</v>
      </c>
      <c r="N13" s="21" t="s">
        <v>174</v>
      </c>
      <c r="O13" s="21" t="s">
        <v>166</v>
      </c>
      <c r="P13" s="21"/>
      <c r="Q13" s="21"/>
      <c r="R13" s="21"/>
      <c r="S13" s="21" t="s">
        <v>175</v>
      </c>
      <c r="T13" s="21" t="s">
        <v>167</v>
      </c>
      <c r="U13" s="21"/>
      <c r="V13" s="21" t="s">
        <v>204</v>
      </c>
      <c r="W13" s="36" t="s">
        <v>205</v>
      </c>
      <c r="X13" s="48"/>
      <c r="Y13" s="48"/>
    </row>
    <row r="14" spans="1:26" ht="60" x14ac:dyDescent="0.2">
      <c r="A14" s="50">
        <f t="shared" si="0"/>
        <v>13</v>
      </c>
      <c r="B14" s="21" t="s">
        <v>74</v>
      </c>
      <c r="C14" s="21"/>
      <c r="D14" s="21" t="s">
        <v>206</v>
      </c>
      <c r="E14" s="21" t="s">
        <v>109</v>
      </c>
      <c r="F14" s="21" t="s">
        <v>163</v>
      </c>
      <c r="G14" s="21" t="s">
        <v>164</v>
      </c>
      <c r="H14" s="21" t="s">
        <v>165</v>
      </c>
      <c r="I14" s="21"/>
      <c r="J14" s="51">
        <v>1</v>
      </c>
      <c r="K14" s="52">
        <v>46247</v>
      </c>
      <c r="L14" s="52">
        <v>46252</v>
      </c>
      <c r="M14" s="52">
        <v>46252</v>
      </c>
      <c r="N14" s="21"/>
      <c r="O14" s="21" t="s">
        <v>166</v>
      </c>
      <c r="P14" s="21"/>
      <c r="Q14" s="21"/>
      <c r="R14" s="21" t="s">
        <v>167</v>
      </c>
      <c r="S14" s="21"/>
      <c r="T14" s="21"/>
      <c r="U14" s="21"/>
      <c r="V14" s="21"/>
      <c r="W14" s="36" t="s">
        <v>207</v>
      </c>
      <c r="X14" s="48"/>
      <c r="Y14" s="48"/>
    </row>
    <row r="15" spans="1:26" ht="150" x14ac:dyDescent="0.2">
      <c r="A15" s="50">
        <f t="shared" si="0"/>
        <v>14</v>
      </c>
      <c r="B15" s="21" t="s">
        <v>170</v>
      </c>
      <c r="C15" s="21"/>
      <c r="D15" s="21" t="s">
        <v>208</v>
      </c>
      <c r="E15" s="21" t="s">
        <v>109</v>
      </c>
      <c r="F15" s="21" t="s">
        <v>163</v>
      </c>
      <c r="G15" s="21" t="s">
        <v>179</v>
      </c>
      <c r="H15" s="21" t="s">
        <v>173</v>
      </c>
      <c r="I15" s="21"/>
      <c r="J15" s="51">
        <v>1</v>
      </c>
      <c r="K15" s="52">
        <v>46248</v>
      </c>
      <c r="L15" s="52">
        <v>46248</v>
      </c>
      <c r="M15" s="52">
        <v>46248</v>
      </c>
      <c r="N15" s="21" t="s">
        <v>174</v>
      </c>
      <c r="O15" s="21" t="s">
        <v>166</v>
      </c>
      <c r="P15" s="21"/>
      <c r="Q15" s="21"/>
      <c r="R15" s="21"/>
      <c r="S15" s="21" t="s">
        <v>175</v>
      </c>
      <c r="T15" s="21" t="s">
        <v>167</v>
      </c>
      <c r="U15" s="21"/>
      <c r="V15" s="21"/>
      <c r="W15" s="36" t="s">
        <v>209</v>
      </c>
      <c r="X15" s="48"/>
      <c r="Y15" s="48"/>
    </row>
    <row r="16" spans="1:26" ht="135" x14ac:dyDescent="0.2">
      <c r="A16" s="50">
        <f t="shared" si="0"/>
        <v>15</v>
      </c>
      <c r="B16" s="21" t="s">
        <v>170</v>
      </c>
      <c r="C16" s="21"/>
      <c r="D16" s="21" t="s">
        <v>210</v>
      </c>
      <c r="E16" s="21" t="s">
        <v>109</v>
      </c>
      <c r="F16" s="21" t="s">
        <v>163</v>
      </c>
      <c r="G16" s="21" t="s">
        <v>179</v>
      </c>
      <c r="H16" s="21" t="s">
        <v>173</v>
      </c>
      <c r="I16" s="21"/>
      <c r="J16" s="51">
        <v>1</v>
      </c>
      <c r="K16" s="52">
        <v>46248</v>
      </c>
      <c r="L16" s="52">
        <v>46252</v>
      </c>
      <c r="M16" s="52">
        <v>46252</v>
      </c>
      <c r="N16" s="21" t="s">
        <v>174</v>
      </c>
      <c r="O16" s="21" t="s">
        <v>166</v>
      </c>
      <c r="P16" s="21"/>
      <c r="Q16" s="21"/>
      <c r="R16" s="21"/>
      <c r="S16" s="21" t="s">
        <v>175</v>
      </c>
      <c r="T16" s="21" t="s">
        <v>167</v>
      </c>
      <c r="U16" s="21"/>
      <c r="V16" s="21"/>
      <c r="W16" s="36" t="s">
        <v>211</v>
      </c>
      <c r="X16" s="48"/>
      <c r="Y16" s="48"/>
    </row>
    <row r="17" spans="1:25" ht="60" x14ac:dyDescent="0.2">
      <c r="A17" s="50">
        <f t="shared" si="0"/>
        <v>16</v>
      </c>
      <c r="B17" s="21" t="s">
        <v>170</v>
      </c>
      <c r="C17" s="21"/>
      <c r="D17" s="21" t="s">
        <v>212</v>
      </c>
      <c r="E17" s="21" t="s">
        <v>109</v>
      </c>
      <c r="F17" s="21" t="s">
        <v>172</v>
      </c>
      <c r="G17" s="21" t="s">
        <v>179</v>
      </c>
      <c r="H17" s="21" t="s">
        <v>173</v>
      </c>
      <c r="I17" s="21"/>
      <c r="J17" s="51">
        <v>1</v>
      </c>
      <c r="K17" s="52">
        <v>46248</v>
      </c>
      <c r="L17" s="52">
        <v>46252</v>
      </c>
      <c r="M17" s="52">
        <v>46252</v>
      </c>
      <c r="N17" s="21" t="s">
        <v>174</v>
      </c>
      <c r="O17" s="21" t="s">
        <v>166</v>
      </c>
      <c r="P17" s="21"/>
      <c r="Q17" s="21"/>
      <c r="R17" s="21"/>
      <c r="S17" s="21" t="s">
        <v>175</v>
      </c>
      <c r="T17" s="21" t="s">
        <v>167</v>
      </c>
      <c r="U17" s="21"/>
      <c r="V17" s="21"/>
      <c r="W17" s="36" t="s">
        <v>213</v>
      </c>
      <c r="X17" s="48"/>
      <c r="Y17" s="48"/>
    </row>
    <row r="18" spans="1:25" ht="195" x14ac:dyDescent="0.2">
      <c r="A18" s="50">
        <f t="shared" si="0"/>
        <v>17</v>
      </c>
      <c r="B18" s="21" t="s">
        <v>170</v>
      </c>
      <c r="C18" s="21"/>
      <c r="D18" s="21" t="s">
        <v>214</v>
      </c>
      <c r="E18" s="21" t="s">
        <v>109</v>
      </c>
      <c r="F18" s="21" t="s">
        <v>163</v>
      </c>
      <c r="G18" s="21" t="s">
        <v>179</v>
      </c>
      <c r="H18" s="21" t="s">
        <v>173</v>
      </c>
      <c r="I18" s="21"/>
      <c r="J18" s="51">
        <v>1</v>
      </c>
      <c r="K18" s="52">
        <v>46248</v>
      </c>
      <c r="L18" s="52">
        <v>46253</v>
      </c>
      <c r="M18" s="52">
        <v>46249</v>
      </c>
      <c r="N18" s="21" t="s">
        <v>174</v>
      </c>
      <c r="O18" s="21" t="s">
        <v>166</v>
      </c>
      <c r="P18" s="21"/>
      <c r="Q18" s="21"/>
      <c r="R18" s="21"/>
      <c r="S18" s="21" t="s">
        <v>175</v>
      </c>
      <c r="T18" s="21" t="s">
        <v>167</v>
      </c>
      <c r="U18" s="21"/>
      <c r="V18" s="21" t="s">
        <v>215</v>
      </c>
      <c r="W18" s="36" t="s">
        <v>216</v>
      </c>
      <c r="X18" s="48"/>
      <c r="Y18" s="48"/>
    </row>
    <row r="19" spans="1:25" ht="135" x14ac:dyDescent="0.2">
      <c r="A19" s="50">
        <f t="shared" si="0"/>
        <v>18</v>
      </c>
      <c r="B19" s="21" t="s">
        <v>170</v>
      </c>
      <c r="C19" s="21"/>
      <c r="D19" s="21" t="s">
        <v>217</v>
      </c>
      <c r="E19" s="21" t="s">
        <v>109</v>
      </c>
      <c r="F19" s="21" t="s">
        <v>172</v>
      </c>
      <c r="G19" s="21" t="s">
        <v>179</v>
      </c>
      <c r="H19" s="21" t="s">
        <v>173</v>
      </c>
      <c r="I19" s="21"/>
      <c r="J19" s="51">
        <v>1</v>
      </c>
      <c r="K19" s="52">
        <v>46248</v>
      </c>
      <c r="L19" s="52">
        <v>46253</v>
      </c>
      <c r="M19" s="52">
        <v>46253</v>
      </c>
      <c r="N19" s="21" t="s">
        <v>174</v>
      </c>
      <c r="O19" s="21" t="s">
        <v>166</v>
      </c>
      <c r="P19" s="21"/>
      <c r="Q19" s="21"/>
      <c r="R19" s="21"/>
      <c r="S19" s="21" t="s">
        <v>175</v>
      </c>
      <c r="T19" s="21" t="s">
        <v>167</v>
      </c>
      <c r="U19" s="21"/>
      <c r="V19" s="21" t="s">
        <v>218</v>
      </c>
      <c r="W19" s="36" t="s">
        <v>219</v>
      </c>
      <c r="X19" s="48"/>
      <c r="Y19" s="48"/>
    </row>
    <row r="20" spans="1:25" ht="45" x14ac:dyDescent="0.2">
      <c r="A20" s="50">
        <f t="shared" si="0"/>
        <v>19</v>
      </c>
      <c r="B20" s="21" t="s">
        <v>74</v>
      </c>
      <c r="C20" s="21"/>
      <c r="D20" s="21" t="s">
        <v>220</v>
      </c>
      <c r="E20" s="21" t="s">
        <v>109</v>
      </c>
      <c r="F20" s="21" t="s">
        <v>163</v>
      </c>
      <c r="G20" s="21" t="s">
        <v>164</v>
      </c>
      <c r="H20" s="21" t="s">
        <v>165</v>
      </c>
      <c r="I20" s="21"/>
      <c r="J20" s="51">
        <v>1</v>
      </c>
      <c r="K20" s="52">
        <v>46252</v>
      </c>
      <c r="L20" s="52">
        <v>46254</v>
      </c>
      <c r="M20" s="52">
        <v>46254</v>
      </c>
      <c r="N20" s="21"/>
      <c r="O20" s="21" t="s">
        <v>166</v>
      </c>
      <c r="P20" s="21"/>
      <c r="Q20" s="21"/>
      <c r="R20" s="21" t="s">
        <v>167</v>
      </c>
      <c r="S20" s="21"/>
      <c r="T20" s="21"/>
      <c r="U20" s="21"/>
      <c r="V20" s="21"/>
      <c r="W20" s="36" t="s">
        <v>221</v>
      </c>
      <c r="X20" s="48"/>
      <c r="Y20" s="48"/>
    </row>
    <row r="21" spans="1:25" ht="135" x14ac:dyDescent="0.2">
      <c r="A21" s="50">
        <f t="shared" si="0"/>
        <v>20</v>
      </c>
      <c r="B21" s="21" t="s">
        <v>170</v>
      </c>
      <c r="C21" s="21"/>
      <c r="D21" s="21" t="s">
        <v>222</v>
      </c>
      <c r="E21" s="21" t="s">
        <v>109</v>
      </c>
      <c r="F21" s="21" t="s">
        <v>172</v>
      </c>
      <c r="G21" s="21" t="s">
        <v>179</v>
      </c>
      <c r="H21" s="21" t="s">
        <v>173</v>
      </c>
      <c r="I21" s="21"/>
      <c r="J21" s="51">
        <v>1</v>
      </c>
      <c r="K21" s="52">
        <v>46252</v>
      </c>
      <c r="L21" s="52">
        <v>46276</v>
      </c>
      <c r="M21" s="52">
        <v>46276</v>
      </c>
      <c r="N21" s="21" t="s">
        <v>174</v>
      </c>
      <c r="O21" s="21" t="s">
        <v>166</v>
      </c>
      <c r="P21" s="21"/>
      <c r="Q21" s="21"/>
      <c r="R21" s="21"/>
      <c r="S21" s="21" t="s">
        <v>175</v>
      </c>
      <c r="T21" s="21" t="s">
        <v>167</v>
      </c>
      <c r="U21" s="21"/>
      <c r="V21" s="21" t="s">
        <v>223</v>
      </c>
      <c r="W21" s="36" t="s">
        <v>224</v>
      </c>
      <c r="X21" s="48"/>
      <c r="Y21" s="48"/>
    </row>
    <row r="22" spans="1:25" ht="180" x14ac:dyDescent="0.2">
      <c r="A22" s="50">
        <f t="shared" si="0"/>
        <v>21</v>
      </c>
      <c r="B22" s="21" t="s">
        <v>170</v>
      </c>
      <c r="C22" s="21"/>
      <c r="D22" s="21" t="s">
        <v>225</v>
      </c>
      <c r="E22" s="21" t="s">
        <v>109</v>
      </c>
      <c r="F22" s="21" t="s">
        <v>172</v>
      </c>
      <c r="G22" s="21" t="s">
        <v>179</v>
      </c>
      <c r="H22" s="21" t="s">
        <v>173</v>
      </c>
      <c r="I22" s="21"/>
      <c r="J22" s="51">
        <v>1</v>
      </c>
      <c r="K22" s="52">
        <v>46254</v>
      </c>
      <c r="L22" s="52">
        <v>46254</v>
      </c>
      <c r="M22" s="52">
        <v>46254</v>
      </c>
      <c r="N22" s="21" t="s">
        <v>174</v>
      </c>
      <c r="O22" s="21" t="s">
        <v>166</v>
      </c>
      <c r="P22" s="21"/>
      <c r="Q22" s="21"/>
      <c r="R22" s="21"/>
      <c r="S22" s="21" t="s">
        <v>175</v>
      </c>
      <c r="T22" s="21" t="s">
        <v>167</v>
      </c>
      <c r="U22" s="21"/>
      <c r="V22" s="21"/>
      <c r="W22" s="36" t="s">
        <v>226</v>
      </c>
      <c r="X22" s="48"/>
      <c r="Y22" s="48"/>
    </row>
    <row r="23" spans="1:25" ht="105" x14ac:dyDescent="0.2">
      <c r="A23" s="50">
        <f t="shared" si="0"/>
        <v>22</v>
      </c>
      <c r="B23" s="21" t="s">
        <v>170</v>
      </c>
      <c r="C23" s="21"/>
      <c r="D23" s="21" t="s">
        <v>227</v>
      </c>
      <c r="E23" s="21" t="s">
        <v>109</v>
      </c>
      <c r="F23" s="21" t="s">
        <v>203</v>
      </c>
      <c r="G23" s="21" t="s">
        <v>179</v>
      </c>
      <c r="H23" s="21" t="s">
        <v>173</v>
      </c>
      <c r="I23" s="21"/>
      <c r="J23" s="51">
        <v>1</v>
      </c>
      <c r="K23" s="52">
        <v>46254</v>
      </c>
      <c r="L23" s="52">
        <v>46254</v>
      </c>
      <c r="M23" s="52">
        <v>46254</v>
      </c>
      <c r="N23" s="21" t="s">
        <v>174</v>
      </c>
      <c r="O23" s="21" t="s">
        <v>166</v>
      </c>
      <c r="P23" s="21"/>
      <c r="Q23" s="21"/>
      <c r="R23" s="21"/>
      <c r="S23" s="21" t="s">
        <v>175</v>
      </c>
      <c r="T23" s="21" t="s">
        <v>167</v>
      </c>
      <c r="U23" s="21"/>
      <c r="V23" s="21" t="s">
        <v>228</v>
      </c>
      <c r="W23" s="36" t="s">
        <v>229</v>
      </c>
      <c r="X23" s="48"/>
      <c r="Y23" s="48"/>
    </row>
    <row r="24" spans="1:25" ht="195" x14ac:dyDescent="0.2">
      <c r="A24" s="50">
        <f t="shared" si="0"/>
        <v>23</v>
      </c>
      <c r="B24" s="21" t="s">
        <v>170</v>
      </c>
      <c r="C24" s="21"/>
      <c r="D24" s="21" t="s">
        <v>230</v>
      </c>
      <c r="E24" s="21" t="s">
        <v>109</v>
      </c>
      <c r="F24" s="21" t="s">
        <v>172</v>
      </c>
      <c r="G24" s="21" t="s">
        <v>179</v>
      </c>
      <c r="H24" s="21" t="s">
        <v>173</v>
      </c>
      <c r="I24" s="21"/>
      <c r="J24" s="51">
        <v>1</v>
      </c>
      <c r="K24" s="52">
        <v>46254</v>
      </c>
      <c r="L24" s="52">
        <v>46255</v>
      </c>
      <c r="M24" s="52">
        <v>46255</v>
      </c>
      <c r="N24" s="21" t="s">
        <v>174</v>
      </c>
      <c r="O24" s="21" t="s">
        <v>166</v>
      </c>
      <c r="P24" s="21"/>
      <c r="Q24" s="21"/>
      <c r="R24" s="21"/>
      <c r="S24" s="21" t="s">
        <v>175</v>
      </c>
      <c r="T24" s="21" t="s">
        <v>167</v>
      </c>
      <c r="U24" s="21"/>
      <c r="V24" s="21"/>
      <c r="W24" s="36" t="s">
        <v>231</v>
      </c>
      <c r="X24" s="48"/>
      <c r="Y24" s="48"/>
    </row>
    <row r="25" spans="1:25" ht="210" x14ac:dyDescent="0.2">
      <c r="A25" s="50">
        <f t="shared" si="0"/>
        <v>24</v>
      </c>
      <c r="B25" s="21" t="s">
        <v>170</v>
      </c>
      <c r="C25" s="21"/>
      <c r="D25" s="21" t="s">
        <v>232</v>
      </c>
      <c r="E25" s="21" t="s">
        <v>109</v>
      </c>
      <c r="F25" s="21" t="s">
        <v>203</v>
      </c>
      <c r="G25" s="21" t="s">
        <v>179</v>
      </c>
      <c r="H25" s="21" t="s">
        <v>173</v>
      </c>
      <c r="I25" s="21"/>
      <c r="J25" s="51">
        <v>1</v>
      </c>
      <c r="K25" s="52">
        <v>46255</v>
      </c>
      <c r="L25" s="52">
        <v>46262</v>
      </c>
      <c r="M25" s="52">
        <v>46262</v>
      </c>
      <c r="N25" s="21" t="s">
        <v>174</v>
      </c>
      <c r="O25" s="21" t="s">
        <v>166</v>
      </c>
      <c r="P25" s="21"/>
      <c r="Q25" s="21"/>
      <c r="R25" s="21"/>
      <c r="S25" s="21" t="s">
        <v>175</v>
      </c>
      <c r="T25" s="21" t="s">
        <v>167</v>
      </c>
      <c r="U25" s="21"/>
      <c r="V25" s="21" t="s">
        <v>233</v>
      </c>
      <c r="W25" s="36"/>
      <c r="X25" s="48"/>
      <c r="Y25" s="48"/>
    </row>
    <row r="26" spans="1:25" ht="165" x14ac:dyDescent="0.2">
      <c r="A26" s="50">
        <f t="shared" si="0"/>
        <v>25</v>
      </c>
      <c r="B26" s="21" t="s">
        <v>170</v>
      </c>
      <c r="C26" s="21"/>
      <c r="D26" s="21" t="s">
        <v>234</v>
      </c>
      <c r="E26" s="21" t="s">
        <v>109</v>
      </c>
      <c r="F26" s="21" t="s">
        <v>172</v>
      </c>
      <c r="G26" s="21" t="s">
        <v>179</v>
      </c>
      <c r="H26" s="21" t="s">
        <v>173</v>
      </c>
      <c r="I26" s="21"/>
      <c r="J26" s="51">
        <v>1</v>
      </c>
      <c r="K26" s="52">
        <v>46258</v>
      </c>
      <c r="L26" s="52">
        <v>46258</v>
      </c>
      <c r="M26" s="52">
        <v>46258</v>
      </c>
      <c r="N26" s="21" t="s">
        <v>174</v>
      </c>
      <c r="O26" s="21" t="s">
        <v>166</v>
      </c>
      <c r="P26" s="21"/>
      <c r="Q26" s="21"/>
      <c r="R26" s="21"/>
      <c r="S26" s="21" t="s">
        <v>175</v>
      </c>
      <c r="T26" s="21" t="s">
        <v>167</v>
      </c>
      <c r="U26" s="21"/>
      <c r="V26" s="21"/>
      <c r="W26" s="36" t="s">
        <v>235</v>
      </c>
      <c r="X26" s="48"/>
      <c r="Y26" s="48"/>
    </row>
    <row r="27" spans="1:25" ht="60" x14ac:dyDescent="0.2">
      <c r="A27" s="50">
        <f t="shared" si="0"/>
        <v>26</v>
      </c>
      <c r="B27" s="21" t="s">
        <v>170</v>
      </c>
      <c r="C27" s="21"/>
      <c r="D27" s="21" t="s">
        <v>236</v>
      </c>
      <c r="E27" s="21" t="s">
        <v>109</v>
      </c>
      <c r="F27" s="21" t="s">
        <v>172</v>
      </c>
      <c r="G27" s="21" t="s">
        <v>179</v>
      </c>
      <c r="H27" s="21" t="s">
        <v>173</v>
      </c>
      <c r="I27" s="21"/>
      <c r="J27" s="51">
        <v>1</v>
      </c>
      <c r="K27" s="52">
        <v>46258</v>
      </c>
      <c r="L27" s="52">
        <v>46258</v>
      </c>
      <c r="M27" s="52">
        <v>46258</v>
      </c>
      <c r="N27" s="21" t="s">
        <v>174</v>
      </c>
      <c r="O27" s="21" t="s">
        <v>166</v>
      </c>
      <c r="P27" s="21"/>
      <c r="Q27" s="21"/>
      <c r="R27" s="21"/>
      <c r="S27" s="21" t="s">
        <v>175</v>
      </c>
      <c r="T27" s="21" t="s">
        <v>167</v>
      </c>
      <c r="U27" s="21"/>
      <c r="V27" s="21"/>
      <c r="W27" s="36" t="s">
        <v>237</v>
      </c>
      <c r="X27" s="48"/>
      <c r="Y27" s="48"/>
    </row>
    <row r="28" spans="1:25" ht="165" x14ac:dyDescent="0.2">
      <c r="A28" s="50">
        <f t="shared" si="0"/>
        <v>27</v>
      </c>
      <c r="B28" s="21" t="s">
        <v>170</v>
      </c>
      <c r="C28" s="21"/>
      <c r="D28" s="21" t="s">
        <v>238</v>
      </c>
      <c r="E28" s="21" t="s">
        <v>109</v>
      </c>
      <c r="F28" s="21" t="s">
        <v>172</v>
      </c>
      <c r="G28" s="21" t="s">
        <v>179</v>
      </c>
      <c r="H28" s="21" t="s">
        <v>173</v>
      </c>
      <c r="I28" s="21"/>
      <c r="J28" s="51">
        <v>1</v>
      </c>
      <c r="K28" s="52">
        <v>46258</v>
      </c>
      <c r="L28" s="52">
        <v>46260</v>
      </c>
      <c r="M28" s="52">
        <v>46260</v>
      </c>
      <c r="N28" s="21" t="s">
        <v>174</v>
      </c>
      <c r="O28" s="21" t="s">
        <v>166</v>
      </c>
      <c r="P28" s="21"/>
      <c r="Q28" s="21"/>
      <c r="R28" s="21"/>
      <c r="S28" s="21" t="s">
        <v>175</v>
      </c>
      <c r="T28" s="21" t="s">
        <v>167</v>
      </c>
      <c r="U28" s="21"/>
      <c r="V28" s="21"/>
      <c r="W28" s="36" t="s">
        <v>239</v>
      </c>
      <c r="X28" s="48"/>
      <c r="Y28" s="48"/>
    </row>
    <row r="29" spans="1:25" ht="165" x14ac:dyDescent="0.2">
      <c r="A29" s="50">
        <f t="shared" si="0"/>
        <v>28</v>
      </c>
      <c r="B29" s="21" t="s">
        <v>170</v>
      </c>
      <c r="C29" s="21"/>
      <c r="D29" s="21" t="s">
        <v>240</v>
      </c>
      <c r="E29" s="21" t="s">
        <v>109</v>
      </c>
      <c r="F29" s="21" t="s">
        <v>172</v>
      </c>
      <c r="G29" s="21" t="s">
        <v>179</v>
      </c>
      <c r="H29" s="21" t="s">
        <v>173</v>
      </c>
      <c r="I29" s="21"/>
      <c r="J29" s="51">
        <v>1</v>
      </c>
      <c r="K29" s="52">
        <v>46260</v>
      </c>
      <c r="L29" s="52">
        <v>46261</v>
      </c>
      <c r="M29" s="52">
        <v>46261</v>
      </c>
      <c r="N29" s="21" t="s">
        <v>174</v>
      </c>
      <c r="O29" s="21" t="s">
        <v>166</v>
      </c>
      <c r="P29" s="21"/>
      <c r="Q29" s="21"/>
      <c r="R29" s="21"/>
      <c r="S29" s="21" t="s">
        <v>175</v>
      </c>
      <c r="T29" s="21" t="s">
        <v>167</v>
      </c>
      <c r="U29" s="21"/>
      <c r="V29" s="21"/>
      <c r="W29" s="36" t="s">
        <v>241</v>
      </c>
      <c r="X29" s="48"/>
      <c r="Y29" s="48"/>
    </row>
    <row r="30" spans="1:25" ht="30" x14ac:dyDescent="0.2">
      <c r="A30" s="50">
        <f t="shared" si="0"/>
        <v>29</v>
      </c>
      <c r="B30" s="21" t="s">
        <v>74</v>
      </c>
      <c r="C30" s="21"/>
      <c r="D30" s="21" t="s">
        <v>242</v>
      </c>
      <c r="E30" s="69" t="s">
        <v>243</v>
      </c>
      <c r="F30" s="21" t="s">
        <v>172</v>
      </c>
      <c r="G30" s="21" t="s">
        <v>164</v>
      </c>
      <c r="H30" s="21" t="s">
        <v>165</v>
      </c>
      <c r="I30" s="21"/>
      <c r="J30" s="51">
        <v>0</v>
      </c>
      <c r="K30" s="52">
        <v>46260</v>
      </c>
      <c r="L30" s="52">
        <v>46262</v>
      </c>
      <c r="M30" s="52">
        <v>46262</v>
      </c>
      <c r="N30" s="21"/>
      <c r="O30" s="21" t="s">
        <v>166</v>
      </c>
      <c r="P30" s="21"/>
      <c r="Q30" s="21"/>
      <c r="R30" s="21" t="s">
        <v>167</v>
      </c>
      <c r="S30" s="21"/>
      <c r="T30" s="21"/>
      <c r="U30" s="21"/>
      <c r="V30" s="21" t="s">
        <v>244</v>
      </c>
      <c r="W30" s="36"/>
      <c r="X30" s="48"/>
      <c r="Y30" s="48"/>
    </row>
    <row r="31" spans="1:25" ht="165" x14ac:dyDescent="0.2">
      <c r="A31" s="50">
        <f t="shared" si="0"/>
        <v>30</v>
      </c>
      <c r="B31" s="21" t="s">
        <v>170</v>
      </c>
      <c r="C31" s="21"/>
      <c r="D31" s="21" t="s">
        <v>245</v>
      </c>
      <c r="E31" s="21" t="s">
        <v>109</v>
      </c>
      <c r="F31" s="21" t="s">
        <v>172</v>
      </c>
      <c r="G31" s="21" t="s">
        <v>179</v>
      </c>
      <c r="H31" s="21" t="s">
        <v>173</v>
      </c>
      <c r="I31" s="21"/>
      <c r="J31" s="51">
        <v>1</v>
      </c>
      <c r="K31" s="52">
        <v>46261</v>
      </c>
      <c r="L31" s="52">
        <v>46261</v>
      </c>
      <c r="M31" s="52">
        <v>46261</v>
      </c>
      <c r="N31" s="21" t="s">
        <v>174</v>
      </c>
      <c r="O31" s="21" t="s">
        <v>166</v>
      </c>
      <c r="P31" s="21"/>
      <c r="Q31" s="21"/>
      <c r="R31" s="21"/>
      <c r="S31" s="21" t="s">
        <v>175</v>
      </c>
      <c r="T31" s="21" t="s">
        <v>167</v>
      </c>
      <c r="U31" s="21"/>
      <c r="V31" s="21"/>
      <c r="W31" s="36" t="s">
        <v>239</v>
      </c>
      <c r="X31" s="48"/>
      <c r="Y31" s="48"/>
    </row>
    <row r="32" spans="1:25" ht="45" x14ac:dyDescent="0.2">
      <c r="A32" s="50">
        <f t="shared" si="0"/>
        <v>31</v>
      </c>
      <c r="B32" s="21" t="s">
        <v>170</v>
      </c>
      <c r="C32" s="21"/>
      <c r="D32" s="21" t="s">
        <v>246</v>
      </c>
      <c r="E32" s="21" t="s">
        <v>109</v>
      </c>
      <c r="F32" s="21" t="s">
        <v>203</v>
      </c>
      <c r="G32" s="21" t="s">
        <v>179</v>
      </c>
      <c r="H32" s="21" t="s">
        <v>173</v>
      </c>
      <c r="I32" s="21"/>
      <c r="J32" s="51">
        <v>1</v>
      </c>
      <c r="K32" s="52">
        <v>46262</v>
      </c>
      <c r="L32" s="52">
        <v>46262</v>
      </c>
      <c r="M32" s="52">
        <v>46262</v>
      </c>
      <c r="N32" s="21" t="s">
        <v>174</v>
      </c>
      <c r="O32" s="21" t="s">
        <v>166</v>
      </c>
      <c r="P32" s="21"/>
      <c r="Q32" s="21"/>
      <c r="R32" s="21"/>
      <c r="S32" s="21" t="s">
        <v>175</v>
      </c>
      <c r="T32" s="21" t="s">
        <v>167</v>
      </c>
      <c r="U32" s="21"/>
      <c r="V32" s="21" t="s">
        <v>247</v>
      </c>
      <c r="W32" s="36"/>
      <c r="X32" s="48"/>
      <c r="Y32" s="48"/>
    </row>
    <row r="33" spans="1:25" ht="30" x14ac:dyDescent="0.2">
      <c r="A33" s="50">
        <f t="shared" si="0"/>
        <v>32</v>
      </c>
      <c r="B33" s="21" t="s">
        <v>170</v>
      </c>
      <c r="C33" s="21"/>
      <c r="D33" s="21" t="s">
        <v>248</v>
      </c>
      <c r="E33" s="21" t="s">
        <v>109</v>
      </c>
      <c r="F33" s="21" t="s">
        <v>172</v>
      </c>
      <c r="G33" s="21" t="s">
        <v>179</v>
      </c>
      <c r="H33" s="21" t="s">
        <v>173</v>
      </c>
      <c r="I33" s="21"/>
      <c r="J33" s="51">
        <v>1</v>
      </c>
      <c r="K33" s="52">
        <v>46262</v>
      </c>
      <c r="L33" s="52">
        <v>46262</v>
      </c>
      <c r="M33" s="52">
        <v>46262</v>
      </c>
      <c r="N33" s="21" t="s">
        <v>174</v>
      </c>
      <c r="O33" s="21" t="s">
        <v>166</v>
      </c>
      <c r="P33" s="21"/>
      <c r="Q33" s="21"/>
      <c r="R33" s="21"/>
      <c r="S33" s="21" t="s">
        <v>175</v>
      </c>
      <c r="T33" s="21" t="s">
        <v>167</v>
      </c>
      <c r="U33" s="21"/>
      <c r="V33" s="21"/>
      <c r="W33" s="36" t="s">
        <v>249</v>
      </c>
      <c r="X33" s="48"/>
      <c r="Y33" s="48"/>
    </row>
    <row r="34" spans="1:25" ht="45" x14ac:dyDescent="0.2">
      <c r="A34" s="50">
        <f t="shared" si="0"/>
        <v>33</v>
      </c>
      <c r="B34" s="21" t="s">
        <v>170</v>
      </c>
      <c r="C34" s="21"/>
      <c r="D34" s="21" t="s">
        <v>250</v>
      </c>
      <c r="E34" s="21" t="s">
        <v>109</v>
      </c>
      <c r="F34" s="21" t="s">
        <v>163</v>
      </c>
      <c r="G34" s="21" t="s">
        <v>179</v>
      </c>
      <c r="H34" s="21" t="s">
        <v>173</v>
      </c>
      <c r="I34" s="21"/>
      <c r="J34" s="51">
        <v>1</v>
      </c>
      <c r="K34" s="52">
        <v>46265</v>
      </c>
      <c r="L34" s="52">
        <v>46265</v>
      </c>
      <c r="M34" s="52">
        <v>46265</v>
      </c>
      <c r="N34" s="21" t="s">
        <v>174</v>
      </c>
      <c r="O34" s="21" t="s">
        <v>166</v>
      </c>
      <c r="P34" s="21"/>
      <c r="Q34" s="21"/>
      <c r="R34" s="21"/>
      <c r="S34" s="21" t="s">
        <v>175</v>
      </c>
      <c r="T34" s="21" t="s">
        <v>167</v>
      </c>
      <c r="U34" s="21"/>
      <c r="V34" s="21" t="s">
        <v>251</v>
      </c>
      <c r="W34" s="36" t="s">
        <v>252</v>
      </c>
      <c r="X34" s="48"/>
      <c r="Y34" s="48"/>
    </row>
    <row r="35" spans="1:25" ht="60" x14ac:dyDescent="0.2">
      <c r="A35" s="50">
        <f t="shared" ref="A35:A66" si="1">IF(OR(D35&lt;&gt;"", B35&lt;&gt;""), ROW()-1, "")</f>
        <v>34</v>
      </c>
      <c r="B35" s="21" t="s">
        <v>170</v>
      </c>
      <c r="C35" s="21"/>
      <c r="D35" s="21" t="s">
        <v>253</v>
      </c>
      <c r="E35" s="21" t="s">
        <v>109</v>
      </c>
      <c r="F35" s="21" t="s">
        <v>172</v>
      </c>
      <c r="G35" s="21" t="s">
        <v>179</v>
      </c>
      <c r="H35" s="21" t="s">
        <v>173</v>
      </c>
      <c r="I35" s="21"/>
      <c r="J35" s="51">
        <v>1</v>
      </c>
      <c r="K35" s="52">
        <v>46265</v>
      </c>
      <c r="L35" s="52">
        <v>46266</v>
      </c>
      <c r="M35" s="52">
        <v>46266</v>
      </c>
      <c r="N35" s="21" t="s">
        <v>174</v>
      </c>
      <c r="O35" s="21" t="s">
        <v>166</v>
      </c>
      <c r="P35" s="21"/>
      <c r="Q35" s="21"/>
      <c r="R35" s="21"/>
      <c r="S35" s="21" t="s">
        <v>175</v>
      </c>
      <c r="T35" s="21" t="s">
        <v>167</v>
      </c>
      <c r="U35" s="21"/>
      <c r="V35" s="21"/>
      <c r="W35" s="36" t="s">
        <v>254</v>
      </c>
      <c r="X35" s="48"/>
      <c r="Y35" s="48"/>
    </row>
    <row r="36" spans="1:25" ht="150" x14ac:dyDescent="0.2">
      <c r="A36" s="50">
        <f t="shared" si="1"/>
        <v>35</v>
      </c>
      <c r="B36" s="21" t="s">
        <v>170</v>
      </c>
      <c r="C36" s="21"/>
      <c r="D36" s="21" t="s">
        <v>255</v>
      </c>
      <c r="E36" s="21" t="s">
        <v>109</v>
      </c>
      <c r="F36" s="21" t="s">
        <v>203</v>
      </c>
      <c r="G36" s="21" t="s">
        <v>179</v>
      </c>
      <c r="H36" s="21" t="s">
        <v>173</v>
      </c>
      <c r="I36" s="21"/>
      <c r="J36" s="51">
        <v>1</v>
      </c>
      <c r="K36" s="52">
        <v>46266</v>
      </c>
      <c r="L36" s="52">
        <v>46266</v>
      </c>
      <c r="M36" s="52">
        <v>46266</v>
      </c>
      <c r="N36" s="21" t="s">
        <v>174</v>
      </c>
      <c r="O36" s="21" t="s">
        <v>166</v>
      </c>
      <c r="P36" s="21"/>
      <c r="Q36" s="21"/>
      <c r="R36" s="21"/>
      <c r="S36" s="21" t="s">
        <v>175</v>
      </c>
      <c r="T36" s="21" t="s">
        <v>167</v>
      </c>
      <c r="U36" s="21"/>
      <c r="V36" s="21" t="s">
        <v>256</v>
      </c>
      <c r="W36" s="36" t="s">
        <v>257</v>
      </c>
      <c r="X36" s="48"/>
      <c r="Y36" s="48"/>
    </row>
    <row r="37" spans="1:25" ht="30" x14ac:dyDescent="0.2">
      <c r="A37" s="50">
        <f t="shared" si="1"/>
        <v>36</v>
      </c>
      <c r="B37" s="21" t="s">
        <v>170</v>
      </c>
      <c r="C37" s="21"/>
      <c r="D37" s="21" t="s">
        <v>258</v>
      </c>
      <c r="E37" s="21" t="s">
        <v>109</v>
      </c>
      <c r="F37" s="21" t="s">
        <v>203</v>
      </c>
      <c r="G37" s="21" t="s">
        <v>179</v>
      </c>
      <c r="H37" s="21" t="s">
        <v>173</v>
      </c>
      <c r="I37" s="21"/>
      <c r="J37" s="51">
        <v>1</v>
      </c>
      <c r="K37" s="52">
        <v>46267</v>
      </c>
      <c r="L37" s="52">
        <v>46267</v>
      </c>
      <c r="M37" s="52">
        <v>46267</v>
      </c>
      <c r="N37" s="21" t="s">
        <v>174</v>
      </c>
      <c r="O37" s="21" t="s">
        <v>166</v>
      </c>
      <c r="P37" s="21"/>
      <c r="Q37" s="21"/>
      <c r="R37" s="21"/>
      <c r="S37" s="21" t="s">
        <v>175</v>
      </c>
      <c r="T37" s="21" t="s">
        <v>167</v>
      </c>
      <c r="U37" s="21"/>
      <c r="V37" s="21"/>
      <c r="W37" s="36"/>
      <c r="X37" s="48"/>
      <c r="Y37" s="48"/>
    </row>
    <row r="38" spans="1:25" x14ac:dyDescent="0.2">
      <c r="A38" s="50">
        <f t="shared" si="1"/>
        <v>37</v>
      </c>
      <c r="B38" s="21" t="s">
        <v>170</v>
      </c>
      <c r="C38" s="21"/>
      <c r="D38" s="21" t="s">
        <v>259</v>
      </c>
      <c r="E38" s="21" t="s">
        <v>109</v>
      </c>
      <c r="F38" s="21" t="s">
        <v>203</v>
      </c>
      <c r="G38" s="21" t="s">
        <v>179</v>
      </c>
      <c r="H38" s="21" t="s">
        <v>173</v>
      </c>
      <c r="I38" s="21"/>
      <c r="J38" s="51">
        <v>1</v>
      </c>
      <c r="K38" s="52">
        <v>46267</v>
      </c>
      <c r="L38" s="52">
        <v>46267</v>
      </c>
      <c r="M38" s="52">
        <v>46267</v>
      </c>
      <c r="N38" s="21" t="s">
        <v>174</v>
      </c>
      <c r="O38" s="21" t="s">
        <v>166</v>
      </c>
      <c r="P38" s="21"/>
      <c r="Q38" s="21"/>
      <c r="R38" s="21"/>
      <c r="S38" s="21" t="s">
        <v>175</v>
      </c>
      <c r="T38" s="21" t="s">
        <v>167</v>
      </c>
      <c r="U38" s="21"/>
      <c r="V38" s="21"/>
      <c r="W38" s="36"/>
      <c r="X38" s="48"/>
      <c r="Y38" s="48"/>
    </row>
    <row r="39" spans="1:25" x14ac:dyDescent="0.2">
      <c r="A39" s="50">
        <f t="shared" si="1"/>
        <v>38</v>
      </c>
      <c r="B39" s="21" t="s">
        <v>170</v>
      </c>
      <c r="C39" s="21"/>
      <c r="D39" s="21" t="s">
        <v>260</v>
      </c>
      <c r="E39" s="21" t="s">
        <v>109</v>
      </c>
      <c r="F39" s="21" t="s">
        <v>203</v>
      </c>
      <c r="G39" s="21" t="s">
        <v>179</v>
      </c>
      <c r="H39" s="21" t="s">
        <v>173</v>
      </c>
      <c r="I39" s="21"/>
      <c r="J39" s="51">
        <v>1</v>
      </c>
      <c r="K39" s="52">
        <v>46268</v>
      </c>
      <c r="L39" s="52">
        <v>46268</v>
      </c>
      <c r="M39" s="52">
        <v>46268</v>
      </c>
      <c r="N39" s="21" t="s">
        <v>174</v>
      </c>
      <c r="O39" s="21" t="s">
        <v>166</v>
      </c>
      <c r="P39" s="21"/>
      <c r="Q39" s="21"/>
      <c r="R39" s="21"/>
      <c r="S39" s="21" t="s">
        <v>175</v>
      </c>
      <c r="T39" s="21" t="s">
        <v>167</v>
      </c>
      <c r="U39" s="21"/>
      <c r="V39" s="21"/>
      <c r="W39" s="36"/>
      <c r="X39" s="48"/>
      <c r="Y39" s="48"/>
    </row>
    <row r="40" spans="1:25" ht="150" x14ac:dyDescent="0.2">
      <c r="A40" s="50">
        <f t="shared" si="1"/>
        <v>39</v>
      </c>
      <c r="B40" s="21" t="s">
        <v>170</v>
      </c>
      <c r="C40" s="21"/>
      <c r="D40" s="21" t="s">
        <v>261</v>
      </c>
      <c r="E40" s="21" t="s">
        <v>109</v>
      </c>
      <c r="F40" s="21" t="s">
        <v>203</v>
      </c>
      <c r="G40" s="21" t="s">
        <v>179</v>
      </c>
      <c r="H40" s="21" t="s">
        <v>173</v>
      </c>
      <c r="I40" s="21"/>
      <c r="J40" s="51">
        <v>1</v>
      </c>
      <c r="K40" s="52">
        <v>46268</v>
      </c>
      <c r="L40" s="52">
        <v>46268</v>
      </c>
      <c r="M40" s="52">
        <v>46268</v>
      </c>
      <c r="N40" s="21" t="s">
        <v>174</v>
      </c>
      <c r="O40" s="21" t="s">
        <v>166</v>
      </c>
      <c r="P40" s="21"/>
      <c r="Q40" s="21"/>
      <c r="R40" s="21"/>
      <c r="S40" s="21" t="s">
        <v>175</v>
      </c>
      <c r="T40" s="21" t="s">
        <v>167</v>
      </c>
      <c r="U40" s="21"/>
      <c r="V40" s="21"/>
      <c r="W40" s="36" t="s">
        <v>262</v>
      </c>
      <c r="X40" s="48"/>
      <c r="Y40" s="48"/>
    </row>
    <row r="41" spans="1:25" ht="30" x14ac:dyDescent="0.2">
      <c r="A41" s="50">
        <f t="shared" si="1"/>
        <v>40</v>
      </c>
      <c r="B41" s="21" t="s">
        <v>170</v>
      </c>
      <c r="C41" s="21"/>
      <c r="D41" s="21" t="s">
        <v>263</v>
      </c>
      <c r="E41" s="21" t="s">
        <v>109</v>
      </c>
      <c r="F41" s="21" t="s">
        <v>203</v>
      </c>
      <c r="G41" s="21" t="s">
        <v>179</v>
      </c>
      <c r="H41" s="21" t="s">
        <v>173</v>
      </c>
      <c r="I41" s="21"/>
      <c r="J41" s="51">
        <v>1</v>
      </c>
      <c r="K41" s="52">
        <v>46268</v>
      </c>
      <c r="L41" s="52">
        <v>46269</v>
      </c>
      <c r="M41" s="52">
        <v>46269</v>
      </c>
      <c r="N41" s="21" t="s">
        <v>174</v>
      </c>
      <c r="O41" s="21" t="s">
        <v>166</v>
      </c>
      <c r="P41" s="21"/>
      <c r="Q41" s="21"/>
      <c r="R41" s="21"/>
      <c r="S41" s="21" t="s">
        <v>175</v>
      </c>
      <c r="T41" s="21" t="s">
        <v>167</v>
      </c>
      <c r="U41" s="21"/>
      <c r="V41" s="21"/>
      <c r="W41" s="36"/>
      <c r="X41" s="48"/>
      <c r="Y41" s="48"/>
    </row>
    <row r="42" spans="1:25" ht="30" x14ac:dyDescent="0.2">
      <c r="A42" s="50">
        <f t="shared" si="1"/>
        <v>41</v>
      </c>
      <c r="B42" s="21" t="s">
        <v>170</v>
      </c>
      <c r="C42" s="21"/>
      <c r="D42" s="21" t="s">
        <v>264</v>
      </c>
      <c r="E42" s="21" t="s">
        <v>109</v>
      </c>
      <c r="F42" s="21" t="s">
        <v>203</v>
      </c>
      <c r="G42" s="21" t="s">
        <v>179</v>
      </c>
      <c r="H42" s="21" t="s">
        <v>173</v>
      </c>
      <c r="I42" s="21"/>
      <c r="J42" s="51">
        <v>1</v>
      </c>
      <c r="K42" s="52">
        <v>46269</v>
      </c>
      <c r="L42" s="52">
        <v>46269</v>
      </c>
      <c r="M42" s="52">
        <v>46269</v>
      </c>
      <c r="N42" s="21" t="s">
        <v>174</v>
      </c>
      <c r="O42" s="21" t="s">
        <v>166</v>
      </c>
      <c r="P42" s="21"/>
      <c r="Q42" s="21"/>
      <c r="R42" s="21"/>
      <c r="S42" s="21" t="s">
        <v>175</v>
      </c>
      <c r="T42" s="21" t="s">
        <v>167</v>
      </c>
      <c r="U42" s="21"/>
      <c r="V42" s="21"/>
      <c r="W42" s="36"/>
      <c r="X42" s="48"/>
      <c r="Y42" s="48"/>
    </row>
    <row r="43" spans="1:25" ht="30" x14ac:dyDescent="0.2">
      <c r="A43" s="50">
        <f t="shared" si="1"/>
        <v>42</v>
      </c>
      <c r="B43" s="21" t="s">
        <v>170</v>
      </c>
      <c r="C43" s="21"/>
      <c r="D43" s="21" t="s">
        <v>265</v>
      </c>
      <c r="E43" s="21" t="s">
        <v>109</v>
      </c>
      <c r="F43" s="21" t="s">
        <v>203</v>
      </c>
      <c r="G43" s="21" t="s">
        <v>179</v>
      </c>
      <c r="H43" s="21" t="s">
        <v>173</v>
      </c>
      <c r="I43" s="21"/>
      <c r="J43" s="51">
        <v>1</v>
      </c>
      <c r="K43" s="52">
        <v>46269</v>
      </c>
      <c r="L43" s="52">
        <v>46269</v>
      </c>
      <c r="M43" s="52">
        <v>46269</v>
      </c>
      <c r="N43" s="21" t="s">
        <v>174</v>
      </c>
      <c r="O43" s="21" t="s">
        <v>166</v>
      </c>
      <c r="P43" s="21"/>
      <c r="Q43" s="21"/>
      <c r="R43" s="21"/>
      <c r="S43" s="21" t="s">
        <v>175</v>
      </c>
      <c r="T43" s="21" t="s">
        <v>167</v>
      </c>
      <c r="U43" s="21"/>
      <c r="V43" s="21"/>
      <c r="W43" s="36"/>
      <c r="X43" s="48"/>
      <c r="Y43" s="48"/>
    </row>
    <row r="44" spans="1:25" x14ac:dyDescent="0.2">
      <c r="A44" s="50">
        <f t="shared" si="1"/>
        <v>43</v>
      </c>
      <c r="B44" s="21" t="s">
        <v>170</v>
      </c>
      <c r="C44" s="21"/>
      <c r="D44" s="21" t="s">
        <v>266</v>
      </c>
      <c r="E44" s="21" t="s">
        <v>109</v>
      </c>
      <c r="F44" s="21" t="s">
        <v>203</v>
      </c>
      <c r="G44" s="21" t="s">
        <v>179</v>
      </c>
      <c r="H44" s="21" t="s">
        <v>173</v>
      </c>
      <c r="I44" s="21"/>
      <c r="J44" s="51">
        <v>1</v>
      </c>
      <c r="K44" s="52">
        <v>46269</v>
      </c>
      <c r="L44" s="52">
        <v>46269</v>
      </c>
      <c r="M44" s="52">
        <v>46269</v>
      </c>
      <c r="N44" s="21" t="s">
        <v>174</v>
      </c>
      <c r="O44" s="21" t="s">
        <v>166</v>
      </c>
      <c r="P44" s="21"/>
      <c r="Q44" s="21"/>
      <c r="R44" s="21"/>
      <c r="S44" s="21" t="s">
        <v>175</v>
      </c>
      <c r="T44" s="21" t="s">
        <v>167</v>
      </c>
      <c r="U44" s="21"/>
      <c r="V44" s="21"/>
      <c r="W44" s="36" t="s">
        <v>267</v>
      </c>
      <c r="X44" s="48"/>
      <c r="Y44" s="48"/>
    </row>
    <row r="45" spans="1:25" ht="30" x14ac:dyDescent="0.2">
      <c r="A45" s="50">
        <f t="shared" si="1"/>
        <v>44</v>
      </c>
      <c r="B45" s="21" t="s">
        <v>170</v>
      </c>
      <c r="C45" s="21"/>
      <c r="D45" s="21" t="s">
        <v>268</v>
      </c>
      <c r="E45" s="21" t="s">
        <v>109</v>
      </c>
      <c r="F45" s="21" t="s">
        <v>203</v>
      </c>
      <c r="G45" s="21" t="s">
        <v>179</v>
      </c>
      <c r="H45" s="21" t="s">
        <v>173</v>
      </c>
      <c r="I45" s="21"/>
      <c r="J45" s="51">
        <v>1</v>
      </c>
      <c r="K45" s="52">
        <v>46272</v>
      </c>
      <c r="L45" s="52">
        <v>46272</v>
      </c>
      <c r="M45" s="52">
        <v>46272</v>
      </c>
      <c r="N45" s="21" t="s">
        <v>174</v>
      </c>
      <c r="O45" s="21" t="s">
        <v>166</v>
      </c>
      <c r="P45" s="21"/>
      <c r="Q45" s="21"/>
      <c r="R45" s="21"/>
      <c r="S45" s="21" t="s">
        <v>175</v>
      </c>
      <c r="T45" s="21" t="s">
        <v>167</v>
      </c>
      <c r="U45" s="21"/>
      <c r="V45" s="21"/>
      <c r="W45" s="36"/>
      <c r="X45" s="48"/>
      <c r="Y45" s="48"/>
    </row>
    <row r="46" spans="1:25" ht="30" x14ac:dyDescent="0.2">
      <c r="A46" s="50">
        <f t="shared" si="1"/>
        <v>45</v>
      </c>
      <c r="B46" s="21" t="s">
        <v>170</v>
      </c>
      <c r="C46" s="21"/>
      <c r="D46" s="21" t="s">
        <v>269</v>
      </c>
      <c r="E46" s="21" t="s">
        <v>109</v>
      </c>
      <c r="F46" s="21" t="s">
        <v>203</v>
      </c>
      <c r="G46" s="21" t="s">
        <v>179</v>
      </c>
      <c r="H46" s="21" t="s">
        <v>173</v>
      </c>
      <c r="I46" s="21"/>
      <c r="J46" s="51">
        <v>1</v>
      </c>
      <c r="K46" s="52">
        <v>46272</v>
      </c>
      <c r="L46" s="52">
        <v>46273</v>
      </c>
      <c r="M46" s="52">
        <v>46273</v>
      </c>
      <c r="N46" s="21" t="s">
        <v>174</v>
      </c>
      <c r="O46" s="21" t="s">
        <v>166</v>
      </c>
      <c r="P46" s="21"/>
      <c r="Q46" s="21"/>
      <c r="R46" s="21"/>
      <c r="S46" s="21" t="s">
        <v>175</v>
      </c>
      <c r="T46" s="21" t="s">
        <v>167</v>
      </c>
      <c r="U46" s="21"/>
      <c r="V46" s="21"/>
      <c r="W46" s="36"/>
      <c r="X46" s="48"/>
      <c r="Y46" s="48"/>
    </row>
    <row r="47" spans="1:25" x14ac:dyDescent="0.2">
      <c r="A47" s="50">
        <f t="shared" si="1"/>
        <v>46</v>
      </c>
      <c r="B47" s="21" t="s">
        <v>170</v>
      </c>
      <c r="C47" s="21"/>
      <c r="D47" s="21" t="s">
        <v>270</v>
      </c>
      <c r="E47" s="21" t="s">
        <v>109</v>
      </c>
      <c r="F47" s="21" t="s">
        <v>203</v>
      </c>
      <c r="G47" s="21" t="s">
        <v>179</v>
      </c>
      <c r="H47" s="21" t="s">
        <v>173</v>
      </c>
      <c r="I47" s="21"/>
      <c r="J47" s="51">
        <v>1</v>
      </c>
      <c r="K47" s="52">
        <v>46272</v>
      </c>
      <c r="L47" s="52">
        <v>46276</v>
      </c>
      <c r="M47" s="52">
        <v>46276</v>
      </c>
      <c r="N47" s="21" t="s">
        <v>174</v>
      </c>
      <c r="O47" s="21" t="s">
        <v>166</v>
      </c>
      <c r="P47" s="21"/>
      <c r="Q47" s="21"/>
      <c r="R47" s="21"/>
      <c r="S47" s="21" t="s">
        <v>175</v>
      </c>
      <c r="T47" s="21" t="s">
        <v>167</v>
      </c>
      <c r="U47" s="21"/>
      <c r="V47" s="21"/>
      <c r="W47" s="36"/>
      <c r="X47" s="48"/>
      <c r="Y47" s="48"/>
    </row>
    <row r="48" spans="1:25" ht="30" x14ac:dyDescent="0.2">
      <c r="A48" s="50">
        <f t="shared" si="1"/>
        <v>47</v>
      </c>
      <c r="B48" s="21" t="s">
        <v>170</v>
      </c>
      <c r="C48" s="21"/>
      <c r="D48" s="21" t="s">
        <v>271</v>
      </c>
      <c r="E48" s="21" t="s">
        <v>109</v>
      </c>
      <c r="F48" s="21" t="s">
        <v>203</v>
      </c>
      <c r="G48" s="21" t="s">
        <v>179</v>
      </c>
      <c r="H48" s="21" t="s">
        <v>173</v>
      </c>
      <c r="I48" s="21"/>
      <c r="J48" s="51">
        <v>1</v>
      </c>
      <c r="K48" s="52">
        <v>46273</v>
      </c>
      <c r="L48" s="52">
        <v>46273</v>
      </c>
      <c r="M48" s="52">
        <v>46273</v>
      </c>
      <c r="N48" s="21" t="s">
        <v>174</v>
      </c>
      <c r="O48" s="21" t="s">
        <v>166</v>
      </c>
      <c r="P48" s="21"/>
      <c r="Q48" s="21"/>
      <c r="R48" s="21"/>
      <c r="S48" s="21" t="s">
        <v>175</v>
      </c>
      <c r="T48" s="21" t="s">
        <v>167</v>
      </c>
      <c r="U48" s="21"/>
      <c r="V48" s="21"/>
      <c r="W48" s="36" t="s">
        <v>272</v>
      </c>
      <c r="X48" s="48"/>
      <c r="Y48" s="48"/>
    </row>
    <row r="49" spans="1:25" ht="30" x14ac:dyDescent="0.2">
      <c r="A49" s="50">
        <f t="shared" si="1"/>
        <v>48</v>
      </c>
      <c r="B49" s="21" t="s">
        <v>74</v>
      </c>
      <c r="C49" s="21"/>
      <c r="D49" s="21" t="s">
        <v>273</v>
      </c>
      <c r="E49" s="69" t="s">
        <v>243</v>
      </c>
      <c r="F49" s="21" t="s">
        <v>163</v>
      </c>
      <c r="G49" s="21" t="s">
        <v>164</v>
      </c>
      <c r="H49" s="21" t="s">
        <v>165</v>
      </c>
      <c r="I49" s="21"/>
      <c r="J49" s="51">
        <v>0</v>
      </c>
      <c r="K49" s="52">
        <v>46275</v>
      </c>
      <c r="L49" s="52">
        <v>46275</v>
      </c>
      <c r="M49" s="52">
        <v>46275</v>
      </c>
      <c r="N49" s="21"/>
      <c r="O49" s="21" t="s">
        <v>166</v>
      </c>
      <c r="P49" s="21"/>
      <c r="Q49" s="21"/>
      <c r="R49" s="21" t="s">
        <v>167</v>
      </c>
      <c r="S49" s="21"/>
      <c r="T49" s="21"/>
      <c r="U49" s="21"/>
      <c r="V49" s="21"/>
      <c r="W49" s="36"/>
      <c r="X49" s="48"/>
      <c r="Y49" s="48"/>
    </row>
    <row r="50" spans="1:25" ht="30" x14ac:dyDescent="0.2">
      <c r="A50" s="50">
        <f t="shared" si="1"/>
        <v>49</v>
      </c>
      <c r="B50" s="21" t="s">
        <v>74</v>
      </c>
      <c r="C50" s="21"/>
      <c r="D50" s="21" t="s">
        <v>274</v>
      </c>
      <c r="E50" s="69" t="s">
        <v>243</v>
      </c>
      <c r="F50" s="21" t="s">
        <v>163</v>
      </c>
      <c r="G50" s="21" t="s">
        <v>164</v>
      </c>
      <c r="H50" s="21" t="s">
        <v>165</v>
      </c>
      <c r="I50" s="21"/>
      <c r="J50" s="51">
        <v>0</v>
      </c>
      <c r="K50" s="52">
        <v>46275</v>
      </c>
      <c r="L50" s="52">
        <v>46275</v>
      </c>
      <c r="M50" s="52">
        <v>46275</v>
      </c>
      <c r="N50" s="21"/>
      <c r="O50" s="21" t="s">
        <v>166</v>
      </c>
      <c r="P50" s="21"/>
      <c r="Q50" s="21"/>
      <c r="R50" s="21" t="s">
        <v>167</v>
      </c>
      <c r="S50" s="21"/>
      <c r="T50" s="21"/>
      <c r="U50" s="21"/>
      <c r="V50" s="21"/>
      <c r="W50" s="36"/>
      <c r="X50" s="48"/>
      <c r="Y50" s="48"/>
    </row>
    <row r="51" spans="1:25" ht="30" x14ac:dyDescent="0.2">
      <c r="A51" s="50">
        <f t="shared" si="1"/>
        <v>50</v>
      </c>
      <c r="B51" s="21" t="s">
        <v>170</v>
      </c>
      <c r="C51" s="21"/>
      <c r="D51" s="21" t="s">
        <v>275</v>
      </c>
      <c r="E51" s="21" t="s">
        <v>109</v>
      </c>
      <c r="F51" s="21" t="s">
        <v>203</v>
      </c>
      <c r="G51" s="21" t="s">
        <v>179</v>
      </c>
      <c r="H51" s="21" t="s">
        <v>173</v>
      </c>
      <c r="I51" s="21"/>
      <c r="J51" s="51">
        <v>1</v>
      </c>
      <c r="K51" s="52">
        <v>46275</v>
      </c>
      <c r="L51" s="52">
        <v>46276</v>
      </c>
      <c r="M51" s="52">
        <v>46276</v>
      </c>
      <c r="N51" s="21" t="s">
        <v>174</v>
      </c>
      <c r="O51" s="21" t="s">
        <v>166</v>
      </c>
      <c r="P51" s="21"/>
      <c r="Q51" s="21"/>
      <c r="R51" s="21"/>
      <c r="S51" s="21" t="s">
        <v>175</v>
      </c>
      <c r="T51" s="21" t="s">
        <v>167</v>
      </c>
      <c r="U51" s="21"/>
      <c r="V51" s="21" t="s">
        <v>276</v>
      </c>
      <c r="W51" s="36" t="s">
        <v>277</v>
      </c>
      <c r="X51" s="48"/>
      <c r="Y51" s="48"/>
    </row>
    <row r="52" spans="1:25" ht="30" x14ac:dyDescent="0.2">
      <c r="A52" s="50">
        <f t="shared" si="1"/>
        <v>51</v>
      </c>
      <c r="B52" s="21" t="s">
        <v>170</v>
      </c>
      <c r="C52" s="21"/>
      <c r="D52" s="21" t="s">
        <v>278</v>
      </c>
      <c r="E52" s="21" t="s">
        <v>109</v>
      </c>
      <c r="F52" s="21" t="s">
        <v>203</v>
      </c>
      <c r="G52" s="21" t="s">
        <v>179</v>
      </c>
      <c r="H52" s="21" t="s">
        <v>173</v>
      </c>
      <c r="I52" s="21"/>
      <c r="J52" s="51">
        <v>1</v>
      </c>
      <c r="K52" s="52">
        <v>46275</v>
      </c>
      <c r="L52" s="52">
        <v>46276</v>
      </c>
      <c r="M52" s="52">
        <v>46276</v>
      </c>
      <c r="N52" s="21" t="s">
        <v>174</v>
      </c>
      <c r="O52" s="21" t="s">
        <v>166</v>
      </c>
      <c r="P52" s="21"/>
      <c r="Q52" s="21"/>
      <c r="R52" s="21"/>
      <c r="S52" s="21" t="s">
        <v>175</v>
      </c>
      <c r="T52" s="21" t="s">
        <v>167</v>
      </c>
      <c r="U52" s="21"/>
      <c r="V52" s="21" t="s">
        <v>279</v>
      </c>
      <c r="W52" s="36"/>
      <c r="X52" s="48"/>
      <c r="Y52" s="48"/>
    </row>
    <row r="53" spans="1:25" ht="150" x14ac:dyDescent="0.2">
      <c r="A53" s="50">
        <f t="shared" si="1"/>
        <v>52</v>
      </c>
      <c r="B53" s="21" t="s">
        <v>170</v>
      </c>
      <c r="C53" s="21"/>
      <c r="D53" s="21" t="s">
        <v>280</v>
      </c>
      <c r="E53" s="21" t="s">
        <v>109</v>
      </c>
      <c r="F53" s="21" t="s">
        <v>172</v>
      </c>
      <c r="G53" s="21" t="s">
        <v>179</v>
      </c>
      <c r="H53" s="21" t="s">
        <v>173</v>
      </c>
      <c r="I53" s="21"/>
      <c r="J53" s="51">
        <v>1</v>
      </c>
      <c r="K53" s="52">
        <v>46275</v>
      </c>
      <c r="L53" s="52">
        <v>46276</v>
      </c>
      <c r="M53" s="52">
        <v>46276</v>
      </c>
      <c r="N53" s="21" t="s">
        <v>174</v>
      </c>
      <c r="O53" s="21" t="s">
        <v>166</v>
      </c>
      <c r="P53" s="21"/>
      <c r="Q53" s="21"/>
      <c r="R53" s="21"/>
      <c r="S53" s="21" t="s">
        <v>175</v>
      </c>
      <c r="T53" s="21" t="s">
        <v>167</v>
      </c>
      <c r="U53" s="21"/>
      <c r="V53" s="21"/>
      <c r="W53" s="36" t="s">
        <v>281</v>
      </c>
      <c r="X53" s="48"/>
      <c r="Y53" s="48"/>
    </row>
    <row r="54" spans="1:25" ht="30" x14ac:dyDescent="0.2">
      <c r="A54" s="50">
        <f t="shared" si="1"/>
        <v>53</v>
      </c>
      <c r="B54" s="21" t="s">
        <v>170</v>
      </c>
      <c r="C54" s="21"/>
      <c r="D54" s="21" t="s">
        <v>282</v>
      </c>
      <c r="E54" s="21" t="s">
        <v>109</v>
      </c>
      <c r="F54" s="21" t="s">
        <v>203</v>
      </c>
      <c r="G54" s="21" t="s">
        <v>179</v>
      </c>
      <c r="H54" s="21" t="s">
        <v>173</v>
      </c>
      <c r="I54" s="21"/>
      <c r="J54" s="51">
        <v>1</v>
      </c>
      <c r="K54" s="52">
        <v>46276</v>
      </c>
      <c r="L54" s="52">
        <v>46276</v>
      </c>
      <c r="M54" s="52">
        <v>46276</v>
      </c>
      <c r="N54" s="21" t="s">
        <v>174</v>
      </c>
      <c r="O54" s="21" t="s">
        <v>166</v>
      </c>
      <c r="P54" s="21"/>
      <c r="Q54" s="21"/>
      <c r="R54" s="21"/>
      <c r="S54" s="21" t="s">
        <v>175</v>
      </c>
      <c r="T54" s="21" t="s">
        <v>167</v>
      </c>
      <c r="U54" s="21"/>
      <c r="V54" s="21"/>
      <c r="W54" s="36"/>
      <c r="X54" s="48"/>
      <c r="Y54" s="48"/>
    </row>
    <row r="55" spans="1:25" ht="45" x14ac:dyDescent="0.2">
      <c r="A55" s="50">
        <f t="shared" si="1"/>
        <v>54</v>
      </c>
      <c r="B55" s="21" t="s">
        <v>170</v>
      </c>
      <c r="C55" s="21"/>
      <c r="D55" s="21" t="s">
        <v>283</v>
      </c>
      <c r="E55" s="21" t="s">
        <v>109</v>
      </c>
      <c r="F55" s="21" t="s">
        <v>203</v>
      </c>
      <c r="G55" s="21" t="s">
        <v>179</v>
      </c>
      <c r="H55" s="21" t="s">
        <v>173</v>
      </c>
      <c r="I55" s="21"/>
      <c r="J55" s="51">
        <v>1</v>
      </c>
      <c r="K55" s="52">
        <v>46276</v>
      </c>
      <c r="L55" s="52">
        <v>46276</v>
      </c>
      <c r="M55" s="52">
        <v>46276</v>
      </c>
      <c r="N55" s="21" t="s">
        <v>174</v>
      </c>
      <c r="O55" s="21" t="s">
        <v>166</v>
      </c>
      <c r="P55" s="21"/>
      <c r="Q55" s="21"/>
      <c r="R55" s="21"/>
      <c r="S55" s="21" t="s">
        <v>175</v>
      </c>
      <c r="T55" s="21" t="s">
        <v>167</v>
      </c>
      <c r="U55" s="21"/>
      <c r="V55" s="21"/>
      <c r="W55" s="36" t="s">
        <v>284</v>
      </c>
      <c r="X55" s="48"/>
      <c r="Y55" s="48"/>
    </row>
    <row r="56" spans="1:25" ht="60" x14ac:dyDescent="0.2">
      <c r="A56" s="50">
        <f t="shared" si="1"/>
        <v>55</v>
      </c>
      <c r="B56" s="21" t="s">
        <v>170</v>
      </c>
      <c r="C56" s="21"/>
      <c r="D56" s="21" t="s">
        <v>285</v>
      </c>
      <c r="E56" s="21" t="s">
        <v>109</v>
      </c>
      <c r="F56" s="21" t="s">
        <v>172</v>
      </c>
      <c r="G56" s="21" t="s">
        <v>179</v>
      </c>
      <c r="H56" s="21" t="s">
        <v>173</v>
      </c>
      <c r="I56" s="21"/>
      <c r="J56" s="51">
        <v>1</v>
      </c>
      <c r="K56" s="52">
        <v>46280</v>
      </c>
      <c r="L56" s="52">
        <v>46283</v>
      </c>
      <c r="M56" s="52">
        <v>46283</v>
      </c>
      <c r="N56" s="21" t="s">
        <v>174</v>
      </c>
      <c r="O56" s="21" t="s">
        <v>166</v>
      </c>
      <c r="P56" s="21"/>
      <c r="Q56" s="21"/>
      <c r="R56" s="21"/>
      <c r="S56" s="21" t="s">
        <v>175</v>
      </c>
      <c r="T56" s="21" t="s">
        <v>167</v>
      </c>
      <c r="U56" s="21"/>
      <c r="V56" s="21" t="s">
        <v>286</v>
      </c>
      <c r="W56" s="36"/>
      <c r="X56" s="48"/>
      <c r="Y56" s="48"/>
    </row>
    <row r="57" spans="1:25" x14ac:dyDescent="0.2">
      <c r="A57" s="50">
        <f t="shared" si="1"/>
        <v>56</v>
      </c>
      <c r="B57" s="21" t="s">
        <v>287</v>
      </c>
      <c r="C57" s="21"/>
      <c r="D57" s="21" t="s">
        <v>288</v>
      </c>
      <c r="E57" s="21" t="s">
        <v>109</v>
      </c>
      <c r="F57" s="21" t="s">
        <v>172</v>
      </c>
      <c r="G57" s="21" t="s">
        <v>179</v>
      </c>
      <c r="H57" s="21" t="s">
        <v>173</v>
      </c>
      <c r="I57" s="21"/>
      <c r="J57" s="51">
        <v>1</v>
      </c>
      <c r="K57" s="52">
        <v>46280</v>
      </c>
      <c r="L57" s="52">
        <v>46283</v>
      </c>
      <c r="M57" s="52">
        <v>46283</v>
      </c>
      <c r="N57" s="21" t="s">
        <v>174</v>
      </c>
      <c r="O57" s="21" t="s">
        <v>166</v>
      </c>
      <c r="P57" s="21"/>
      <c r="Q57" s="21"/>
      <c r="R57" s="21"/>
      <c r="S57" s="21" t="s">
        <v>175</v>
      </c>
      <c r="T57" s="21" t="s">
        <v>167</v>
      </c>
      <c r="U57" s="21"/>
      <c r="V57" s="21"/>
      <c r="W57" s="36"/>
      <c r="X57" s="48"/>
      <c r="Y57" s="48"/>
    </row>
    <row r="58" spans="1:25" ht="45" x14ac:dyDescent="0.2">
      <c r="A58" s="50">
        <f t="shared" si="1"/>
        <v>57</v>
      </c>
      <c r="B58" s="21" t="s">
        <v>287</v>
      </c>
      <c r="C58" s="21"/>
      <c r="D58" s="21" t="s">
        <v>289</v>
      </c>
      <c r="E58" s="21" t="s">
        <v>109</v>
      </c>
      <c r="F58" s="21" t="s">
        <v>172</v>
      </c>
      <c r="G58" s="21" t="s">
        <v>179</v>
      </c>
      <c r="H58" s="21" t="s">
        <v>173</v>
      </c>
      <c r="I58" s="21"/>
      <c r="J58" s="51">
        <v>1</v>
      </c>
      <c r="K58" s="52">
        <v>46280</v>
      </c>
      <c r="L58" s="52">
        <v>46280</v>
      </c>
      <c r="M58" s="52">
        <v>46280</v>
      </c>
      <c r="N58" s="21" t="s">
        <v>174</v>
      </c>
      <c r="O58" s="21" t="s">
        <v>166</v>
      </c>
      <c r="P58" s="21"/>
      <c r="Q58" s="21"/>
      <c r="R58" s="21"/>
      <c r="S58" s="21" t="s">
        <v>175</v>
      </c>
      <c r="T58" s="21" t="s">
        <v>167</v>
      </c>
      <c r="U58" s="21"/>
      <c r="V58" s="21"/>
      <c r="W58" s="36" t="s">
        <v>290</v>
      </c>
      <c r="X58" s="48"/>
      <c r="Y58" s="48"/>
    </row>
    <row r="59" spans="1:25" ht="30" x14ac:dyDescent="0.2">
      <c r="A59" s="50">
        <f t="shared" si="1"/>
        <v>58</v>
      </c>
      <c r="B59" s="21" t="s">
        <v>287</v>
      </c>
      <c r="C59" s="21"/>
      <c r="D59" s="21" t="s">
        <v>291</v>
      </c>
      <c r="E59" s="21" t="s">
        <v>109</v>
      </c>
      <c r="F59" s="21" t="s">
        <v>172</v>
      </c>
      <c r="G59" s="21" t="s">
        <v>179</v>
      </c>
      <c r="H59" s="21" t="s">
        <v>173</v>
      </c>
      <c r="I59" s="21"/>
      <c r="J59" s="51">
        <v>1</v>
      </c>
      <c r="K59" s="52">
        <v>46280</v>
      </c>
      <c r="L59" s="52">
        <v>46283</v>
      </c>
      <c r="M59" s="52">
        <v>46283</v>
      </c>
      <c r="N59" s="21" t="s">
        <v>174</v>
      </c>
      <c r="O59" s="21" t="s">
        <v>166</v>
      </c>
      <c r="P59" s="21"/>
      <c r="Q59" s="21"/>
      <c r="R59" s="21"/>
      <c r="S59" s="21" t="s">
        <v>175</v>
      </c>
      <c r="T59" s="21" t="s">
        <v>167</v>
      </c>
      <c r="U59" s="21"/>
      <c r="V59" s="21" t="s">
        <v>292</v>
      </c>
      <c r="W59" s="36"/>
      <c r="X59" s="48"/>
      <c r="Y59" s="48"/>
    </row>
    <row r="60" spans="1:25" ht="30" x14ac:dyDescent="0.2">
      <c r="A60" s="50">
        <f t="shared" si="1"/>
        <v>59</v>
      </c>
      <c r="B60" s="53" t="s">
        <v>170</v>
      </c>
      <c r="C60" s="53"/>
      <c r="D60" s="54" t="s">
        <v>293</v>
      </c>
      <c r="E60" s="53" t="s">
        <v>109</v>
      </c>
      <c r="F60" s="53" t="s">
        <v>294</v>
      </c>
      <c r="G60" s="53" t="s">
        <v>179</v>
      </c>
      <c r="H60" s="53" t="s">
        <v>173</v>
      </c>
      <c r="I60" s="53"/>
      <c r="J60" s="55">
        <v>1</v>
      </c>
      <c r="K60" s="56">
        <v>46281</v>
      </c>
      <c r="L60" s="56">
        <v>46281</v>
      </c>
      <c r="M60" s="56">
        <v>46281</v>
      </c>
      <c r="N60" s="21" t="s">
        <v>174</v>
      </c>
      <c r="O60" s="21" t="s">
        <v>166</v>
      </c>
      <c r="P60" s="21"/>
      <c r="Q60" s="21"/>
      <c r="R60" s="21"/>
      <c r="S60" s="21" t="s">
        <v>175</v>
      </c>
      <c r="T60" s="21" t="s">
        <v>167</v>
      </c>
      <c r="U60" s="21"/>
      <c r="V60" s="21"/>
      <c r="W60" s="36"/>
      <c r="X60" s="48"/>
      <c r="Y60" s="48"/>
    </row>
    <row r="61" spans="1:25" ht="30" x14ac:dyDescent="0.2">
      <c r="A61" s="50">
        <f t="shared" si="1"/>
        <v>60</v>
      </c>
      <c r="B61" s="21" t="s">
        <v>287</v>
      </c>
      <c r="C61" s="57"/>
      <c r="D61" s="57" t="s">
        <v>295</v>
      </c>
      <c r="E61" s="70" t="s">
        <v>109</v>
      </c>
      <c r="F61" s="21" t="s">
        <v>172</v>
      </c>
      <c r="G61" s="21" t="s">
        <v>179</v>
      </c>
      <c r="H61" s="21" t="s">
        <v>173</v>
      </c>
      <c r="I61" s="57"/>
      <c r="J61" s="58">
        <v>1</v>
      </c>
      <c r="K61" s="56">
        <v>46281</v>
      </c>
      <c r="L61" s="59">
        <v>46296</v>
      </c>
      <c r="M61" s="59">
        <v>46296</v>
      </c>
      <c r="N61" s="21" t="s">
        <v>174</v>
      </c>
      <c r="O61" s="21" t="s">
        <v>166</v>
      </c>
      <c r="P61" s="21"/>
      <c r="Q61" s="21"/>
      <c r="R61" s="21"/>
      <c r="S61" s="21" t="s">
        <v>175</v>
      </c>
      <c r="T61" s="21" t="s">
        <v>167</v>
      </c>
      <c r="U61" s="21"/>
      <c r="V61" s="21"/>
      <c r="W61" s="36" t="s">
        <v>296</v>
      </c>
      <c r="X61" s="48"/>
      <c r="Y61" s="48"/>
    </row>
    <row r="62" spans="1:25" ht="30" x14ac:dyDescent="0.2">
      <c r="A62" s="50">
        <f t="shared" si="1"/>
        <v>61</v>
      </c>
      <c r="B62" s="53" t="s">
        <v>170</v>
      </c>
      <c r="C62" s="21"/>
      <c r="D62" s="21" t="s">
        <v>297</v>
      </c>
      <c r="E62" s="21" t="s">
        <v>109</v>
      </c>
      <c r="F62" s="21" t="s">
        <v>203</v>
      </c>
      <c r="G62" s="21" t="s">
        <v>179</v>
      </c>
      <c r="H62" s="21" t="s">
        <v>173</v>
      </c>
      <c r="I62" s="21"/>
      <c r="J62" s="51">
        <v>1</v>
      </c>
      <c r="K62" s="52">
        <v>46282</v>
      </c>
      <c r="L62" s="52">
        <v>46282</v>
      </c>
      <c r="M62" s="52">
        <v>46282</v>
      </c>
      <c r="N62" s="21" t="s">
        <v>174</v>
      </c>
      <c r="O62" s="21" t="s">
        <v>166</v>
      </c>
      <c r="P62" s="21"/>
      <c r="Q62" s="21"/>
      <c r="R62" s="21"/>
      <c r="S62" s="21" t="s">
        <v>175</v>
      </c>
      <c r="T62" s="21" t="s">
        <v>167</v>
      </c>
      <c r="U62" s="21"/>
      <c r="V62" s="21"/>
      <c r="W62" s="36" t="s">
        <v>298</v>
      </c>
      <c r="X62" s="48"/>
      <c r="Y62" s="48"/>
    </row>
    <row r="63" spans="1:25" x14ac:dyDescent="0.2">
      <c r="A63" s="50">
        <f t="shared" si="1"/>
        <v>62</v>
      </c>
      <c r="B63" s="53" t="s">
        <v>170</v>
      </c>
      <c r="C63" s="21"/>
      <c r="D63" s="21" t="s">
        <v>299</v>
      </c>
      <c r="E63" s="21" t="s">
        <v>109</v>
      </c>
      <c r="F63" s="21" t="s">
        <v>172</v>
      </c>
      <c r="G63" s="21" t="s">
        <v>179</v>
      </c>
      <c r="H63" s="21" t="s">
        <v>173</v>
      </c>
      <c r="I63" s="21"/>
      <c r="J63" s="51">
        <v>1</v>
      </c>
      <c r="K63" s="52">
        <v>46283</v>
      </c>
      <c r="L63" s="52">
        <v>46283</v>
      </c>
      <c r="M63" s="52">
        <v>46283</v>
      </c>
      <c r="N63" s="21" t="s">
        <v>174</v>
      </c>
      <c r="O63" s="21" t="s">
        <v>166</v>
      </c>
      <c r="P63" s="21"/>
      <c r="Q63" s="21"/>
      <c r="R63" s="21"/>
      <c r="S63" s="21" t="s">
        <v>175</v>
      </c>
      <c r="T63" s="21" t="s">
        <v>167</v>
      </c>
      <c r="U63" s="21"/>
      <c r="V63" s="21"/>
      <c r="W63" s="36"/>
      <c r="X63" s="48"/>
      <c r="Y63" s="48"/>
    </row>
    <row r="64" spans="1:25" ht="30" x14ac:dyDescent="0.2">
      <c r="A64" s="50">
        <f t="shared" si="1"/>
        <v>63</v>
      </c>
      <c r="B64" s="21" t="s">
        <v>287</v>
      </c>
      <c r="C64" s="21"/>
      <c r="D64" s="21" t="s">
        <v>300</v>
      </c>
      <c r="E64" s="21" t="s">
        <v>109</v>
      </c>
      <c r="F64" s="21" t="s">
        <v>163</v>
      </c>
      <c r="G64" s="21" t="s">
        <v>179</v>
      </c>
      <c r="H64" s="21" t="s">
        <v>173</v>
      </c>
      <c r="I64" s="21"/>
      <c r="J64" s="51">
        <v>1</v>
      </c>
      <c r="K64" s="52">
        <v>46283</v>
      </c>
      <c r="L64" s="52">
        <v>46300</v>
      </c>
      <c r="M64" s="52">
        <v>46300</v>
      </c>
      <c r="N64" s="21" t="s">
        <v>174</v>
      </c>
      <c r="O64" s="21" t="s">
        <v>166</v>
      </c>
      <c r="P64" s="21"/>
      <c r="Q64" s="21"/>
      <c r="R64" s="21"/>
      <c r="S64" s="21" t="s">
        <v>175</v>
      </c>
      <c r="T64" s="21" t="s">
        <v>167</v>
      </c>
      <c r="U64" s="21"/>
      <c r="W64" s="36" t="s">
        <v>301</v>
      </c>
      <c r="X64" s="48"/>
      <c r="Y64" s="48"/>
    </row>
    <row r="65" spans="1:25" ht="30" x14ac:dyDescent="0.2">
      <c r="A65" s="50">
        <f t="shared" si="1"/>
        <v>64</v>
      </c>
      <c r="B65" s="21" t="s">
        <v>287</v>
      </c>
      <c r="C65" s="21"/>
      <c r="D65" s="21" t="s">
        <v>302</v>
      </c>
      <c r="E65" s="21" t="s">
        <v>109</v>
      </c>
      <c r="F65" s="21" t="s">
        <v>163</v>
      </c>
      <c r="G65" s="21" t="s">
        <v>179</v>
      </c>
      <c r="H65" s="21" t="s">
        <v>173</v>
      </c>
      <c r="I65" s="21"/>
      <c r="J65" s="51">
        <v>1</v>
      </c>
      <c r="K65" s="52">
        <v>46283</v>
      </c>
      <c r="L65" s="52">
        <v>46300</v>
      </c>
      <c r="M65" s="52">
        <v>46300</v>
      </c>
      <c r="N65" s="21" t="s">
        <v>174</v>
      </c>
      <c r="O65" s="21" t="s">
        <v>166</v>
      </c>
      <c r="P65" s="21"/>
      <c r="Q65" s="21"/>
      <c r="R65" s="21"/>
      <c r="S65" s="21" t="s">
        <v>175</v>
      </c>
      <c r="T65" s="21" t="s">
        <v>167</v>
      </c>
      <c r="U65" s="21"/>
      <c r="W65" s="36" t="s">
        <v>301</v>
      </c>
      <c r="X65" s="48"/>
      <c r="Y65" s="48"/>
    </row>
    <row r="66" spans="1:25" x14ac:dyDescent="0.2">
      <c r="A66" s="50">
        <f t="shared" si="1"/>
        <v>65</v>
      </c>
      <c r="B66" s="21" t="s">
        <v>287</v>
      </c>
      <c r="C66" s="21"/>
      <c r="D66" s="21" t="s">
        <v>303</v>
      </c>
      <c r="E66" s="21" t="s">
        <v>109</v>
      </c>
      <c r="F66" s="21" t="s">
        <v>172</v>
      </c>
      <c r="G66" s="21" t="s">
        <v>179</v>
      </c>
      <c r="H66" s="21" t="s">
        <v>173</v>
      </c>
      <c r="I66" s="21"/>
      <c r="J66" s="51">
        <v>1</v>
      </c>
      <c r="K66" s="52">
        <v>46286</v>
      </c>
      <c r="L66" s="52">
        <v>46288</v>
      </c>
      <c r="M66" s="52">
        <v>46288</v>
      </c>
      <c r="N66" s="21" t="s">
        <v>174</v>
      </c>
      <c r="O66" s="21" t="s">
        <v>166</v>
      </c>
      <c r="P66" s="21"/>
      <c r="Q66" s="21"/>
      <c r="R66" s="21"/>
      <c r="S66" s="21" t="s">
        <v>175</v>
      </c>
      <c r="T66" s="21" t="s">
        <v>167</v>
      </c>
      <c r="U66" s="21"/>
      <c r="V66" s="21"/>
      <c r="W66" s="36"/>
      <c r="X66" s="48"/>
      <c r="Y66" s="48"/>
    </row>
    <row r="67" spans="1:25" x14ac:dyDescent="0.2">
      <c r="A67" s="50">
        <f t="shared" ref="A67:A98" si="2">IF(OR(D67&lt;&gt;"", B67&lt;&gt;""), ROW()-1, "")</f>
        <v>66</v>
      </c>
      <c r="B67" s="21" t="s">
        <v>287</v>
      </c>
      <c r="C67" s="21"/>
      <c r="D67" s="21" t="s">
        <v>304</v>
      </c>
      <c r="E67" s="21" t="s">
        <v>109</v>
      </c>
      <c r="F67" s="21" t="s">
        <v>172</v>
      </c>
      <c r="G67" s="21" t="s">
        <v>179</v>
      </c>
      <c r="H67" s="21" t="s">
        <v>173</v>
      </c>
      <c r="I67" s="21"/>
      <c r="J67" s="51">
        <v>1</v>
      </c>
      <c r="K67" s="52">
        <v>46286</v>
      </c>
      <c r="L67" s="52">
        <v>46288</v>
      </c>
      <c r="M67" s="52">
        <v>46288</v>
      </c>
      <c r="N67" s="21" t="s">
        <v>174</v>
      </c>
      <c r="O67" s="21" t="s">
        <v>166</v>
      </c>
      <c r="P67" s="21"/>
      <c r="Q67" s="21"/>
      <c r="R67" s="21"/>
      <c r="S67" s="21" t="s">
        <v>175</v>
      </c>
      <c r="T67" s="21" t="s">
        <v>167</v>
      </c>
      <c r="U67" s="21"/>
      <c r="V67" s="21"/>
      <c r="W67" s="36"/>
      <c r="X67" s="48"/>
      <c r="Y67" s="48"/>
    </row>
    <row r="68" spans="1:25" ht="20.25" customHeight="1" x14ac:dyDescent="0.2">
      <c r="A68" s="50">
        <f t="shared" si="2"/>
        <v>67</v>
      </c>
      <c r="B68" s="21" t="s">
        <v>287</v>
      </c>
      <c r="C68" s="21"/>
      <c r="D68" s="21" t="s">
        <v>305</v>
      </c>
      <c r="E68" s="21" t="s">
        <v>109</v>
      </c>
      <c r="F68" s="21" t="s">
        <v>203</v>
      </c>
      <c r="G68" s="21" t="s">
        <v>179</v>
      </c>
      <c r="H68" s="21" t="s">
        <v>173</v>
      </c>
      <c r="I68" s="21"/>
      <c r="J68" s="51">
        <v>1</v>
      </c>
      <c r="K68" s="52">
        <v>46286</v>
      </c>
      <c r="L68" s="52">
        <v>46288</v>
      </c>
      <c r="M68" s="52">
        <v>46288</v>
      </c>
      <c r="N68" s="21" t="s">
        <v>174</v>
      </c>
      <c r="O68" s="21" t="s">
        <v>166</v>
      </c>
      <c r="P68" s="21"/>
      <c r="Q68" s="21"/>
      <c r="R68" s="21"/>
      <c r="S68" s="21" t="s">
        <v>175</v>
      </c>
      <c r="T68" s="21" t="s">
        <v>167</v>
      </c>
      <c r="U68" s="21"/>
      <c r="V68" s="21"/>
      <c r="W68" s="36"/>
      <c r="X68" s="48"/>
      <c r="Y68" s="48"/>
    </row>
    <row r="69" spans="1:25" ht="105" x14ac:dyDescent="0.2">
      <c r="A69" s="50">
        <f t="shared" si="2"/>
        <v>68</v>
      </c>
      <c r="B69" s="21" t="s">
        <v>287</v>
      </c>
      <c r="C69" s="21"/>
      <c r="D69" s="21" t="s">
        <v>306</v>
      </c>
      <c r="E69" s="21" t="s">
        <v>109</v>
      </c>
      <c r="F69" s="21" t="s">
        <v>203</v>
      </c>
      <c r="G69" s="21" t="s">
        <v>179</v>
      </c>
      <c r="H69" s="21" t="s">
        <v>173</v>
      </c>
      <c r="I69" s="21"/>
      <c r="J69" s="51">
        <v>1</v>
      </c>
      <c r="K69" s="52">
        <v>46287</v>
      </c>
      <c r="L69" s="52">
        <v>46289</v>
      </c>
      <c r="M69" s="52">
        <v>46289</v>
      </c>
      <c r="N69" s="21" t="s">
        <v>174</v>
      </c>
      <c r="O69" s="21" t="s">
        <v>166</v>
      </c>
      <c r="P69" s="21"/>
      <c r="Q69" s="21"/>
      <c r="R69" s="21"/>
      <c r="S69" s="21" t="s">
        <v>175</v>
      </c>
      <c r="T69" s="21" t="s">
        <v>167</v>
      </c>
      <c r="U69" s="21"/>
      <c r="V69" s="21" t="s">
        <v>307</v>
      </c>
      <c r="W69" s="36" t="s">
        <v>308</v>
      </c>
      <c r="X69" s="48"/>
      <c r="Y69" s="48"/>
    </row>
    <row r="70" spans="1:25" ht="165" x14ac:dyDescent="0.2">
      <c r="A70" s="50">
        <f t="shared" si="2"/>
        <v>69</v>
      </c>
      <c r="B70" s="21" t="s">
        <v>287</v>
      </c>
      <c r="C70" s="21"/>
      <c r="D70" s="21" t="s">
        <v>309</v>
      </c>
      <c r="E70" s="21" t="s">
        <v>109</v>
      </c>
      <c r="F70" s="21" t="s">
        <v>203</v>
      </c>
      <c r="G70" s="21" t="s">
        <v>179</v>
      </c>
      <c r="H70" s="21" t="s">
        <v>173</v>
      </c>
      <c r="I70" s="21"/>
      <c r="J70" s="51">
        <v>1</v>
      </c>
      <c r="K70" s="52">
        <v>46287</v>
      </c>
      <c r="L70" s="52">
        <v>46289</v>
      </c>
      <c r="M70" s="52">
        <v>46289</v>
      </c>
      <c r="N70" s="21" t="s">
        <v>174</v>
      </c>
      <c r="O70" s="21" t="s">
        <v>166</v>
      </c>
      <c r="P70" s="21"/>
      <c r="Q70" s="21"/>
      <c r="R70" s="21"/>
      <c r="S70" s="21" t="s">
        <v>175</v>
      </c>
      <c r="T70" s="21" t="s">
        <v>167</v>
      </c>
      <c r="U70" s="21"/>
      <c r="V70" s="21" t="s">
        <v>310</v>
      </c>
      <c r="W70" s="36" t="s">
        <v>311</v>
      </c>
      <c r="X70" s="48"/>
      <c r="Y70" s="48"/>
    </row>
    <row r="71" spans="1:25" ht="75" x14ac:dyDescent="0.2">
      <c r="A71" s="50">
        <f t="shared" si="2"/>
        <v>70</v>
      </c>
      <c r="B71" s="21" t="s">
        <v>287</v>
      </c>
      <c r="C71" s="21"/>
      <c r="D71" s="21" t="s">
        <v>312</v>
      </c>
      <c r="E71" s="21" t="s">
        <v>109</v>
      </c>
      <c r="F71" s="21" t="s">
        <v>163</v>
      </c>
      <c r="G71" s="21" t="s">
        <v>179</v>
      </c>
      <c r="H71" s="21" t="s">
        <v>173</v>
      </c>
      <c r="I71" s="21"/>
      <c r="J71" s="51">
        <v>1</v>
      </c>
      <c r="K71" s="52">
        <v>46288</v>
      </c>
      <c r="L71" s="52">
        <v>46288</v>
      </c>
      <c r="M71" s="52">
        <v>46288</v>
      </c>
      <c r="N71" s="21" t="s">
        <v>174</v>
      </c>
      <c r="O71" s="21" t="s">
        <v>166</v>
      </c>
      <c r="P71" s="21"/>
      <c r="Q71" s="21"/>
      <c r="R71" s="21"/>
      <c r="S71" s="21" t="s">
        <v>175</v>
      </c>
      <c r="T71" s="21" t="s">
        <v>167</v>
      </c>
      <c r="U71" s="21"/>
      <c r="V71" s="21" t="s">
        <v>313</v>
      </c>
      <c r="W71" s="36" t="s">
        <v>314</v>
      </c>
      <c r="X71" s="48"/>
      <c r="Y71" s="48"/>
    </row>
    <row r="72" spans="1:25" ht="75" x14ac:dyDescent="0.2">
      <c r="A72" s="50">
        <f t="shared" si="2"/>
        <v>71</v>
      </c>
      <c r="B72" s="21" t="s">
        <v>287</v>
      </c>
      <c r="C72" s="21"/>
      <c r="D72" s="21" t="s">
        <v>315</v>
      </c>
      <c r="E72" s="21" t="s">
        <v>109</v>
      </c>
      <c r="F72" s="21" t="s">
        <v>163</v>
      </c>
      <c r="G72" s="21" t="s">
        <v>179</v>
      </c>
      <c r="H72" s="21" t="s">
        <v>173</v>
      </c>
      <c r="I72" s="21"/>
      <c r="J72" s="51">
        <v>1</v>
      </c>
      <c r="K72" s="52">
        <v>46288</v>
      </c>
      <c r="L72" s="52">
        <v>46288</v>
      </c>
      <c r="M72" s="52">
        <v>46288</v>
      </c>
      <c r="N72" s="21" t="s">
        <v>174</v>
      </c>
      <c r="O72" s="21" t="s">
        <v>166</v>
      </c>
      <c r="P72" s="21"/>
      <c r="Q72" s="21"/>
      <c r="R72" s="21"/>
      <c r="S72" s="21" t="s">
        <v>175</v>
      </c>
      <c r="T72" s="21" t="s">
        <v>167</v>
      </c>
      <c r="U72" s="21"/>
      <c r="V72" s="21" t="s">
        <v>313</v>
      </c>
      <c r="W72" s="36" t="s">
        <v>316</v>
      </c>
      <c r="X72" s="48"/>
      <c r="Y72" s="48"/>
    </row>
    <row r="73" spans="1:25" ht="75" x14ac:dyDescent="0.2">
      <c r="A73" s="50">
        <f t="shared" si="2"/>
        <v>72</v>
      </c>
      <c r="B73" s="21" t="s">
        <v>287</v>
      </c>
      <c r="C73" s="21"/>
      <c r="D73" s="21" t="s">
        <v>317</v>
      </c>
      <c r="E73" s="21" t="s">
        <v>109</v>
      </c>
      <c r="F73" s="21" t="s">
        <v>172</v>
      </c>
      <c r="G73" s="21" t="s">
        <v>179</v>
      </c>
      <c r="H73" s="21" t="s">
        <v>173</v>
      </c>
      <c r="I73" s="21"/>
      <c r="J73" s="51">
        <v>1</v>
      </c>
      <c r="K73" s="52">
        <v>46288</v>
      </c>
      <c r="L73" s="52">
        <v>46289</v>
      </c>
      <c r="M73" s="52">
        <v>46289</v>
      </c>
      <c r="N73" s="21" t="s">
        <v>174</v>
      </c>
      <c r="O73" s="21" t="s">
        <v>166</v>
      </c>
      <c r="P73" s="21"/>
      <c r="Q73" s="21"/>
      <c r="R73" s="21"/>
      <c r="S73" s="21" t="s">
        <v>175</v>
      </c>
      <c r="T73" s="21" t="s">
        <v>167</v>
      </c>
      <c r="U73" s="21"/>
      <c r="V73" s="21" t="s">
        <v>318</v>
      </c>
      <c r="W73" s="36" t="s">
        <v>319</v>
      </c>
      <c r="X73" s="48"/>
      <c r="Y73" s="48"/>
    </row>
    <row r="74" spans="1:25" x14ac:dyDescent="0.2">
      <c r="A74" s="50">
        <f t="shared" si="2"/>
        <v>73</v>
      </c>
      <c r="B74" s="21" t="s">
        <v>287</v>
      </c>
      <c r="C74" s="21"/>
      <c r="D74" s="21" t="s">
        <v>320</v>
      </c>
      <c r="E74" s="21" t="s">
        <v>109</v>
      </c>
      <c r="F74" s="21" t="s">
        <v>163</v>
      </c>
      <c r="G74" s="21" t="s">
        <v>179</v>
      </c>
      <c r="H74" s="21" t="s">
        <v>173</v>
      </c>
      <c r="I74" s="21"/>
      <c r="J74" s="51">
        <v>1</v>
      </c>
      <c r="K74" s="52">
        <v>46288</v>
      </c>
      <c r="L74" s="52">
        <v>46289</v>
      </c>
      <c r="M74" s="52">
        <v>46289</v>
      </c>
      <c r="N74" s="21" t="s">
        <v>174</v>
      </c>
      <c r="O74" s="21" t="s">
        <v>166</v>
      </c>
      <c r="P74" s="21"/>
      <c r="Q74" s="21"/>
      <c r="R74" s="21"/>
      <c r="S74" s="21" t="s">
        <v>175</v>
      </c>
      <c r="T74" s="21" t="s">
        <v>167</v>
      </c>
      <c r="U74" s="21"/>
      <c r="V74" s="21"/>
      <c r="W74" s="36"/>
      <c r="X74" s="48"/>
      <c r="Y74" s="48"/>
    </row>
    <row r="75" spans="1:25" ht="30" x14ac:dyDescent="0.2">
      <c r="A75" s="50">
        <f t="shared" si="2"/>
        <v>74</v>
      </c>
      <c r="B75" s="21" t="s">
        <v>287</v>
      </c>
      <c r="C75" s="22"/>
      <c r="D75" s="21" t="s">
        <v>321</v>
      </c>
      <c r="E75" s="22" t="s">
        <v>109</v>
      </c>
      <c r="F75" s="22" t="s">
        <v>172</v>
      </c>
      <c r="G75" s="22" t="s">
        <v>179</v>
      </c>
      <c r="H75" s="22" t="s">
        <v>173</v>
      </c>
      <c r="I75" s="22"/>
      <c r="J75" s="23">
        <v>1</v>
      </c>
      <c r="K75" s="52">
        <v>46289</v>
      </c>
      <c r="L75" s="52">
        <v>46290</v>
      </c>
      <c r="M75" s="52">
        <v>46290</v>
      </c>
      <c r="N75" s="21" t="s">
        <v>174</v>
      </c>
      <c r="O75" s="21" t="s">
        <v>166</v>
      </c>
      <c r="P75" s="21"/>
      <c r="Q75" s="21"/>
      <c r="R75" s="21"/>
      <c r="S75" s="21" t="s">
        <v>175</v>
      </c>
      <c r="T75" s="21" t="s">
        <v>167</v>
      </c>
      <c r="U75" s="21"/>
      <c r="V75" s="21"/>
      <c r="W75" s="36"/>
      <c r="X75" s="48"/>
      <c r="Y75" s="48"/>
    </row>
    <row r="76" spans="1:25" ht="30" x14ac:dyDescent="0.2">
      <c r="A76" s="50">
        <f t="shared" si="2"/>
        <v>75</v>
      </c>
      <c r="B76" s="21" t="s">
        <v>287</v>
      </c>
      <c r="C76" s="22"/>
      <c r="D76" s="21" t="s">
        <v>322</v>
      </c>
      <c r="E76" s="22" t="s">
        <v>109</v>
      </c>
      <c r="F76" s="22" t="s">
        <v>172</v>
      </c>
      <c r="G76" s="22" t="s">
        <v>179</v>
      </c>
      <c r="H76" s="22" t="s">
        <v>173</v>
      </c>
      <c r="I76" s="22"/>
      <c r="J76" s="23">
        <v>1</v>
      </c>
      <c r="K76" s="52">
        <v>46289</v>
      </c>
      <c r="L76" s="52">
        <v>46295</v>
      </c>
      <c r="M76" s="52">
        <v>46295</v>
      </c>
      <c r="N76" s="21" t="s">
        <v>174</v>
      </c>
      <c r="O76" s="21" t="s">
        <v>166</v>
      </c>
      <c r="P76" s="21"/>
      <c r="Q76" s="21"/>
      <c r="R76" s="21"/>
      <c r="S76" s="21" t="s">
        <v>175</v>
      </c>
      <c r="T76" s="21" t="s">
        <v>167</v>
      </c>
      <c r="U76" s="21"/>
      <c r="V76" s="21"/>
      <c r="W76" s="36"/>
      <c r="X76" s="48"/>
      <c r="Y76" s="48"/>
    </row>
    <row r="77" spans="1:25" ht="30" x14ac:dyDescent="0.2">
      <c r="A77" s="50">
        <f t="shared" si="2"/>
        <v>76</v>
      </c>
      <c r="B77" s="21" t="s">
        <v>287</v>
      </c>
      <c r="C77" s="21"/>
      <c r="D77" s="21" t="s">
        <v>323</v>
      </c>
      <c r="E77" s="21" t="s">
        <v>109</v>
      </c>
      <c r="F77" s="21" t="s">
        <v>163</v>
      </c>
      <c r="G77" s="21" t="s">
        <v>179</v>
      </c>
      <c r="H77" s="21" t="s">
        <v>173</v>
      </c>
      <c r="I77" s="21"/>
      <c r="J77" s="51">
        <v>1</v>
      </c>
      <c r="K77" s="52">
        <v>46289</v>
      </c>
      <c r="L77" s="52">
        <v>46289</v>
      </c>
      <c r="M77" s="52">
        <v>46289</v>
      </c>
      <c r="N77" s="21" t="s">
        <v>174</v>
      </c>
      <c r="O77" s="21" t="s">
        <v>166</v>
      </c>
      <c r="P77" s="21"/>
      <c r="Q77" s="21"/>
      <c r="R77" s="21"/>
      <c r="S77" s="21" t="s">
        <v>175</v>
      </c>
      <c r="T77" s="21" t="s">
        <v>167</v>
      </c>
      <c r="U77" s="21"/>
      <c r="V77" s="21"/>
      <c r="W77" s="36"/>
      <c r="X77" s="48"/>
      <c r="Y77" s="48"/>
    </row>
    <row r="78" spans="1:25" ht="45" x14ac:dyDescent="0.2">
      <c r="A78" s="50">
        <f t="shared" si="2"/>
        <v>77</v>
      </c>
      <c r="B78" s="21" t="s">
        <v>287</v>
      </c>
      <c r="C78" s="21"/>
      <c r="D78" s="21" t="s">
        <v>324</v>
      </c>
      <c r="E78" s="21" t="s">
        <v>109</v>
      </c>
      <c r="F78" s="21" t="s">
        <v>163</v>
      </c>
      <c r="G78" s="21" t="s">
        <v>179</v>
      </c>
      <c r="H78" s="21" t="s">
        <v>173</v>
      </c>
      <c r="I78" s="21"/>
      <c r="J78" s="51">
        <v>1</v>
      </c>
      <c r="K78" s="52">
        <v>46293</v>
      </c>
      <c r="L78" s="52">
        <v>46293</v>
      </c>
      <c r="M78" s="52">
        <v>46293</v>
      </c>
      <c r="N78" s="21" t="s">
        <v>174</v>
      </c>
      <c r="O78" s="21" t="s">
        <v>166</v>
      </c>
      <c r="P78" s="21"/>
      <c r="Q78" s="21"/>
      <c r="R78" s="21"/>
      <c r="S78" s="21" t="s">
        <v>175</v>
      </c>
      <c r="T78" s="21" t="s">
        <v>167</v>
      </c>
      <c r="U78" s="21"/>
      <c r="V78" s="21" t="s">
        <v>325</v>
      </c>
      <c r="W78" s="36" t="s">
        <v>326</v>
      </c>
      <c r="X78" s="48"/>
      <c r="Y78" s="48"/>
    </row>
    <row r="79" spans="1:25" ht="30" x14ac:dyDescent="0.2">
      <c r="A79" s="50">
        <f t="shared" si="2"/>
        <v>78</v>
      </c>
      <c r="B79" s="21" t="s">
        <v>287</v>
      </c>
      <c r="C79" s="21"/>
      <c r="D79" s="21" t="s">
        <v>327</v>
      </c>
      <c r="E79" s="21" t="s">
        <v>109</v>
      </c>
      <c r="F79" s="21" t="s">
        <v>163</v>
      </c>
      <c r="G79" s="21" t="s">
        <v>179</v>
      </c>
      <c r="H79" s="21" t="s">
        <v>173</v>
      </c>
      <c r="I79" s="21"/>
      <c r="J79" s="51">
        <v>1</v>
      </c>
      <c r="K79" s="52">
        <v>46293</v>
      </c>
      <c r="L79" s="52">
        <v>46293</v>
      </c>
      <c r="M79" s="52">
        <v>46293</v>
      </c>
      <c r="N79" s="21" t="s">
        <v>174</v>
      </c>
      <c r="O79" s="21" t="s">
        <v>166</v>
      </c>
      <c r="P79" s="21"/>
      <c r="Q79" s="21"/>
      <c r="R79" s="21"/>
      <c r="S79" s="21" t="s">
        <v>175</v>
      </c>
      <c r="T79" s="21" t="s">
        <v>167</v>
      </c>
      <c r="U79" s="21"/>
      <c r="V79" s="21"/>
      <c r="W79" s="36"/>
      <c r="X79" s="48"/>
      <c r="Y79" s="48"/>
    </row>
    <row r="80" spans="1:25" ht="60" x14ac:dyDescent="0.2">
      <c r="A80" s="50">
        <f t="shared" si="2"/>
        <v>79</v>
      </c>
      <c r="B80" s="21" t="s">
        <v>287</v>
      </c>
      <c r="C80" s="21"/>
      <c r="D80" s="21" t="s">
        <v>328</v>
      </c>
      <c r="E80" s="21" t="s">
        <v>109</v>
      </c>
      <c r="F80" s="21" t="s">
        <v>172</v>
      </c>
      <c r="G80" s="21" t="s">
        <v>179</v>
      </c>
      <c r="H80" s="21" t="s">
        <v>173</v>
      </c>
      <c r="I80" s="21"/>
      <c r="J80" s="51">
        <v>1</v>
      </c>
      <c r="K80" s="52">
        <v>46294</v>
      </c>
      <c r="L80" s="52">
        <v>46296</v>
      </c>
      <c r="M80" s="52">
        <v>46296</v>
      </c>
      <c r="N80" s="21" t="s">
        <v>174</v>
      </c>
      <c r="O80" s="21" t="s">
        <v>166</v>
      </c>
      <c r="P80" s="21"/>
      <c r="Q80" s="21"/>
      <c r="R80" s="21"/>
      <c r="S80" s="21" t="s">
        <v>175</v>
      </c>
      <c r="T80" s="21" t="s">
        <v>167</v>
      </c>
      <c r="U80" s="21"/>
      <c r="V80" s="21" t="s">
        <v>329</v>
      </c>
      <c r="W80" s="36"/>
      <c r="X80" s="48"/>
      <c r="Y80" s="48"/>
    </row>
    <row r="81" spans="1:25" ht="60" x14ac:dyDescent="0.2">
      <c r="A81" s="50">
        <f t="shared" si="2"/>
        <v>80</v>
      </c>
      <c r="B81" s="21" t="s">
        <v>287</v>
      </c>
      <c r="C81" s="21"/>
      <c r="D81" s="21" t="s">
        <v>330</v>
      </c>
      <c r="E81" s="21" t="s">
        <v>109</v>
      </c>
      <c r="F81" s="21" t="s">
        <v>203</v>
      </c>
      <c r="G81" s="21" t="s">
        <v>179</v>
      </c>
      <c r="H81" s="21" t="s">
        <v>173</v>
      </c>
      <c r="I81" s="21"/>
      <c r="J81" s="51">
        <v>1</v>
      </c>
      <c r="K81" s="52">
        <v>46294</v>
      </c>
      <c r="L81" s="52">
        <v>46294</v>
      </c>
      <c r="M81" s="52">
        <v>46294</v>
      </c>
      <c r="N81" s="21" t="s">
        <v>174</v>
      </c>
      <c r="O81" s="21" t="s">
        <v>166</v>
      </c>
      <c r="P81" s="21"/>
      <c r="Q81" s="21"/>
      <c r="R81" s="21"/>
      <c r="S81" s="21" t="s">
        <v>175</v>
      </c>
      <c r="T81" s="21" t="s">
        <v>167</v>
      </c>
      <c r="U81" s="21"/>
      <c r="V81" s="21" t="s">
        <v>331</v>
      </c>
      <c r="W81" s="36"/>
      <c r="X81" s="48"/>
      <c r="Y81" s="48"/>
    </row>
    <row r="82" spans="1:25" ht="75" x14ac:dyDescent="0.2">
      <c r="A82" s="50">
        <f t="shared" si="2"/>
        <v>81</v>
      </c>
      <c r="B82" s="21" t="s">
        <v>287</v>
      </c>
      <c r="C82" s="21"/>
      <c r="D82" s="21" t="s">
        <v>332</v>
      </c>
      <c r="E82" s="21" t="s">
        <v>109</v>
      </c>
      <c r="F82" s="21" t="s">
        <v>203</v>
      </c>
      <c r="G82" s="21" t="s">
        <v>179</v>
      </c>
      <c r="H82" s="21" t="s">
        <v>173</v>
      </c>
      <c r="I82" s="21"/>
      <c r="J82" s="51">
        <v>1</v>
      </c>
      <c r="K82" s="52">
        <v>46295</v>
      </c>
      <c r="L82" s="52">
        <v>46297</v>
      </c>
      <c r="M82" s="52">
        <v>46297</v>
      </c>
      <c r="N82" s="21" t="s">
        <v>174</v>
      </c>
      <c r="O82" s="21" t="s">
        <v>166</v>
      </c>
      <c r="P82" s="21"/>
      <c r="Q82" s="21"/>
      <c r="R82" s="21"/>
      <c r="S82" s="21" t="s">
        <v>175</v>
      </c>
      <c r="T82" s="21" t="s">
        <v>167</v>
      </c>
      <c r="U82" s="21"/>
      <c r="V82" s="21" t="s">
        <v>333</v>
      </c>
      <c r="W82" s="36" t="s">
        <v>334</v>
      </c>
      <c r="X82" s="48"/>
      <c r="Y82" s="48"/>
    </row>
    <row r="83" spans="1:25" ht="30" x14ac:dyDescent="0.2">
      <c r="A83" s="50">
        <f t="shared" si="2"/>
        <v>82</v>
      </c>
      <c r="B83" s="21" t="s">
        <v>287</v>
      </c>
      <c r="C83" s="21"/>
      <c r="D83" s="21" t="s">
        <v>335</v>
      </c>
      <c r="E83" s="21" t="s">
        <v>109</v>
      </c>
      <c r="F83" s="21" t="s">
        <v>203</v>
      </c>
      <c r="G83" s="21" t="s">
        <v>179</v>
      </c>
      <c r="H83" s="21" t="s">
        <v>173</v>
      </c>
      <c r="I83" s="21"/>
      <c r="J83" s="51">
        <v>1</v>
      </c>
      <c r="K83" s="52">
        <v>46296</v>
      </c>
      <c r="L83" s="52">
        <v>46297</v>
      </c>
      <c r="M83" s="52">
        <v>46297</v>
      </c>
      <c r="N83" s="21" t="s">
        <v>174</v>
      </c>
      <c r="O83" s="21" t="s">
        <v>166</v>
      </c>
      <c r="P83" s="21"/>
      <c r="Q83" s="21"/>
      <c r="R83" s="21"/>
      <c r="S83" s="21" t="s">
        <v>175</v>
      </c>
      <c r="T83" s="21" t="s">
        <v>167</v>
      </c>
      <c r="U83" s="21"/>
      <c r="V83" s="21" t="s">
        <v>336</v>
      </c>
      <c r="W83" s="36"/>
      <c r="X83" s="48"/>
      <c r="Y83" s="48"/>
    </row>
    <row r="84" spans="1:25" x14ac:dyDescent="0.2">
      <c r="A84" s="50">
        <f t="shared" si="2"/>
        <v>83</v>
      </c>
      <c r="B84" s="21" t="s">
        <v>287</v>
      </c>
      <c r="C84" s="21"/>
      <c r="D84" s="21" t="s">
        <v>337</v>
      </c>
      <c r="E84" s="21" t="s">
        <v>109</v>
      </c>
      <c r="F84" s="21" t="s">
        <v>203</v>
      </c>
      <c r="G84" s="21" t="s">
        <v>179</v>
      </c>
      <c r="H84" s="21" t="s">
        <v>173</v>
      </c>
      <c r="I84" s="21"/>
      <c r="J84" s="51">
        <v>1</v>
      </c>
      <c r="K84" s="52">
        <v>46296</v>
      </c>
      <c r="L84" s="52">
        <v>46297</v>
      </c>
      <c r="M84" s="52">
        <v>46297</v>
      </c>
      <c r="N84" s="21" t="s">
        <v>174</v>
      </c>
      <c r="O84" s="21" t="s">
        <v>166</v>
      </c>
      <c r="P84" s="21"/>
      <c r="Q84" s="21"/>
      <c r="R84" s="21"/>
      <c r="S84" s="21" t="s">
        <v>175</v>
      </c>
      <c r="T84" s="21" t="s">
        <v>167</v>
      </c>
      <c r="U84" s="21"/>
      <c r="V84" s="21"/>
      <c r="W84" s="36"/>
      <c r="X84" s="48"/>
      <c r="Y84" s="48"/>
    </row>
    <row r="85" spans="1:25" x14ac:dyDescent="0.2">
      <c r="A85" s="50">
        <f t="shared" si="2"/>
        <v>84</v>
      </c>
      <c r="B85" s="21" t="s">
        <v>287</v>
      </c>
      <c r="C85" s="21"/>
      <c r="D85" s="21" t="s">
        <v>338</v>
      </c>
      <c r="E85" s="21" t="s">
        <v>109</v>
      </c>
      <c r="F85" s="21" t="s">
        <v>203</v>
      </c>
      <c r="G85" s="21" t="s">
        <v>179</v>
      </c>
      <c r="H85" s="21" t="s">
        <v>173</v>
      </c>
      <c r="I85" s="21"/>
      <c r="J85" s="51">
        <v>1</v>
      </c>
      <c r="K85" s="52">
        <v>46297</v>
      </c>
      <c r="L85" s="52">
        <v>46297</v>
      </c>
      <c r="M85" s="52">
        <v>46297</v>
      </c>
      <c r="N85" s="21" t="s">
        <v>174</v>
      </c>
      <c r="O85" s="21" t="s">
        <v>166</v>
      </c>
      <c r="P85" s="21"/>
      <c r="Q85" s="21"/>
      <c r="R85" s="21"/>
      <c r="S85" s="21" t="s">
        <v>175</v>
      </c>
      <c r="T85" s="21" t="s">
        <v>167</v>
      </c>
      <c r="U85" s="21"/>
      <c r="V85" s="21"/>
      <c r="W85" s="36"/>
      <c r="X85" s="48"/>
      <c r="Y85" s="48"/>
    </row>
    <row r="86" spans="1:25" ht="30" x14ac:dyDescent="0.2">
      <c r="A86" s="50">
        <f t="shared" si="2"/>
        <v>85</v>
      </c>
      <c r="B86" s="21" t="s">
        <v>287</v>
      </c>
      <c r="C86" s="21"/>
      <c r="D86" s="21" t="s">
        <v>339</v>
      </c>
      <c r="E86" s="21" t="s">
        <v>109</v>
      </c>
      <c r="F86" s="21" t="s">
        <v>203</v>
      </c>
      <c r="G86" s="21" t="s">
        <v>179</v>
      </c>
      <c r="H86" s="21" t="s">
        <v>173</v>
      </c>
      <c r="I86" s="21"/>
      <c r="J86" s="51">
        <v>1</v>
      </c>
      <c r="K86" s="52">
        <v>46301</v>
      </c>
      <c r="L86" s="52">
        <v>46301</v>
      </c>
      <c r="M86" s="52">
        <v>46301</v>
      </c>
      <c r="N86" s="21" t="s">
        <v>174</v>
      </c>
      <c r="O86" s="21" t="s">
        <v>166</v>
      </c>
      <c r="P86" s="21"/>
      <c r="Q86" s="21"/>
      <c r="R86" s="21"/>
      <c r="S86" s="21" t="s">
        <v>175</v>
      </c>
      <c r="T86" s="21" t="s">
        <v>167</v>
      </c>
      <c r="U86" s="21"/>
      <c r="V86" s="21"/>
      <c r="W86" s="36" t="s">
        <v>340</v>
      </c>
      <c r="X86" s="48"/>
      <c r="Y86" s="48"/>
    </row>
    <row r="87" spans="1:25" ht="16" x14ac:dyDescent="0.2">
      <c r="A87" s="50">
        <f t="shared" si="2"/>
        <v>86</v>
      </c>
      <c r="B87" s="21" t="s">
        <v>341</v>
      </c>
      <c r="C87" s="21"/>
      <c r="D87" s="21" t="s">
        <v>342</v>
      </c>
      <c r="E87" s="21" t="s">
        <v>109</v>
      </c>
      <c r="F87" s="21" t="s">
        <v>163</v>
      </c>
      <c r="G87" s="21" t="s">
        <v>343</v>
      </c>
      <c r="H87" s="21" t="s">
        <v>341</v>
      </c>
      <c r="I87" s="21"/>
      <c r="J87" s="51">
        <v>1</v>
      </c>
      <c r="K87" s="52">
        <v>46302</v>
      </c>
      <c r="L87" s="52">
        <v>46307</v>
      </c>
      <c r="M87" s="52">
        <v>46307</v>
      </c>
      <c r="N87" s="82" t="s">
        <v>344</v>
      </c>
      <c r="O87" s="21" t="s">
        <v>166</v>
      </c>
      <c r="P87" s="21"/>
      <c r="Q87" s="21"/>
      <c r="R87" s="21"/>
      <c r="S87" s="21" t="s">
        <v>175</v>
      </c>
      <c r="T87" s="21" t="s">
        <v>167</v>
      </c>
      <c r="U87" s="21"/>
      <c r="V87" s="21"/>
      <c r="W87" s="36"/>
      <c r="X87" s="48"/>
      <c r="Y87" s="48"/>
    </row>
    <row r="88" spans="1:25" ht="45" x14ac:dyDescent="0.2">
      <c r="A88" s="50">
        <f t="shared" si="2"/>
        <v>87</v>
      </c>
      <c r="B88" s="21" t="s">
        <v>287</v>
      </c>
      <c r="C88" s="21"/>
      <c r="D88" s="21" t="s">
        <v>345</v>
      </c>
      <c r="E88" s="21" t="s">
        <v>109</v>
      </c>
      <c r="F88" s="21" t="s">
        <v>172</v>
      </c>
      <c r="G88" s="21" t="s">
        <v>179</v>
      </c>
      <c r="H88" s="21" t="s">
        <v>173</v>
      </c>
      <c r="I88" s="21"/>
      <c r="J88" s="51">
        <v>1</v>
      </c>
      <c r="K88" s="52">
        <v>46302</v>
      </c>
      <c r="L88" s="52">
        <v>46303</v>
      </c>
      <c r="M88" s="52">
        <v>46303</v>
      </c>
      <c r="N88" s="21" t="s">
        <v>174</v>
      </c>
      <c r="O88" s="21" t="s">
        <v>166</v>
      </c>
      <c r="P88" s="21"/>
      <c r="Q88" s="21"/>
      <c r="R88" s="21"/>
      <c r="S88" s="21" t="s">
        <v>175</v>
      </c>
      <c r="T88" s="21" t="s">
        <v>167</v>
      </c>
      <c r="U88" s="21"/>
      <c r="V88" s="21"/>
      <c r="W88" s="21"/>
      <c r="X88" s="48"/>
      <c r="Y88" s="48"/>
    </row>
    <row r="89" spans="1:25" ht="60" x14ac:dyDescent="0.2">
      <c r="A89" s="50">
        <f t="shared" si="2"/>
        <v>88</v>
      </c>
      <c r="B89" s="21" t="s">
        <v>341</v>
      </c>
      <c r="C89" s="21"/>
      <c r="D89" s="21" t="s">
        <v>346</v>
      </c>
      <c r="E89" s="21" t="s">
        <v>109</v>
      </c>
      <c r="F89" s="21" t="s">
        <v>163</v>
      </c>
      <c r="G89" s="21" t="s">
        <v>164</v>
      </c>
      <c r="H89" s="21" t="s">
        <v>341</v>
      </c>
      <c r="I89" s="21"/>
      <c r="J89" s="51">
        <v>1</v>
      </c>
      <c r="K89" s="52">
        <v>46303</v>
      </c>
      <c r="L89" s="52">
        <v>46304</v>
      </c>
      <c r="M89" s="52">
        <v>46304</v>
      </c>
      <c r="N89" s="82" t="s">
        <v>344</v>
      </c>
      <c r="O89" s="21" t="s">
        <v>166</v>
      </c>
      <c r="P89" s="21"/>
      <c r="Q89" s="21"/>
      <c r="R89" s="21"/>
      <c r="S89" s="21" t="s">
        <v>175</v>
      </c>
      <c r="T89" s="21" t="s">
        <v>167</v>
      </c>
      <c r="U89" s="21"/>
      <c r="V89" s="21" t="s">
        <v>347</v>
      </c>
      <c r="W89" s="21" t="s">
        <v>348</v>
      </c>
      <c r="X89" s="48"/>
      <c r="Y89" s="48"/>
    </row>
    <row r="90" spans="1:25" ht="30" x14ac:dyDescent="0.2">
      <c r="A90" s="50">
        <f t="shared" si="2"/>
        <v>89</v>
      </c>
      <c r="B90" s="21" t="s">
        <v>341</v>
      </c>
      <c r="C90" s="21"/>
      <c r="D90" s="21" t="s">
        <v>349</v>
      </c>
      <c r="E90" s="21" t="s">
        <v>109</v>
      </c>
      <c r="F90" s="21" t="s">
        <v>203</v>
      </c>
      <c r="G90" s="21" t="s">
        <v>164</v>
      </c>
      <c r="H90" s="21" t="s">
        <v>341</v>
      </c>
      <c r="I90" s="21"/>
      <c r="J90" s="51">
        <v>1</v>
      </c>
      <c r="K90" s="52">
        <v>46303</v>
      </c>
      <c r="L90" s="52">
        <v>46307</v>
      </c>
      <c r="M90" s="52">
        <v>46307</v>
      </c>
      <c r="N90" s="82" t="s">
        <v>344</v>
      </c>
      <c r="O90" s="21" t="s">
        <v>166</v>
      </c>
      <c r="P90" s="21"/>
      <c r="Q90" s="21"/>
      <c r="R90" s="21"/>
      <c r="S90" s="21" t="s">
        <v>175</v>
      </c>
      <c r="T90" s="21" t="s">
        <v>167</v>
      </c>
      <c r="U90" s="21"/>
      <c r="V90" s="21" t="s">
        <v>350</v>
      </c>
      <c r="W90" s="21"/>
    </row>
    <row r="91" spans="1:25" ht="45" x14ac:dyDescent="0.2">
      <c r="A91" s="50">
        <f t="shared" si="2"/>
        <v>90</v>
      </c>
      <c r="B91" s="21" t="s">
        <v>287</v>
      </c>
      <c r="C91" s="21"/>
      <c r="D91" s="21" t="s">
        <v>351</v>
      </c>
      <c r="E91" s="21" t="s">
        <v>109</v>
      </c>
      <c r="F91" s="21" t="s">
        <v>172</v>
      </c>
      <c r="G91" s="21" t="s">
        <v>179</v>
      </c>
      <c r="H91" s="21" t="s">
        <v>173</v>
      </c>
      <c r="I91" s="21"/>
      <c r="J91" s="51">
        <v>1</v>
      </c>
      <c r="K91" s="52">
        <v>46304</v>
      </c>
      <c r="L91" s="52">
        <v>46304</v>
      </c>
      <c r="M91" s="52">
        <v>46304</v>
      </c>
      <c r="N91" s="21" t="s">
        <v>174</v>
      </c>
      <c r="O91" s="21" t="s">
        <v>166</v>
      </c>
      <c r="P91" s="21"/>
      <c r="Q91" s="21"/>
      <c r="R91" s="21"/>
      <c r="S91" s="21" t="s">
        <v>175</v>
      </c>
      <c r="T91" s="21" t="s">
        <v>167</v>
      </c>
      <c r="U91" s="21"/>
      <c r="V91" s="21" t="s">
        <v>352</v>
      </c>
      <c r="W91" s="21" t="s">
        <v>353</v>
      </c>
    </row>
    <row r="92" spans="1:25" ht="30" x14ac:dyDescent="0.2">
      <c r="A92" s="50">
        <f t="shared" si="2"/>
        <v>91</v>
      </c>
      <c r="B92" s="21" t="s">
        <v>170</v>
      </c>
      <c r="C92" s="21"/>
      <c r="D92" s="21" t="s">
        <v>354</v>
      </c>
      <c r="E92" s="21" t="s">
        <v>109</v>
      </c>
      <c r="F92" s="21" t="s">
        <v>163</v>
      </c>
      <c r="G92" s="21" t="s">
        <v>179</v>
      </c>
      <c r="H92" s="21" t="s">
        <v>173</v>
      </c>
      <c r="I92" s="21"/>
      <c r="J92" s="51">
        <v>1</v>
      </c>
      <c r="K92" s="52">
        <v>46304</v>
      </c>
      <c r="L92" s="52">
        <v>46318</v>
      </c>
      <c r="M92" s="52">
        <v>46318</v>
      </c>
      <c r="N92" s="21" t="s">
        <v>174</v>
      </c>
      <c r="O92" s="21" t="s">
        <v>166</v>
      </c>
      <c r="P92" s="21"/>
      <c r="Q92" s="21"/>
      <c r="R92" s="21"/>
      <c r="S92" s="21" t="s">
        <v>175</v>
      </c>
      <c r="T92" s="21" t="s">
        <v>167</v>
      </c>
      <c r="U92" s="21"/>
      <c r="V92" s="21" t="s">
        <v>355</v>
      </c>
      <c r="W92" s="21"/>
    </row>
    <row r="93" spans="1:25" ht="30" x14ac:dyDescent="0.2">
      <c r="A93" s="50">
        <f t="shared" si="2"/>
        <v>92</v>
      </c>
      <c r="B93" s="21" t="s">
        <v>170</v>
      </c>
      <c r="C93" s="21"/>
      <c r="D93" s="21" t="s">
        <v>356</v>
      </c>
      <c r="E93" s="21" t="s">
        <v>109</v>
      </c>
      <c r="F93" s="21" t="s">
        <v>163</v>
      </c>
      <c r="G93" s="21" t="s">
        <v>179</v>
      </c>
      <c r="H93" s="21" t="s">
        <v>173</v>
      </c>
      <c r="I93" s="21"/>
      <c r="J93" s="51">
        <v>1</v>
      </c>
      <c r="K93" s="52">
        <v>46304</v>
      </c>
      <c r="L93" s="52">
        <v>46318</v>
      </c>
      <c r="M93" s="52">
        <v>46318</v>
      </c>
      <c r="N93" s="21" t="s">
        <v>174</v>
      </c>
      <c r="O93" s="21" t="s">
        <v>166</v>
      </c>
      <c r="P93" s="21"/>
      <c r="Q93" s="21"/>
      <c r="R93" s="21"/>
      <c r="S93" s="21" t="s">
        <v>175</v>
      </c>
      <c r="T93" s="21" t="s">
        <v>167</v>
      </c>
      <c r="U93" s="21"/>
      <c r="V93" s="21" t="s">
        <v>357</v>
      </c>
      <c r="W93" s="21"/>
    </row>
    <row r="94" spans="1:25" ht="30" x14ac:dyDescent="0.2">
      <c r="A94" s="50">
        <f t="shared" si="2"/>
        <v>93</v>
      </c>
      <c r="B94" s="21" t="s">
        <v>170</v>
      </c>
      <c r="C94" s="21"/>
      <c r="D94" s="21" t="s">
        <v>358</v>
      </c>
      <c r="E94" s="21" t="s">
        <v>109</v>
      </c>
      <c r="F94" s="21" t="s">
        <v>163</v>
      </c>
      <c r="G94" s="21" t="s">
        <v>179</v>
      </c>
      <c r="H94" s="21" t="s">
        <v>173</v>
      </c>
      <c r="I94" s="21"/>
      <c r="J94" s="51">
        <v>1</v>
      </c>
      <c r="K94" s="52">
        <v>46304</v>
      </c>
      <c r="L94" s="52">
        <v>46318</v>
      </c>
      <c r="M94" s="52">
        <v>46318</v>
      </c>
      <c r="N94" s="21" t="s">
        <v>174</v>
      </c>
      <c r="O94" s="21" t="s">
        <v>166</v>
      </c>
      <c r="P94" s="21"/>
      <c r="Q94" s="21"/>
      <c r="R94" s="21"/>
      <c r="S94" s="21" t="s">
        <v>175</v>
      </c>
      <c r="T94" s="21" t="s">
        <v>167</v>
      </c>
      <c r="U94" s="21"/>
      <c r="V94" s="21" t="s">
        <v>359</v>
      </c>
      <c r="W94" s="21"/>
    </row>
    <row r="95" spans="1:25" ht="30" x14ac:dyDescent="0.2">
      <c r="A95" s="50">
        <f t="shared" si="2"/>
        <v>94</v>
      </c>
      <c r="B95" s="21" t="s">
        <v>341</v>
      </c>
      <c r="C95" s="21"/>
      <c r="D95" s="21" t="s">
        <v>360</v>
      </c>
      <c r="E95" s="21" t="s">
        <v>109</v>
      </c>
      <c r="F95" s="21" t="s">
        <v>172</v>
      </c>
      <c r="G95" s="21" t="s">
        <v>164</v>
      </c>
      <c r="H95" s="21" t="s">
        <v>341</v>
      </c>
      <c r="I95" s="21"/>
      <c r="J95" s="51">
        <v>1</v>
      </c>
      <c r="K95" s="52">
        <v>46307</v>
      </c>
      <c r="L95" s="52">
        <v>46309</v>
      </c>
      <c r="M95" s="52">
        <v>46309</v>
      </c>
      <c r="N95" s="82" t="s">
        <v>344</v>
      </c>
      <c r="O95" s="21" t="s">
        <v>166</v>
      </c>
      <c r="P95" s="21"/>
      <c r="Q95" s="21"/>
      <c r="R95" s="21"/>
      <c r="S95" s="21" t="s">
        <v>175</v>
      </c>
      <c r="T95" s="21"/>
      <c r="U95" s="21"/>
      <c r="V95" s="21" t="s">
        <v>361</v>
      </c>
      <c r="W95" s="21"/>
    </row>
    <row r="96" spans="1:25" ht="45" x14ac:dyDescent="0.2">
      <c r="A96" s="50">
        <f t="shared" si="2"/>
        <v>95</v>
      </c>
      <c r="B96" s="21" t="s">
        <v>341</v>
      </c>
      <c r="C96" s="21"/>
      <c r="D96" s="21" t="s">
        <v>362</v>
      </c>
      <c r="E96" s="21" t="s">
        <v>109</v>
      </c>
      <c r="F96" s="21" t="s">
        <v>163</v>
      </c>
      <c r="G96" s="21" t="s">
        <v>164</v>
      </c>
      <c r="H96" s="21" t="s">
        <v>341</v>
      </c>
      <c r="I96" s="21"/>
      <c r="J96" s="51">
        <v>1</v>
      </c>
      <c r="K96" s="52">
        <v>46308</v>
      </c>
      <c r="L96" s="52">
        <v>46311</v>
      </c>
      <c r="M96" s="52">
        <v>46311</v>
      </c>
      <c r="N96" s="82" t="s">
        <v>344</v>
      </c>
      <c r="O96" s="21" t="s">
        <v>166</v>
      </c>
      <c r="P96" s="21"/>
      <c r="Q96" s="21"/>
      <c r="R96" s="21"/>
      <c r="S96" s="21" t="s">
        <v>175</v>
      </c>
      <c r="T96" s="21" t="s">
        <v>363</v>
      </c>
      <c r="U96" s="21"/>
      <c r="W96" s="21" t="s">
        <v>364</v>
      </c>
    </row>
    <row r="97" spans="1:23" ht="30" x14ac:dyDescent="0.2">
      <c r="A97" s="50">
        <f t="shared" si="2"/>
        <v>96</v>
      </c>
      <c r="B97" s="21" t="s">
        <v>341</v>
      </c>
      <c r="C97" s="21"/>
      <c r="D97" s="21" t="s">
        <v>365</v>
      </c>
      <c r="E97" s="21" t="s">
        <v>109</v>
      </c>
      <c r="F97" s="21" t="s">
        <v>172</v>
      </c>
      <c r="G97" s="21" t="s">
        <v>164</v>
      </c>
      <c r="H97" s="21" t="s">
        <v>341</v>
      </c>
      <c r="I97" s="21"/>
      <c r="J97" s="51">
        <v>1</v>
      </c>
      <c r="K97" s="52">
        <v>46309</v>
      </c>
      <c r="L97" s="52">
        <v>46311</v>
      </c>
      <c r="M97" s="52">
        <v>46311</v>
      </c>
      <c r="N97" s="82" t="s">
        <v>344</v>
      </c>
      <c r="O97" s="21" t="s">
        <v>166</v>
      </c>
      <c r="P97" s="21"/>
      <c r="Q97" s="21"/>
      <c r="R97" s="21"/>
      <c r="S97" s="21" t="s">
        <v>175</v>
      </c>
      <c r="T97" s="21" t="s">
        <v>363</v>
      </c>
      <c r="U97" s="21"/>
      <c r="V97" s="21"/>
      <c r="W97" s="21"/>
    </row>
    <row r="98" spans="1:23" ht="16" x14ac:dyDescent="0.2">
      <c r="A98" s="50">
        <f t="shared" si="2"/>
        <v>97</v>
      </c>
      <c r="B98" s="21" t="s">
        <v>341</v>
      </c>
      <c r="C98" s="21"/>
      <c r="D98" s="21" t="s">
        <v>366</v>
      </c>
      <c r="E98" s="21" t="s">
        <v>109</v>
      </c>
      <c r="F98" s="21" t="s">
        <v>172</v>
      </c>
      <c r="G98" s="21" t="s">
        <v>164</v>
      </c>
      <c r="H98" s="21" t="s">
        <v>341</v>
      </c>
      <c r="I98" s="21"/>
      <c r="J98" s="51">
        <v>1</v>
      </c>
      <c r="K98" s="52">
        <v>46309</v>
      </c>
      <c r="L98" s="52">
        <v>46311</v>
      </c>
      <c r="M98" s="52">
        <v>46311</v>
      </c>
      <c r="N98" s="82" t="s">
        <v>344</v>
      </c>
      <c r="O98" s="21" t="s">
        <v>166</v>
      </c>
      <c r="P98" s="21"/>
      <c r="Q98" s="21"/>
      <c r="R98" s="21"/>
      <c r="S98" s="21" t="s">
        <v>175</v>
      </c>
      <c r="T98" s="21" t="s">
        <v>363</v>
      </c>
      <c r="U98" s="21"/>
      <c r="V98" s="21"/>
      <c r="W98" s="21"/>
    </row>
    <row r="99" spans="1:23" ht="16" x14ac:dyDescent="0.2">
      <c r="A99" s="50">
        <f t="shared" ref="A99:A130" si="3">IF(OR(D99&lt;&gt;"", B99&lt;&gt;""), ROW()-1, "")</f>
        <v>98</v>
      </c>
      <c r="B99" s="21" t="s">
        <v>341</v>
      </c>
      <c r="C99" s="21"/>
      <c r="D99" s="21" t="s">
        <v>367</v>
      </c>
      <c r="E99" s="21" t="s">
        <v>109</v>
      </c>
      <c r="F99" s="21" t="s">
        <v>163</v>
      </c>
      <c r="G99" s="21" t="s">
        <v>164</v>
      </c>
      <c r="H99" s="21" t="s">
        <v>341</v>
      </c>
      <c r="I99" s="21"/>
      <c r="J99" s="51">
        <v>1</v>
      </c>
      <c r="K99" s="52">
        <v>46310</v>
      </c>
      <c r="L99" s="52">
        <v>46311</v>
      </c>
      <c r="M99" s="52">
        <v>46311</v>
      </c>
      <c r="N99" s="82" t="s">
        <v>344</v>
      </c>
      <c r="O99" s="21" t="s">
        <v>166</v>
      </c>
      <c r="P99" s="21"/>
      <c r="Q99" s="21"/>
      <c r="R99" s="21"/>
      <c r="S99" s="21" t="s">
        <v>175</v>
      </c>
      <c r="T99" s="21" t="s">
        <v>363</v>
      </c>
      <c r="U99" s="21"/>
      <c r="V99" s="21"/>
      <c r="W99" s="21"/>
    </row>
    <row r="100" spans="1:23" ht="105" x14ac:dyDescent="0.2">
      <c r="A100" s="50">
        <f t="shared" si="3"/>
        <v>99</v>
      </c>
      <c r="B100" s="21" t="s">
        <v>341</v>
      </c>
      <c r="C100" s="21"/>
      <c r="D100" s="21" t="s">
        <v>368</v>
      </c>
      <c r="E100" s="21" t="s">
        <v>369</v>
      </c>
      <c r="F100" s="21" t="s">
        <v>172</v>
      </c>
      <c r="G100" s="21" t="s">
        <v>164</v>
      </c>
      <c r="H100" s="21" t="s">
        <v>341</v>
      </c>
      <c r="I100" s="21"/>
      <c r="J100" s="51">
        <v>1</v>
      </c>
      <c r="K100" s="52">
        <v>46311</v>
      </c>
      <c r="L100" s="52">
        <v>46314</v>
      </c>
      <c r="M100" s="52">
        <v>46314</v>
      </c>
      <c r="N100" s="82" t="s">
        <v>344</v>
      </c>
      <c r="O100" s="21" t="s">
        <v>166</v>
      </c>
      <c r="P100" s="21"/>
      <c r="Q100" s="21"/>
      <c r="R100" s="21"/>
      <c r="S100" s="21" t="s">
        <v>175</v>
      </c>
      <c r="T100" s="21" t="s">
        <v>363</v>
      </c>
      <c r="U100" s="21"/>
      <c r="V100" s="21" t="s">
        <v>370</v>
      </c>
      <c r="W100" s="21" t="s">
        <v>371</v>
      </c>
    </row>
    <row r="101" spans="1:23" ht="45" x14ac:dyDescent="0.2">
      <c r="A101" s="50">
        <f t="shared" si="3"/>
        <v>100</v>
      </c>
      <c r="B101" s="21" t="s">
        <v>341</v>
      </c>
      <c r="C101" s="21"/>
      <c r="D101" s="21" t="s">
        <v>372</v>
      </c>
      <c r="E101" s="21" t="s">
        <v>109</v>
      </c>
      <c r="F101" s="21" t="s">
        <v>172</v>
      </c>
      <c r="G101" s="21" t="s">
        <v>164</v>
      </c>
      <c r="H101" s="21" t="s">
        <v>341</v>
      </c>
      <c r="I101" s="21"/>
      <c r="J101" s="51">
        <v>1</v>
      </c>
      <c r="K101" s="52">
        <v>46311</v>
      </c>
      <c r="L101" s="52">
        <v>46314</v>
      </c>
      <c r="M101" s="52">
        <v>46314</v>
      </c>
      <c r="N101" s="82" t="s">
        <v>344</v>
      </c>
      <c r="O101" s="21" t="s">
        <v>166</v>
      </c>
      <c r="P101" s="21"/>
      <c r="Q101" s="21"/>
      <c r="R101" s="21"/>
      <c r="S101" s="21" t="s">
        <v>175</v>
      </c>
      <c r="T101" s="21" t="s">
        <v>363</v>
      </c>
      <c r="U101" s="21"/>
      <c r="V101" s="21" t="s">
        <v>373</v>
      </c>
      <c r="W101" s="21" t="s">
        <v>374</v>
      </c>
    </row>
    <row r="102" spans="1:23" ht="75" x14ac:dyDescent="0.2">
      <c r="A102" s="50">
        <f t="shared" si="3"/>
        <v>101</v>
      </c>
      <c r="B102" s="21" t="s">
        <v>341</v>
      </c>
      <c r="C102" s="21"/>
      <c r="D102" s="21" t="s">
        <v>375</v>
      </c>
      <c r="E102" s="21" t="s">
        <v>109</v>
      </c>
      <c r="F102" s="21" t="s">
        <v>172</v>
      </c>
      <c r="G102" s="21" t="s">
        <v>164</v>
      </c>
      <c r="H102" s="21" t="s">
        <v>341</v>
      </c>
      <c r="I102" s="21"/>
      <c r="J102" s="51">
        <v>1</v>
      </c>
      <c r="K102" s="52">
        <v>46311</v>
      </c>
      <c r="L102" s="52">
        <v>46314</v>
      </c>
      <c r="M102" s="52">
        <v>46314</v>
      </c>
      <c r="N102" s="82" t="s">
        <v>344</v>
      </c>
      <c r="O102" s="21" t="s">
        <v>166</v>
      </c>
      <c r="P102" s="21"/>
      <c r="Q102" s="21"/>
      <c r="R102" s="21"/>
      <c r="S102" s="21" t="s">
        <v>175</v>
      </c>
      <c r="T102" s="21" t="s">
        <v>363</v>
      </c>
      <c r="U102" s="21"/>
      <c r="V102" s="21" t="s">
        <v>376</v>
      </c>
      <c r="W102" s="21" t="s">
        <v>377</v>
      </c>
    </row>
    <row r="103" spans="1:23" ht="75" x14ac:dyDescent="0.2">
      <c r="A103" s="50">
        <f t="shared" si="3"/>
        <v>102</v>
      </c>
      <c r="B103" s="21" t="s">
        <v>341</v>
      </c>
      <c r="C103" s="21"/>
      <c r="D103" s="21" t="s">
        <v>378</v>
      </c>
      <c r="E103" s="21" t="s">
        <v>109</v>
      </c>
      <c r="F103" s="21" t="s">
        <v>163</v>
      </c>
      <c r="G103" s="21" t="s">
        <v>164</v>
      </c>
      <c r="H103" s="21" t="s">
        <v>341</v>
      </c>
      <c r="I103" s="21"/>
      <c r="J103" s="51">
        <v>1</v>
      </c>
      <c r="K103" s="52">
        <v>46314</v>
      </c>
      <c r="L103" s="52">
        <v>46315</v>
      </c>
      <c r="M103" s="52">
        <v>46315</v>
      </c>
      <c r="N103" s="82" t="s">
        <v>344</v>
      </c>
      <c r="O103" s="21" t="s">
        <v>166</v>
      </c>
      <c r="P103" s="21"/>
      <c r="Q103" s="21"/>
      <c r="R103" s="21"/>
      <c r="S103" s="21" t="s">
        <v>175</v>
      </c>
      <c r="T103" s="21" t="s">
        <v>363</v>
      </c>
      <c r="U103" s="21"/>
      <c r="V103" s="21" t="s">
        <v>379</v>
      </c>
      <c r="W103" s="75" t="s">
        <v>380</v>
      </c>
    </row>
    <row r="104" spans="1:23" ht="16" x14ac:dyDescent="0.2">
      <c r="A104" s="50">
        <f t="shared" si="3"/>
        <v>103</v>
      </c>
      <c r="B104" s="21" t="s">
        <v>341</v>
      </c>
      <c r="C104" s="21"/>
      <c r="D104" s="21" t="s">
        <v>381</v>
      </c>
      <c r="E104" s="21" t="s">
        <v>109</v>
      </c>
      <c r="F104" s="21" t="s">
        <v>163</v>
      </c>
      <c r="G104" s="21" t="s">
        <v>164</v>
      </c>
      <c r="H104" s="21" t="s">
        <v>341</v>
      </c>
      <c r="I104" s="21"/>
      <c r="J104" s="51">
        <v>1</v>
      </c>
      <c r="K104" s="52">
        <v>46314</v>
      </c>
      <c r="L104" s="52">
        <v>46315</v>
      </c>
      <c r="M104" s="52">
        <v>46315</v>
      </c>
      <c r="N104" s="82" t="s">
        <v>344</v>
      </c>
      <c r="O104" s="21" t="s">
        <v>166</v>
      </c>
      <c r="P104" s="21"/>
      <c r="Q104" s="21"/>
      <c r="R104" s="21"/>
      <c r="S104" s="21" t="s">
        <v>175</v>
      </c>
      <c r="T104" s="21" t="s">
        <v>363</v>
      </c>
      <c r="U104" s="21"/>
      <c r="V104" s="21"/>
      <c r="W104" s="21"/>
    </row>
    <row r="105" spans="1:23" ht="60" x14ac:dyDescent="0.2">
      <c r="A105" s="50">
        <f t="shared" si="3"/>
        <v>104</v>
      </c>
      <c r="B105" s="21" t="s">
        <v>341</v>
      </c>
      <c r="C105" s="21"/>
      <c r="D105" s="21" t="s">
        <v>382</v>
      </c>
      <c r="E105" s="21" t="s">
        <v>109</v>
      </c>
      <c r="F105" s="21" t="s">
        <v>163</v>
      </c>
      <c r="G105" s="21" t="s">
        <v>164</v>
      </c>
      <c r="H105" s="21" t="s">
        <v>341</v>
      </c>
      <c r="I105" s="21"/>
      <c r="J105" s="51">
        <v>1</v>
      </c>
      <c r="K105" s="52">
        <v>46315</v>
      </c>
      <c r="L105" s="52">
        <v>46316</v>
      </c>
      <c r="M105" s="52">
        <v>46316</v>
      </c>
      <c r="N105" s="82" t="s">
        <v>344</v>
      </c>
      <c r="O105" s="21" t="s">
        <v>166</v>
      </c>
      <c r="P105" s="21"/>
      <c r="Q105" s="21"/>
      <c r="R105" s="21"/>
      <c r="S105" s="21" t="s">
        <v>175</v>
      </c>
      <c r="T105" s="21" t="s">
        <v>363</v>
      </c>
      <c r="U105" s="21"/>
      <c r="V105" s="21" t="s">
        <v>383</v>
      </c>
      <c r="W105" s="21" t="s">
        <v>384</v>
      </c>
    </row>
    <row r="106" spans="1:23" ht="16" x14ac:dyDescent="0.2">
      <c r="A106" s="50">
        <f t="shared" si="3"/>
        <v>105</v>
      </c>
      <c r="B106" s="21" t="s">
        <v>385</v>
      </c>
      <c r="C106" s="21"/>
      <c r="D106" s="21" t="s">
        <v>386</v>
      </c>
      <c r="E106" s="21" t="s">
        <v>110</v>
      </c>
      <c r="F106" s="21" t="s">
        <v>172</v>
      </c>
      <c r="G106" s="21" t="s">
        <v>179</v>
      </c>
      <c r="H106" s="21" t="s">
        <v>387</v>
      </c>
      <c r="I106" s="21"/>
      <c r="J106" s="51">
        <v>0.25</v>
      </c>
      <c r="K106" s="52">
        <v>46315</v>
      </c>
      <c r="L106" s="52">
        <v>46318</v>
      </c>
      <c r="M106" s="52">
        <v>46318</v>
      </c>
      <c r="N106" s="82" t="s">
        <v>388</v>
      </c>
      <c r="O106" s="21" t="s">
        <v>166</v>
      </c>
      <c r="P106" s="21"/>
      <c r="Q106" s="21"/>
      <c r="R106" s="21"/>
      <c r="S106" s="21" t="s">
        <v>175</v>
      </c>
      <c r="T106" s="21" t="s">
        <v>363</v>
      </c>
      <c r="U106" s="21"/>
      <c r="V106" s="21"/>
      <c r="W106" s="21"/>
    </row>
    <row r="107" spans="1:23" ht="60" x14ac:dyDescent="0.2">
      <c r="A107" s="50">
        <f t="shared" si="3"/>
        <v>106</v>
      </c>
      <c r="B107" s="21" t="s">
        <v>389</v>
      </c>
      <c r="C107" s="21"/>
      <c r="D107" s="21" t="s">
        <v>390</v>
      </c>
      <c r="E107" s="21" t="s">
        <v>109</v>
      </c>
      <c r="F107" s="21" t="s">
        <v>172</v>
      </c>
      <c r="G107" s="21" t="s">
        <v>179</v>
      </c>
      <c r="H107" s="21" t="s">
        <v>173</v>
      </c>
      <c r="I107" s="21"/>
      <c r="J107" s="51">
        <v>1</v>
      </c>
      <c r="K107" s="52">
        <v>46315</v>
      </c>
      <c r="L107" s="52">
        <v>46318</v>
      </c>
      <c r="M107" s="52">
        <v>46318</v>
      </c>
      <c r="N107" s="82" t="s">
        <v>174</v>
      </c>
      <c r="O107" s="21" t="s">
        <v>166</v>
      </c>
      <c r="P107" s="21"/>
      <c r="Q107" s="21"/>
      <c r="R107" s="21"/>
      <c r="S107" s="21" t="s">
        <v>175</v>
      </c>
      <c r="T107" s="21" t="s">
        <v>363</v>
      </c>
      <c r="U107" s="21"/>
      <c r="V107" s="21" t="s">
        <v>391</v>
      </c>
      <c r="W107" s="21" t="s">
        <v>392</v>
      </c>
    </row>
    <row r="108" spans="1:23" ht="16" x14ac:dyDescent="0.2">
      <c r="A108" s="50">
        <f t="shared" si="3"/>
        <v>107</v>
      </c>
      <c r="B108" s="21" t="s">
        <v>341</v>
      </c>
      <c r="C108" s="21"/>
      <c r="D108" s="21" t="s">
        <v>393</v>
      </c>
      <c r="E108" s="21" t="s">
        <v>110</v>
      </c>
      <c r="F108" s="21" t="s">
        <v>163</v>
      </c>
      <c r="G108" s="21" t="s">
        <v>164</v>
      </c>
      <c r="H108" s="21" t="s">
        <v>341</v>
      </c>
      <c r="I108" s="21"/>
      <c r="J108" s="51">
        <v>0.1</v>
      </c>
      <c r="K108" s="52">
        <v>46316</v>
      </c>
      <c r="L108" s="52">
        <v>46339</v>
      </c>
      <c r="M108" s="52">
        <v>46339</v>
      </c>
      <c r="N108" s="82" t="s">
        <v>344</v>
      </c>
      <c r="O108" s="21" t="s">
        <v>166</v>
      </c>
      <c r="P108" s="21"/>
      <c r="Q108" s="21"/>
      <c r="R108" s="21"/>
      <c r="S108" s="21" t="s">
        <v>175</v>
      </c>
      <c r="T108" s="21" t="s">
        <v>363</v>
      </c>
      <c r="U108" s="21"/>
      <c r="V108" s="21"/>
      <c r="W108" s="21"/>
    </row>
    <row r="109" spans="1:23" ht="25.5" customHeight="1" x14ac:dyDescent="0.2">
      <c r="A109" s="50">
        <f t="shared" si="3"/>
        <v>108</v>
      </c>
      <c r="B109" s="21" t="s">
        <v>385</v>
      </c>
      <c r="C109" s="21"/>
      <c r="D109" s="21" t="s">
        <v>394</v>
      </c>
      <c r="E109" s="21" t="s">
        <v>110</v>
      </c>
      <c r="F109" s="21" t="s">
        <v>172</v>
      </c>
      <c r="G109" s="21" t="s">
        <v>179</v>
      </c>
      <c r="H109" s="21" t="s">
        <v>387</v>
      </c>
      <c r="I109" s="21"/>
      <c r="J109" s="51">
        <v>0.1</v>
      </c>
      <c r="K109" s="52">
        <v>46316</v>
      </c>
      <c r="L109" s="52">
        <v>46325</v>
      </c>
      <c r="M109" s="52">
        <v>46325</v>
      </c>
      <c r="N109" s="21"/>
      <c r="O109" s="21" t="s">
        <v>166</v>
      </c>
      <c r="P109" s="21"/>
      <c r="Q109" s="21"/>
      <c r="R109" s="21"/>
      <c r="S109" s="21" t="s">
        <v>175</v>
      </c>
      <c r="T109" s="21" t="s">
        <v>363</v>
      </c>
      <c r="U109" s="21"/>
      <c r="V109" s="21"/>
      <c r="W109" s="21"/>
    </row>
    <row r="110" spans="1:23" ht="120" x14ac:dyDescent="0.2">
      <c r="A110" s="50">
        <f t="shared" si="3"/>
        <v>109</v>
      </c>
      <c r="B110" s="21" t="s">
        <v>385</v>
      </c>
      <c r="C110" s="21"/>
      <c r="D110" s="21" t="s">
        <v>395</v>
      </c>
      <c r="E110" s="21" t="s">
        <v>109</v>
      </c>
      <c r="F110" s="21" t="s">
        <v>163</v>
      </c>
      <c r="G110" s="21" t="s">
        <v>179</v>
      </c>
      <c r="H110" s="21" t="s">
        <v>387</v>
      </c>
      <c r="I110" s="21"/>
      <c r="J110" s="51">
        <v>1</v>
      </c>
      <c r="K110" s="52">
        <v>46316</v>
      </c>
      <c r="L110" s="52">
        <v>46316</v>
      </c>
      <c r="M110" s="52">
        <v>46316</v>
      </c>
      <c r="N110" s="21"/>
      <c r="O110" s="21" t="s">
        <v>166</v>
      </c>
      <c r="P110" s="21"/>
      <c r="Q110" s="21"/>
      <c r="R110" s="21"/>
      <c r="S110" s="21" t="s">
        <v>175</v>
      </c>
      <c r="T110" s="21" t="s">
        <v>363</v>
      </c>
      <c r="U110" s="21"/>
      <c r="V110" s="21" t="s">
        <v>396</v>
      </c>
      <c r="W110" s="21" t="s">
        <v>397</v>
      </c>
    </row>
    <row r="111" spans="1:23" x14ac:dyDescent="0.2">
      <c r="A111" s="50">
        <f t="shared" si="3"/>
        <v>110</v>
      </c>
      <c r="B111" s="21" t="s">
        <v>385</v>
      </c>
      <c r="C111" s="21"/>
      <c r="D111" s="21" t="s">
        <v>398</v>
      </c>
      <c r="E111" s="21" t="s">
        <v>110</v>
      </c>
      <c r="F111" s="21" t="s">
        <v>163</v>
      </c>
      <c r="G111" s="21" t="s">
        <v>179</v>
      </c>
      <c r="H111" s="21" t="s">
        <v>387</v>
      </c>
      <c r="I111" s="21"/>
      <c r="J111" s="51">
        <v>0.6</v>
      </c>
      <c r="K111" s="52">
        <v>46317</v>
      </c>
      <c r="L111" s="52">
        <v>46322</v>
      </c>
      <c r="M111" s="52">
        <v>46322</v>
      </c>
      <c r="N111" s="21"/>
      <c r="O111" s="21" t="s">
        <v>166</v>
      </c>
      <c r="P111" s="21"/>
      <c r="Q111" s="21"/>
      <c r="R111" s="21"/>
      <c r="S111" s="21" t="s">
        <v>175</v>
      </c>
      <c r="T111" s="21" t="s">
        <v>363</v>
      </c>
      <c r="U111" s="21"/>
      <c r="V111" s="21"/>
      <c r="W111" s="21"/>
    </row>
    <row r="112" spans="1:23" ht="30" x14ac:dyDescent="0.2">
      <c r="A112" s="50">
        <f t="shared" si="3"/>
        <v>111</v>
      </c>
      <c r="B112" s="21" t="s">
        <v>385</v>
      </c>
      <c r="C112" s="21"/>
      <c r="D112" s="21" t="s">
        <v>399</v>
      </c>
      <c r="E112" s="21" t="s">
        <v>109</v>
      </c>
      <c r="F112" s="21" t="s">
        <v>294</v>
      </c>
      <c r="G112" s="21" t="s">
        <v>200</v>
      </c>
      <c r="H112" s="21" t="s">
        <v>387</v>
      </c>
      <c r="I112" s="21"/>
      <c r="J112" s="51">
        <v>1</v>
      </c>
      <c r="K112" s="52">
        <v>46318</v>
      </c>
      <c r="L112" s="52">
        <v>46318</v>
      </c>
      <c r="M112" s="52">
        <v>46318</v>
      </c>
      <c r="N112" s="21"/>
      <c r="O112" s="21" t="s">
        <v>166</v>
      </c>
      <c r="P112" s="21"/>
      <c r="Q112" s="21"/>
      <c r="R112" s="21"/>
      <c r="S112" s="21" t="s">
        <v>175</v>
      </c>
      <c r="T112" s="21" t="s">
        <v>363</v>
      </c>
      <c r="U112" s="21"/>
      <c r="V112" s="21"/>
      <c r="W112" s="21" t="s">
        <v>400</v>
      </c>
    </row>
    <row r="113" spans="1:23" ht="16" x14ac:dyDescent="0.2">
      <c r="A113" s="50">
        <f t="shared" si="3"/>
        <v>112</v>
      </c>
      <c r="B113" s="21" t="s">
        <v>389</v>
      </c>
      <c r="C113" s="21"/>
      <c r="D113" s="21" t="s">
        <v>401</v>
      </c>
      <c r="E113" s="21" t="s">
        <v>110</v>
      </c>
      <c r="F113" s="21" t="s">
        <v>163</v>
      </c>
      <c r="G113" s="21" t="s">
        <v>179</v>
      </c>
      <c r="H113" s="21" t="s">
        <v>402</v>
      </c>
      <c r="I113" s="21"/>
      <c r="J113" s="51">
        <v>0.2</v>
      </c>
      <c r="K113" s="52">
        <v>46318</v>
      </c>
      <c r="L113" s="52">
        <v>46353</v>
      </c>
      <c r="M113" s="52">
        <v>46353</v>
      </c>
      <c r="N113" s="82" t="s">
        <v>174</v>
      </c>
      <c r="O113" s="21" t="s">
        <v>166</v>
      </c>
      <c r="P113" s="21"/>
      <c r="Q113" s="21"/>
      <c r="R113" s="21"/>
      <c r="S113" s="21" t="s">
        <v>175</v>
      </c>
      <c r="T113" s="21" t="s">
        <v>363</v>
      </c>
      <c r="U113" s="21"/>
      <c r="V113" s="21"/>
      <c r="W113" s="21"/>
    </row>
    <row r="114" spans="1:23" ht="30" x14ac:dyDescent="0.2">
      <c r="A114" s="50">
        <f t="shared" si="3"/>
        <v>113</v>
      </c>
      <c r="B114" s="21" t="s">
        <v>389</v>
      </c>
      <c r="C114" s="21"/>
      <c r="D114" s="21" t="s">
        <v>403</v>
      </c>
      <c r="E114" s="21" t="s">
        <v>109</v>
      </c>
      <c r="F114" s="21" t="s">
        <v>294</v>
      </c>
      <c r="G114" s="21" t="s">
        <v>179</v>
      </c>
      <c r="H114" s="21" t="s">
        <v>402</v>
      </c>
      <c r="I114" s="21"/>
      <c r="J114" s="51">
        <v>1</v>
      </c>
      <c r="K114" s="52">
        <v>46318</v>
      </c>
      <c r="L114" s="52">
        <v>46318</v>
      </c>
      <c r="M114" s="52">
        <v>46318</v>
      </c>
      <c r="N114" s="82" t="s">
        <v>174</v>
      </c>
      <c r="O114" s="21" t="s">
        <v>166</v>
      </c>
      <c r="P114" s="21"/>
      <c r="Q114" s="21"/>
      <c r="R114" s="21"/>
      <c r="S114" s="21" t="s">
        <v>175</v>
      </c>
      <c r="T114" s="21" t="s">
        <v>363</v>
      </c>
      <c r="U114" s="21"/>
      <c r="V114" s="21"/>
      <c r="W114" s="21" t="s">
        <v>404</v>
      </c>
    </row>
    <row r="115" spans="1:23" x14ac:dyDescent="0.2">
      <c r="A115" s="50" t="str">
        <f t="shared" si="3"/>
        <v/>
      </c>
      <c r="B115" s="21"/>
      <c r="C115" s="21"/>
      <c r="D115" s="21"/>
      <c r="E115" s="21"/>
      <c r="F115" s="21"/>
      <c r="G115" s="21"/>
      <c r="H115" s="21"/>
      <c r="I115" s="21"/>
      <c r="J115" s="21"/>
      <c r="K115" s="21"/>
      <c r="L115" s="21"/>
      <c r="M115" s="21"/>
      <c r="N115" s="21"/>
      <c r="O115" s="21"/>
      <c r="P115" s="21"/>
      <c r="Q115" s="21"/>
      <c r="R115" s="21"/>
      <c r="S115" s="21"/>
      <c r="T115" s="21"/>
      <c r="U115" s="21"/>
      <c r="V115" s="21"/>
      <c r="W115" s="21"/>
    </row>
    <row r="116" spans="1:23" x14ac:dyDescent="0.2">
      <c r="A116" s="50" t="str">
        <f t="shared" si="3"/>
        <v/>
      </c>
      <c r="B116" s="21"/>
      <c r="C116" s="21"/>
      <c r="D116" s="21"/>
      <c r="E116" s="21"/>
      <c r="F116" s="21"/>
      <c r="G116" s="21"/>
      <c r="H116" s="21"/>
      <c r="I116" s="21"/>
      <c r="J116" s="21"/>
      <c r="K116" s="21"/>
      <c r="L116" s="21"/>
      <c r="M116" s="21"/>
      <c r="N116" s="21"/>
      <c r="O116" s="21"/>
      <c r="P116" s="21"/>
      <c r="Q116" s="21"/>
      <c r="R116" s="21"/>
      <c r="S116" s="21"/>
      <c r="T116" s="21"/>
      <c r="U116" s="21"/>
      <c r="V116" s="21"/>
      <c r="W116" s="21"/>
    </row>
    <row r="117" spans="1:23" x14ac:dyDescent="0.2">
      <c r="A117" s="50" t="str">
        <f t="shared" si="3"/>
        <v/>
      </c>
      <c r="B117" s="21"/>
      <c r="C117" s="21"/>
      <c r="D117" s="21"/>
      <c r="E117" s="21"/>
      <c r="F117" s="21"/>
      <c r="G117" s="21"/>
      <c r="H117" s="21"/>
      <c r="I117" s="21"/>
      <c r="J117" s="21"/>
      <c r="K117" s="21"/>
      <c r="L117" s="21"/>
      <c r="M117" s="21"/>
      <c r="N117" s="21"/>
      <c r="O117" s="21"/>
      <c r="P117" s="21"/>
      <c r="Q117" s="21"/>
      <c r="R117" s="21"/>
      <c r="S117" s="21"/>
      <c r="T117" s="21"/>
      <c r="U117" s="21"/>
      <c r="V117" s="21"/>
      <c r="W117" s="21"/>
    </row>
    <row r="118" spans="1:23" x14ac:dyDescent="0.2">
      <c r="A118" s="50" t="str">
        <f t="shared" si="3"/>
        <v/>
      </c>
      <c r="B118" s="21"/>
      <c r="C118" s="21"/>
      <c r="D118" s="21"/>
      <c r="E118" s="21"/>
      <c r="F118" s="21"/>
      <c r="G118" s="21"/>
      <c r="H118" s="21"/>
      <c r="I118" s="21"/>
      <c r="J118" s="21"/>
      <c r="K118" s="21"/>
      <c r="L118" s="21"/>
      <c r="M118" s="21"/>
      <c r="N118" s="21"/>
      <c r="O118" s="21"/>
      <c r="P118" s="21"/>
      <c r="Q118" s="21"/>
      <c r="R118" s="21"/>
      <c r="S118" s="21"/>
      <c r="T118" s="21"/>
      <c r="U118" s="21"/>
      <c r="V118" s="21"/>
      <c r="W118" s="21"/>
    </row>
    <row r="119" spans="1:23" x14ac:dyDescent="0.2">
      <c r="A119" s="50" t="str">
        <f t="shared" si="3"/>
        <v/>
      </c>
      <c r="B119" s="21"/>
      <c r="C119" s="21"/>
      <c r="D119" s="21"/>
      <c r="E119" s="21"/>
      <c r="F119" s="21"/>
      <c r="G119" s="21"/>
      <c r="H119" s="21"/>
      <c r="I119" s="21"/>
      <c r="J119" s="21"/>
      <c r="K119" s="21"/>
      <c r="L119" s="21"/>
      <c r="M119" s="21"/>
      <c r="N119" s="21"/>
      <c r="O119" s="21"/>
      <c r="P119" s="21"/>
      <c r="Q119" s="21"/>
      <c r="R119" s="21"/>
      <c r="S119" s="21"/>
      <c r="T119" s="21"/>
      <c r="U119" s="21"/>
      <c r="V119" s="21"/>
      <c r="W119" s="21"/>
    </row>
    <row r="120" spans="1:23" x14ac:dyDescent="0.2">
      <c r="A120" s="50" t="str">
        <f t="shared" si="3"/>
        <v/>
      </c>
      <c r="B120" s="21"/>
      <c r="C120" s="21"/>
      <c r="D120" s="21"/>
      <c r="E120" s="21"/>
      <c r="F120" s="21"/>
      <c r="G120" s="21"/>
      <c r="H120" s="21"/>
      <c r="I120" s="21"/>
      <c r="J120" s="21"/>
      <c r="K120" s="21"/>
      <c r="L120" s="21"/>
      <c r="M120" s="21"/>
      <c r="N120" s="21"/>
      <c r="O120" s="21"/>
      <c r="P120" s="21"/>
      <c r="Q120" s="21"/>
      <c r="R120" s="21"/>
      <c r="S120" s="21"/>
      <c r="T120" s="21"/>
      <c r="U120" s="21"/>
      <c r="V120" s="21"/>
      <c r="W120" s="21"/>
    </row>
    <row r="121" spans="1:23" x14ac:dyDescent="0.2">
      <c r="A121" s="50" t="str">
        <f t="shared" si="3"/>
        <v/>
      </c>
      <c r="B121" s="21"/>
      <c r="C121" s="21"/>
      <c r="D121" s="21"/>
      <c r="E121" s="21"/>
      <c r="F121" s="21"/>
      <c r="G121" s="21"/>
      <c r="H121" s="21"/>
      <c r="I121" s="21"/>
      <c r="J121" s="21"/>
      <c r="K121" s="21"/>
      <c r="L121" s="21"/>
      <c r="M121" s="21"/>
      <c r="N121" s="21"/>
      <c r="O121" s="21"/>
      <c r="P121" s="21"/>
      <c r="Q121" s="21"/>
      <c r="R121" s="21"/>
      <c r="S121" s="21"/>
      <c r="T121" s="21"/>
      <c r="U121" s="21"/>
      <c r="V121" s="21"/>
      <c r="W121" s="21"/>
    </row>
    <row r="122" spans="1:23" x14ac:dyDescent="0.2">
      <c r="A122" s="50" t="str">
        <f t="shared" si="3"/>
        <v/>
      </c>
      <c r="B122" s="21"/>
      <c r="C122" s="21"/>
      <c r="D122" s="21"/>
      <c r="E122" s="21"/>
      <c r="F122" s="21"/>
      <c r="G122" s="21"/>
      <c r="H122" s="21"/>
      <c r="I122" s="21"/>
      <c r="J122" s="21"/>
      <c r="K122" s="21"/>
      <c r="L122" s="21"/>
      <c r="M122" s="21"/>
      <c r="N122" s="21"/>
      <c r="O122" s="21"/>
      <c r="P122" s="21"/>
      <c r="Q122" s="21"/>
      <c r="R122" s="21"/>
      <c r="S122" s="21"/>
      <c r="T122" s="21"/>
      <c r="U122" s="21"/>
      <c r="V122" s="21"/>
      <c r="W122" s="21"/>
    </row>
    <row r="123" spans="1:23" x14ac:dyDescent="0.2">
      <c r="A123" s="50" t="str">
        <f t="shared" si="3"/>
        <v/>
      </c>
      <c r="B123" s="21"/>
      <c r="C123" s="21"/>
      <c r="D123" s="21"/>
      <c r="E123" s="21"/>
      <c r="F123" s="21"/>
      <c r="G123" s="21"/>
      <c r="H123" s="21"/>
      <c r="I123" s="21"/>
      <c r="J123" s="21"/>
      <c r="K123" s="21"/>
      <c r="L123" s="21"/>
      <c r="M123" s="21"/>
      <c r="N123" s="21"/>
      <c r="O123" s="21"/>
      <c r="P123" s="21"/>
      <c r="Q123" s="21"/>
      <c r="R123" s="21"/>
      <c r="S123" s="21"/>
      <c r="T123" s="21"/>
      <c r="U123" s="21"/>
      <c r="V123" s="21"/>
      <c r="W123" s="21"/>
    </row>
    <row r="124" spans="1:23" x14ac:dyDescent="0.2">
      <c r="A124" s="50" t="str">
        <f t="shared" si="3"/>
        <v/>
      </c>
      <c r="B124" s="21"/>
      <c r="C124" s="21"/>
      <c r="D124" s="21"/>
      <c r="E124" s="21"/>
      <c r="F124" s="21"/>
      <c r="G124" s="21"/>
      <c r="H124" s="21"/>
      <c r="I124" s="21"/>
      <c r="J124" s="21"/>
      <c r="K124" s="21"/>
      <c r="L124" s="21"/>
      <c r="M124" s="21"/>
      <c r="N124" s="21"/>
      <c r="O124" s="21"/>
      <c r="P124" s="21"/>
      <c r="Q124" s="21"/>
      <c r="R124" s="21"/>
      <c r="S124" s="21"/>
      <c r="T124" s="21"/>
      <c r="U124" s="21"/>
      <c r="V124" s="21"/>
      <c r="W124" s="21"/>
    </row>
    <row r="125" spans="1:23" x14ac:dyDescent="0.2">
      <c r="A125" s="50" t="str">
        <f t="shared" si="3"/>
        <v/>
      </c>
      <c r="B125" s="21"/>
      <c r="C125" s="21"/>
      <c r="D125" s="21"/>
      <c r="E125" s="21"/>
      <c r="F125" s="21"/>
      <c r="G125" s="21"/>
      <c r="H125" s="21"/>
      <c r="I125" s="21"/>
      <c r="J125" s="21"/>
      <c r="K125" s="21"/>
      <c r="L125" s="21"/>
      <c r="M125" s="21"/>
      <c r="N125" s="21"/>
      <c r="O125" s="21"/>
      <c r="P125" s="21"/>
      <c r="Q125" s="21"/>
      <c r="R125" s="21"/>
      <c r="S125" s="21"/>
      <c r="T125" s="21"/>
      <c r="U125" s="21"/>
      <c r="V125" s="21"/>
      <c r="W125" s="21"/>
    </row>
    <row r="126" spans="1:23" x14ac:dyDescent="0.2">
      <c r="A126" s="50" t="str">
        <f t="shared" si="3"/>
        <v/>
      </c>
      <c r="B126" s="21"/>
      <c r="C126" s="21"/>
      <c r="D126" s="21"/>
      <c r="E126" s="21"/>
      <c r="F126" s="21"/>
      <c r="G126" s="21"/>
      <c r="H126" s="21"/>
      <c r="I126" s="21"/>
      <c r="J126" s="21"/>
      <c r="K126" s="21"/>
      <c r="L126" s="21"/>
      <c r="M126" s="21"/>
      <c r="N126" s="21"/>
      <c r="O126" s="21"/>
      <c r="P126" s="21"/>
      <c r="Q126" s="21"/>
      <c r="R126" s="21"/>
      <c r="S126" s="21"/>
      <c r="T126" s="21"/>
      <c r="U126" s="21"/>
      <c r="V126" s="21"/>
      <c r="W126" s="21"/>
    </row>
    <row r="127" spans="1:23" x14ac:dyDescent="0.2">
      <c r="A127" s="50" t="str">
        <f t="shared" si="3"/>
        <v/>
      </c>
      <c r="B127" s="21"/>
      <c r="C127" s="21"/>
      <c r="D127" s="21"/>
      <c r="E127" s="21"/>
      <c r="F127" s="21"/>
      <c r="G127" s="21"/>
      <c r="H127" s="21"/>
      <c r="I127" s="21"/>
      <c r="J127" s="21"/>
      <c r="K127" s="21"/>
      <c r="L127" s="21"/>
      <c r="M127" s="21"/>
      <c r="N127" s="21"/>
      <c r="O127" s="21"/>
      <c r="P127" s="21"/>
      <c r="Q127" s="21"/>
      <c r="R127" s="21"/>
      <c r="S127" s="21"/>
      <c r="T127" s="21"/>
      <c r="U127" s="21"/>
      <c r="V127" s="21"/>
      <c r="W127" s="21"/>
    </row>
    <row r="128" spans="1:23" x14ac:dyDescent="0.2">
      <c r="A128" s="50" t="str">
        <f t="shared" si="3"/>
        <v/>
      </c>
      <c r="B128" s="21"/>
      <c r="C128" s="21"/>
      <c r="D128" s="21"/>
      <c r="E128" s="21"/>
      <c r="F128" s="21"/>
      <c r="G128" s="21"/>
      <c r="H128" s="21"/>
      <c r="I128" s="21"/>
      <c r="J128" s="21"/>
      <c r="K128" s="21"/>
      <c r="L128" s="21"/>
      <c r="M128" s="21"/>
      <c r="N128" s="21"/>
      <c r="O128" s="21"/>
      <c r="P128" s="21"/>
      <c r="Q128" s="21"/>
      <c r="R128" s="21"/>
      <c r="S128" s="21"/>
      <c r="T128" s="21"/>
      <c r="U128" s="21"/>
      <c r="V128" s="21"/>
      <c r="W128" s="21"/>
    </row>
    <row r="129" spans="1:23" x14ac:dyDescent="0.2">
      <c r="A129" s="50" t="str">
        <f t="shared" si="3"/>
        <v/>
      </c>
      <c r="B129" s="21"/>
      <c r="C129" s="21"/>
      <c r="D129" s="21"/>
      <c r="E129" s="21"/>
      <c r="F129" s="21"/>
      <c r="G129" s="21"/>
      <c r="H129" s="21"/>
      <c r="I129" s="21"/>
      <c r="J129" s="21"/>
      <c r="K129" s="21"/>
      <c r="L129" s="21"/>
      <c r="M129" s="21"/>
      <c r="N129" s="21"/>
      <c r="O129" s="21"/>
      <c r="P129" s="21"/>
      <c r="Q129" s="21"/>
      <c r="R129" s="21"/>
      <c r="S129" s="21"/>
      <c r="T129" s="21"/>
      <c r="U129" s="21"/>
      <c r="V129" s="21"/>
      <c r="W129" s="21"/>
    </row>
    <row r="130" spans="1:23" x14ac:dyDescent="0.2">
      <c r="A130" s="50" t="str">
        <f t="shared" si="3"/>
        <v/>
      </c>
      <c r="B130" s="21"/>
      <c r="C130" s="21"/>
      <c r="D130" s="21"/>
      <c r="E130" s="21"/>
      <c r="F130" s="21"/>
      <c r="G130" s="21"/>
      <c r="H130" s="21"/>
      <c r="I130" s="21"/>
      <c r="J130" s="21"/>
      <c r="K130" s="21"/>
      <c r="L130" s="21"/>
      <c r="M130" s="21"/>
      <c r="N130" s="21"/>
      <c r="O130" s="21"/>
      <c r="P130" s="21"/>
      <c r="Q130" s="21"/>
      <c r="R130" s="21"/>
      <c r="S130" s="21"/>
      <c r="T130" s="21"/>
      <c r="U130" s="21"/>
      <c r="V130" s="21"/>
      <c r="W130" s="21"/>
    </row>
    <row r="131" spans="1:23" x14ac:dyDescent="0.2">
      <c r="A131" s="50" t="str">
        <f t="shared" ref="A131:A150" si="4">IF(OR(D131&lt;&gt;"", B131&lt;&gt;""), ROW()-1, "")</f>
        <v/>
      </c>
      <c r="B131" s="21"/>
      <c r="C131" s="21"/>
      <c r="D131" s="21"/>
      <c r="E131" s="21"/>
      <c r="F131" s="21"/>
      <c r="G131" s="21"/>
      <c r="H131" s="21"/>
      <c r="I131" s="21"/>
      <c r="J131" s="21"/>
      <c r="K131" s="21"/>
      <c r="L131" s="21"/>
      <c r="M131" s="21"/>
      <c r="N131" s="21"/>
      <c r="O131" s="21"/>
      <c r="P131" s="21"/>
      <c r="Q131" s="21"/>
      <c r="R131" s="21"/>
      <c r="S131" s="21"/>
      <c r="T131" s="21"/>
      <c r="U131" s="21"/>
      <c r="V131" s="21"/>
      <c r="W131" s="21"/>
    </row>
    <row r="132" spans="1:23" x14ac:dyDescent="0.2">
      <c r="A132" s="50" t="str">
        <f t="shared" si="4"/>
        <v/>
      </c>
      <c r="B132" s="21"/>
      <c r="C132" s="21"/>
      <c r="D132" s="21"/>
      <c r="E132" s="21"/>
      <c r="F132" s="21"/>
      <c r="G132" s="21"/>
      <c r="H132" s="21"/>
      <c r="I132" s="21"/>
      <c r="J132" s="21"/>
      <c r="K132" s="21"/>
      <c r="L132" s="21"/>
      <c r="M132" s="21"/>
      <c r="N132" s="21"/>
      <c r="O132" s="21"/>
      <c r="P132" s="21"/>
      <c r="Q132" s="21"/>
      <c r="R132" s="21"/>
      <c r="S132" s="21"/>
      <c r="T132" s="21"/>
      <c r="U132" s="21"/>
      <c r="V132" s="21"/>
      <c r="W132" s="21"/>
    </row>
    <row r="133" spans="1:23" x14ac:dyDescent="0.2">
      <c r="A133" s="50" t="str">
        <f t="shared" si="4"/>
        <v/>
      </c>
      <c r="B133" s="21"/>
      <c r="C133" s="21"/>
      <c r="D133" s="21"/>
      <c r="E133" s="21"/>
      <c r="F133" s="21"/>
      <c r="G133" s="21"/>
      <c r="H133" s="21"/>
      <c r="I133" s="21"/>
      <c r="J133" s="21"/>
      <c r="K133" s="21"/>
      <c r="L133" s="21"/>
      <c r="M133" s="21"/>
      <c r="N133" s="21"/>
      <c r="O133" s="21"/>
      <c r="P133" s="21"/>
      <c r="Q133" s="21"/>
      <c r="R133" s="21"/>
      <c r="S133" s="21"/>
      <c r="T133" s="21"/>
      <c r="U133" s="21"/>
      <c r="V133" s="21"/>
      <c r="W133" s="21"/>
    </row>
    <row r="134" spans="1:23" x14ac:dyDescent="0.2">
      <c r="A134" s="50" t="str">
        <f t="shared" si="4"/>
        <v/>
      </c>
      <c r="B134" s="21"/>
      <c r="C134" s="21"/>
      <c r="D134" s="21"/>
      <c r="E134" s="21"/>
      <c r="F134" s="21"/>
      <c r="G134" s="21"/>
      <c r="H134" s="21"/>
      <c r="I134" s="21"/>
      <c r="J134" s="21"/>
      <c r="K134" s="21"/>
      <c r="L134" s="21"/>
      <c r="M134" s="21"/>
      <c r="N134" s="21"/>
      <c r="O134" s="21"/>
      <c r="P134" s="21"/>
      <c r="Q134" s="21"/>
      <c r="R134" s="21"/>
      <c r="S134" s="21"/>
      <c r="T134" s="21"/>
      <c r="U134" s="21"/>
      <c r="V134" s="21"/>
      <c r="W134" s="21"/>
    </row>
    <row r="135" spans="1:23" x14ac:dyDescent="0.2">
      <c r="A135" s="50" t="str">
        <f t="shared" si="4"/>
        <v/>
      </c>
      <c r="B135" s="21"/>
      <c r="C135" s="21"/>
      <c r="D135" s="21"/>
      <c r="E135" s="21"/>
      <c r="F135" s="21"/>
      <c r="G135" s="21"/>
      <c r="H135" s="21"/>
      <c r="I135" s="21"/>
      <c r="J135" s="21"/>
      <c r="K135" s="21"/>
      <c r="L135" s="21"/>
      <c r="M135" s="21"/>
      <c r="N135" s="21"/>
      <c r="O135" s="21"/>
      <c r="P135" s="21"/>
      <c r="Q135" s="21"/>
      <c r="R135" s="21"/>
      <c r="S135" s="21"/>
      <c r="T135" s="21"/>
      <c r="U135" s="21"/>
      <c r="V135" s="21"/>
      <c r="W135" s="21"/>
    </row>
    <row r="136" spans="1:23" x14ac:dyDescent="0.2">
      <c r="A136" s="50" t="str">
        <f t="shared" si="4"/>
        <v/>
      </c>
      <c r="B136" s="21"/>
      <c r="C136" s="21"/>
      <c r="D136" s="21"/>
      <c r="E136" s="21"/>
      <c r="F136" s="21"/>
      <c r="G136" s="21"/>
      <c r="H136" s="21"/>
      <c r="I136" s="21"/>
      <c r="J136" s="21"/>
      <c r="K136" s="21"/>
      <c r="L136" s="21"/>
      <c r="M136" s="21"/>
      <c r="N136" s="21"/>
      <c r="O136" s="21"/>
      <c r="P136" s="21"/>
      <c r="Q136" s="21"/>
      <c r="R136" s="21"/>
      <c r="S136" s="21"/>
      <c r="T136" s="21"/>
      <c r="U136" s="21"/>
      <c r="V136" s="21"/>
      <c r="W136" s="21"/>
    </row>
    <row r="137" spans="1:23" x14ac:dyDescent="0.2">
      <c r="A137" s="50" t="str">
        <f t="shared" si="4"/>
        <v/>
      </c>
      <c r="B137" s="21"/>
      <c r="C137" s="21"/>
      <c r="D137" s="21"/>
      <c r="E137" s="21"/>
      <c r="F137" s="21"/>
      <c r="G137" s="21"/>
      <c r="H137" s="21"/>
      <c r="I137" s="21"/>
      <c r="J137" s="21"/>
      <c r="K137" s="21"/>
      <c r="L137" s="21"/>
      <c r="M137" s="21"/>
      <c r="N137" s="21"/>
      <c r="O137" s="21"/>
      <c r="P137" s="21"/>
      <c r="Q137" s="21"/>
      <c r="R137" s="21"/>
      <c r="S137" s="21"/>
      <c r="T137" s="21"/>
      <c r="U137" s="21"/>
      <c r="V137" s="21"/>
      <c r="W137" s="21"/>
    </row>
    <row r="138" spans="1:23" x14ac:dyDescent="0.2">
      <c r="A138" s="50" t="str">
        <f t="shared" si="4"/>
        <v/>
      </c>
      <c r="B138" s="21"/>
      <c r="C138" s="21"/>
      <c r="D138" s="21"/>
      <c r="E138" s="21"/>
      <c r="F138" s="21"/>
      <c r="G138" s="21"/>
      <c r="H138" s="21"/>
      <c r="I138" s="21"/>
      <c r="J138" s="21"/>
      <c r="K138" s="21"/>
      <c r="L138" s="21"/>
      <c r="M138" s="21"/>
      <c r="N138" s="21"/>
      <c r="O138" s="21"/>
      <c r="P138" s="21"/>
      <c r="Q138" s="21"/>
      <c r="R138" s="21"/>
      <c r="S138" s="21"/>
      <c r="T138" s="21"/>
      <c r="U138" s="21"/>
      <c r="V138" s="21"/>
      <c r="W138" s="21"/>
    </row>
    <row r="139" spans="1:23" x14ac:dyDescent="0.2">
      <c r="A139" s="50" t="str">
        <f t="shared" si="4"/>
        <v/>
      </c>
      <c r="B139" s="21"/>
      <c r="C139" s="21"/>
      <c r="D139" s="21"/>
      <c r="E139" s="21"/>
      <c r="F139" s="21"/>
      <c r="G139" s="21"/>
      <c r="H139" s="21"/>
      <c r="I139" s="21"/>
      <c r="J139" s="21"/>
      <c r="K139" s="21"/>
      <c r="L139" s="21"/>
      <c r="M139" s="21"/>
      <c r="N139" s="21"/>
      <c r="O139" s="21"/>
      <c r="P139" s="21"/>
      <c r="Q139" s="21"/>
      <c r="R139" s="21"/>
      <c r="S139" s="21"/>
      <c r="T139" s="21"/>
      <c r="U139" s="21"/>
      <c r="V139" s="21"/>
      <c r="W139" s="21"/>
    </row>
    <row r="140" spans="1:23" x14ac:dyDescent="0.2">
      <c r="A140" s="50" t="str">
        <f t="shared" si="4"/>
        <v/>
      </c>
      <c r="B140" s="21"/>
      <c r="C140" s="21"/>
      <c r="D140" s="21"/>
      <c r="E140" s="21"/>
      <c r="F140" s="21"/>
      <c r="G140" s="21"/>
      <c r="H140" s="21"/>
      <c r="I140" s="21"/>
      <c r="J140" s="21"/>
      <c r="K140" s="21"/>
      <c r="L140" s="21"/>
      <c r="M140" s="21"/>
      <c r="N140" s="21"/>
      <c r="O140" s="21"/>
      <c r="P140" s="21"/>
      <c r="Q140" s="21"/>
      <c r="R140" s="21"/>
      <c r="S140" s="21"/>
      <c r="T140" s="21"/>
      <c r="U140" s="21"/>
      <c r="V140" s="21"/>
      <c r="W140" s="21"/>
    </row>
    <row r="141" spans="1:23" x14ac:dyDescent="0.2">
      <c r="A141" s="50" t="str">
        <f t="shared" si="4"/>
        <v/>
      </c>
      <c r="B141" s="21"/>
      <c r="C141" s="21"/>
      <c r="D141" s="21"/>
      <c r="E141" s="21"/>
      <c r="F141" s="21"/>
      <c r="G141" s="21"/>
      <c r="H141" s="21"/>
      <c r="I141" s="21"/>
      <c r="J141" s="21"/>
      <c r="K141" s="21"/>
      <c r="L141" s="21"/>
      <c r="M141" s="21"/>
      <c r="N141" s="21"/>
      <c r="O141" s="21"/>
      <c r="P141" s="21"/>
      <c r="Q141" s="21"/>
      <c r="R141" s="21"/>
      <c r="S141" s="21"/>
      <c r="T141" s="21"/>
      <c r="U141" s="21"/>
      <c r="V141" s="21"/>
      <c r="W141" s="21"/>
    </row>
    <row r="142" spans="1:23" x14ac:dyDescent="0.2">
      <c r="A142" s="50" t="str">
        <f t="shared" si="4"/>
        <v/>
      </c>
      <c r="B142" s="21"/>
      <c r="C142" s="21"/>
      <c r="D142" s="21"/>
      <c r="E142" s="21"/>
      <c r="F142" s="21"/>
      <c r="G142" s="21"/>
      <c r="H142" s="21"/>
      <c r="I142" s="21"/>
      <c r="J142" s="21"/>
      <c r="K142" s="21"/>
      <c r="L142" s="21"/>
      <c r="M142" s="21"/>
      <c r="N142" s="21"/>
      <c r="O142" s="21"/>
      <c r="P142" s="21"/>
      <c r="Q142" s="21"/>
      <c r="R142" s="21"/>
      <c r="S142" s="21"/>
      <c r="T142" s="21"/>
      <c r="U142" s="21"/>
      <c r="V142" s="21"/>
      <c r="W142" s="21"/>
    </row>
    <row r="143" spans="1:23" x14ac:dyDescent="0.2">
      <c r="A143" s="50" t="str">
        <f t="shared" si="4"/>
        <v/>
      </c>
      <c r="B143" s="21"/>
      <c r="C143" s="21"/>
      <c r="D143" s="21"/>
      <c r="E143" s="21"/>
      <c r="F143" s="21"/>
      <c r="G143" s="21"/>
      <c r="H143" s="21"/>
      <c r="I143" s="21"/>
      <c r="J143" s="21"/>
      <c r="K143" s="21"/>
      <c r="L143" s="21"/>
      <c r="M143" s="21"/>
      <c r="N143" s="21"/>
      <c r="O143" s="21"/>
      <c r="P143" s="21"/>
      <c r="Q143" s="21"/>
      <c r="R143" s="21"/>
      <c r="S143" s="21"/>
      <c r="T143" s="21"/>
      <c r="U143" s="21"/>
      <c r="V143" s="21"/>
      <c r="W143" s="21"/>
    </row>
    <row r="144" spans="1:23" x14ac:dyDescent="0.2">
      <c r="A144" s="50" t="str">
        <f t="shared" si="4"/>
        <v/>
      </c>
      <c r="B144" s="21"/>
      <c r="C144" s="21"/>
      <c r="D144" s="21"/>
      <c r="E144" s="21"/>
      <c r="F144" s="21"/>
      <c r="G144" s="21"/>
      <c r="H144" s="21"/>
      <c r="I144" s="21"/>
      <c r="J144" s="21"/>
      <c r="K144" s="21"/>
      <c r="L144" s="21"/>
      <c r="M144" s="21"/>
      <c r="N144" s="21"/>
      <c r="O144" s="21"/>
      <c r="P144" s="21"/>
      <c r="Q144" s="21"/>
      <c r="R144" s="21"/>
      <c r="S144" s="21"/>
      <c r="T144" s="21"/>
      <c r="U144" s="21"/>
      <c r="V144" s="21"/>
      <c r="W144" s="21"/>
    </row>
    <row r="145" spans="1:26" x14ac:dyDescent="0.2">
      <c r="A145" s="50" t="str">
        <f t="shared" si="4"/>
        <v/>
      </c>
      <c r="B145" s="21"/>
      <c r="C145" s="21"/>
      <c r="D145" s="21"/>
      <c r="E145" s="21"/>
      <c r="F145" s="21"/>
      <c r="G145" s="21"/>
      <c r="H145" s="21"/>
      <c r="I145" s="21"/>
      <c r="J145" s="21"/>
      <c r="K145" s="21"/>
      <c r="L145" s="21"/>
      <c r="M145" s="21"/>
      <c r="N145" s="21"/>
      <c r="O145" s="21"/>
      <c r="P145" s="21"/>
      <c r="Q145" s="21"/>
      <c r="R145" s="21"/>
      <c r="S145" s="21"/>
      <c r="T145" s="21"/>
      <c r="U145" s="21"/>
      <c r="V145" s="21"/>
      <c r="W145" s="21"/>
    </row>
    <row r="146" spans="1:26" x14ac:dyDescent="0.2">
      <c r="A146" s="50" t="str">
        <f t="shared" si="4"/>
        <v/>
      </c>
      <c r="B146" s="21"/>
      <c r="C146" s="21"/>
      <c r="D146" s="21"/>
      <c r="E146" s="21"/>
      <c r="F146" s="21"/>
      <c r="G146" s="21"/>
      <c r="H146" s="21"/>
      <c r="I146" s="21"/>
      <c r="J146" s="21"/>
      <c r="K146" s="21"/>
      <c r="L146" s="21"/>
      <c r="M146" s="21"/>
      <c r="N146" s="21"/>
      <c r="O146" s="21"/>
      <c r="P146" s="21"/>
      <c r="Q146" s="21"/>
      <c r="R146" s="21"/>
      <c r="S146" s="21"/>
      <c r="T146" s="21"/>
      <c r="U146" s="21"/>
      <c r="V146" s="21"/>
      <c r="W146" s="21"/>
    </row>
    <row r="147" spans="1:26" x14ac:dyDescent="0.2">
      <c r="A147" s="50" t="str">
        <f t="shared" si="4"/>
        <v/>
      </c>
      <c r="B147" s="21"/>
      <c r="C147" s="21"/>
      <c r="D147" s="21"/>
      <c r="E147" s="21"/>
      <c r="F147" s="21"/>
      <c r="G147" s="21"/>
      <c r="H147" s="21"/>
      <c r="I147" s="21"/>
      <c r="J147" s="21"/>
      <c r="K147" s="21"/>
      <c r="L147" s="21"/>
      <c r="M147" s="21"/>
      <c r="N147" s="21"/>
      <c r="O147" s="21"/>
      <c r="P147" s="21"/>
      <c r="Q147" s="21"/>
      <c r="R147" s="21"/>
      <c r="S147" s="21"/>
      <c r="T147" s="21"/>
      <c r="U147" s="21"/>
      <c r="V147" s="21"/>
      <c r="W147" s="21"/>
    </row>
    <row r="148" spans="1:26" x14ac:dyDescent="0.2">
      <c r="A148" s="50" t="str">
        <f t="shared" si="4"/>
        <v/>
      </c>
      <c r="B148" s="21"/>
      <c r="C148" s="21"/>
      <c r="D148" s="21"/>
      <c r="E148" s="21"/>
      <c r="F148" s="21"/>
      <c r="G148" s="21"/>
      <c r="H148" s="21"/>
      <c r="I148" s="21"/>
      <c r="J148" s="21"/>
      <c r="K148" s="21"/>
      <c r="L148" s="21"/>
      <c r="M148" s="21"/>
      <c r="N148" s="21"/>
      <c r="O148" s="21"/>
      <c r="P148" s="21"/>
      <c r="Q148" s="21"/>
      <c r="R148" s="21"/>
      <c r="S148" s="21"/>
      <c r="T148" s="21"/>
      <c r="U148" s="21"/>
      <c r="V148" s="21"/>
      <c r="W148" s="21"/>
    </row>
    <row r="149" spans="1:26" x14ac:dyDescent="0.2">
      <c r="A149" s="50" t="str">
        <f t="shared" si="4"/>
        <v/>
      </c>
      <c r="B149" s="21"/>
      <c r="C149" s="21"/>
      <c r="D149" s="21"/>
      <c r="E149" s="21"/>
      <c r="F149" s="21"/>
      <c r="G149" s="21"/>
      <c r="H149" s="21"/>
      <c r="I149" s="21"/>
      <c r="J149" s="21"/>
      <c r="K149" s="21"/>
      <c r="L149" s="21"/>
      <c r="M149" s="21"/>
      <c r="N149" s="21"/>
      <c r="O149" s="21"/>
      <c r="P149" s="21"/>
      <c r="Q149" s="21"/>
      <c r="R149" s="21"/>
      <c r="S149" s="21"/>
      <c r="T149" s="21"/>
      <c r="U149" s="21"/>
      <c r="V149" s="21"/>
      <c r="W149" s="21"/>
    </row>
    <row r="150" spans="1:26" x14ac:dyDescent="0.2">
      <c r="A150" s="50" t="str">
        <f t="shared" si="4"/>
        <v/>
      </c>
      <c r="B150" s="21"/>
      <c r="C150" s="21"/>
      <c r="D150" s="21"/>
      <c r="E150" s="21"/>
      <c r="F150" s="21"/>
      <c r="G150" s="21"/>
      <c r="H150" s="21"/>
      <c r="I150" s="21"/>
      <c r="J150" s="21"/>
      <c r="K150" s="21"/>
      <c r="L150" s="21"/>
      <c r="M150" s="21"/>
      <c r="N150" s="21"/>
      <c r="O150" s="21"/>
      <c r="P150" s="21"/>
      <c r="Q150" s="21"/>
      <c r="R150" s="21"/>
      <c r="S150" s="21"/>
      <c r="T150" s="21"/>
      <c r="U150" s="21"/>
      <c r="V150" s="21"/>
      <c r="W150" s="21"/>
    </row>
    <row r="151" spans="1:26" s="18" customFormat="1" x14ac:dyDescent="0.2">
      <c r="A151" s="43"/>
      <c r="B151" s="40"/>
      <c r="C151" s="44"/>
      <c r="D151" s="45"/>
      <c r="E151" s="44"/>
      <c r="F151" s="44"/>
      <c r="G151" s="44"/>
      <c r="H151" s="44"/>
      <c r="I151" s="44"/>
      <c r="J151" s="46"/>
      <c r="K151" s="47"/>
      <c r="L151" s="47"/>
      <c r="M151" s="47"/>
      <c r="N151" s="40"/>
      <c r="O151" s="40"/>
      <c r="P151" s="40"/>
      <c r="Q151" s="40"/>
      <c r="R151" s="40"/>
      <c r="S151" s="40"/>
      <c r="T151" s="40"/>
      <c r="U151" s="44"/>
      <c r="V151" s="45"/>
      <c r="W151" s="45"/>
      <c r="Z151"/>
    </row>
  </sheetData>
  <autoFilter ref="A1:Y150" xr:uid="{00000000-0001-0000-0300-000000000000}"/>
  <conditionalFormatting sqref="E2:E1048576">
    <cfRule type="cellIs" dxfId="3" priority="1" operator="equal">
      <formula>"TODO"</formula>
    </cfRule>
    <cfRule type="cellIs" dxfId="2" priority="2" operator="equal">
      <formula>"IN_REVIEW"</formula>
    </cfRule>
    <cfRule type="cellIs" dxfId="1" priority="3" operator="equal">
      <formula>"IN_PROGRESS"</formula>
    </cfRule>
    <cfRule type="cellIs" dxfId="0" priority="4" operator="equal">
      <formula>"DONE"</formula>
    </cfRule>
  </conditionalFormatting>
  <dataValidations count="6">
    <dataValidation type="list" allowBlank="1" sqref="E153:E500 E2:E150" xr:uid="{00000000-0002-0000-0300-000000000000}">
      <formula1>"TODO,IN_PROGRESS,IN_REVIEW,DONE"</formula1>
    </dataValidation>
    <dataValidation type="list" allowBlank="1" sqref="F153:F500 F2:F150" xr:uid="{00000000-0002-0000-0300-000001000000}">
      <formula1>"LOW,MEDIUM,HIGH,CRITICAL"</formula1>
    </dataValidation>
    <dataValidation type="list" allowBlank="1" sqref="G153:G500 G2:G150" xr:uid="{00000000-0002-0000-0300-000002000000}">
      <formula1>"NEW_APPLICATION,ENHANCEMENT,BUG,MAINTENANCE,MIGRATION"</formula1>
    </dataValidation>
    <dataValidation type="list" allowBlank="1" sqref="H153:H500 H2:H150" xr:uid="{00000000-0002-0000-03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153:I500 I2:I150" xr:uid="{00000000-0002-0000-0300-000004000000}">
      <formula1>"UI_BUG,FUNCTIONAL_BUG,INTEGRATION_BUG,DATA_BUG,PERFORMANCE_BUG,SECURITY_BUG,OTHER"</formula1>
    </dataValidation>
    <dataValidation type="list" allowBlank="1" showInputMessage="1" showErrorMessage="1" sqref="Z2:Z1048576" xr:uid="{C8AA7B32-BFFC-4E5C-A905-80BEF906BEE1}">
      <formula1>"Requirement,System Design,Implementation,Testing,Deployment,Maintenance"</formula1>
    </dataValidation>
  </dataValidations>
  <hyperlinks>
    <hyperlink ref="N87" r:id="rId1" xr:uid="{7A518366-16C9-4B6A-A1E0-A1DDB30EFEFF}"/>
    <hyperlink ref="N89" r:id="rId2" xr:uid="{8D11CE17-0B8B-4801-98A0-81FE3FE99307}"/>
    <hyperlink ref="N90" r:id="rId3" xr:uid="{7277D31A-180E-41D4-B616-B9C170D1DF95}"/>
    <hyperlink ref="N95" r:id="rId4" xr:uid="{91D5797A-590D-45E2-9268-F2A0D072E9F3}"/>
    <hyperlink ref="N96" r:id="rId5" xr:uid="{E943EEFA-0100-43D8-BCFA-5EBB0DBA2D4B}"/>
    <hyperlink ref="N97" r:id="rId6" xr:uid="{1773DBF4-7A0F-4C3F-92F1-58AEFE56FEFC}"/>
    <hyperlink ref="N98" r:id="rId7" xr:uid="{3576A2BA-9C74-4284-B63C-43007BD19AEA}"/>
    <hyperlink ref="N99" r:id="rId8" xr:uid="{7023EABC-59A3-42AB-ACBE-15622785E672}"/>
    <hyperlink ref="N100" r:id="rId9" xr:uid="{5355A25A-8439-4D51-8459-6CF7943DD3B2}"/>
    <hyperlink ref="N101" r:id="rId10" xr:uid="{2A959787-BCB1-4910-BBF0-691B9F3A0619}"/>
    <hyperlink ref="N102" r:id="rId11" xr:uid="{22161546-901A-46CB-B5AB-D8AA777BF14F}"/>
    <hyperlink ref="N103" r:id="rId12" xr:uid="{54F3FAB0-EC42-415A-8220-8CDC5B2345B5}"/>
    <hyperlink ref="N104" r:id="rId13" xr:uid="{9F1E826B-B54A-4893-BA67-D77C6F6D571E}"/>
    <hyperlink ref="N105" r:id="rId14" xr:uid="{11DAC9E6-A43D-4727-A9F2-383EC7EE6455}"/>
    <hyperlink ref="N106" r:id="rId15" xr:uid="{08F97198-43DF-4329-96AE-4CE18C2DD2BA}"/>
    <hyperlink ref="N107" r:id="rId16" xr:uid="{EF8F250A-DF70-4E2C-B306-DEC6EEBF1F80}"/>
    <hyperlink ref="N108" r:id="rId17" xr:uid="{0B14A862-08AD-45E5-BA32-52FFB5D72F92}"/>
    <hyperlink ref="N113" r:id="rId18" xr:uid="{871B40E0-86EA-451B-8F5C-146D3B1E5E58}"/>
    <hyperlink ref="N114" r:id="rId19" xr:uid="{0E49213A-6828-48E1-A5A4-EF15084F1641}"/>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A7DAEAE-3526-4697-9C33-7A6207B25F67}">
          <x14:formula1>
            <xm:f>Master_Project_Name!$A$2:$A$100</xm:f>
          </x14:formula1>
          <xm:sqref>B2:B500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50"/>
  <sheetViews>
    <sheetView topLeftCell="A75" zoomScale="150" workbookViewId="0">
      <pane xSplit="4" topLeftCell="U1" activePane="topRight" state="frozen"/>
      <selection pane="topRight" activeCell="B68" sqref="B68"/>
    </sheetView>
  </sheetViews>
  <sheetFormatPr baseColWidth="10" defaultColWidth="8.83203125" defaultRowHeight="15" x14ac:dyDescent="0.2"/>
  <cols>
    <col min="1" max="1" width="6" customWidth="1"/>
    <col min="2" max="2" width="28" customWidth="1"/>
    <col min="3" max="3" width="18" customWidth="1"/>
    <col min="4" max="4" width="84.164062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3" width="30" customWidth="1"/>
    <col min="24" max="24" width="13.1640625" customWidth="1"/>
    <col min="25" max="25" width="11.5" customWidth="1"/>
  </cols>
  <sheetData>
    <row r="1" spans="1:26" ht="28" customHeight="1" x14ac:dyDescent="0.2">
      <c r="A1" s="28" t="s">
        <v>138</v>
      </c>
      <c r="B1" s="28" t="s">
        <v>0</v>
      </c>
      <c r="C1" s="28" t="s">
        <v>1</v>
      </c>
      <c r="D1" s="28" t="s">
        <v>139</v>
      </c>
      <c r="E1" s="28" t="s">
        <v>140</v>
      </c>
      <c r="F1" s="28" t="s">
        <v>141</v>
      </c>
      <c r="G1" s="28" t="s">
        <v>142</v>
      </c>
      <c r="H1" s="28" t="s">
        <v>143</v>
      </c>
      <c r="I1" s="28" t="s">
        <v>144</v>
      </c>
      <c r="J1" s="28" t="s">
        <v>145</v>
      </c>
      <c r="K1" s="28" t="s">
        <v>146</v>
      </c>
      <c r="L1" s="28" t="s">
        <v>147</v>
      </c>
      <c r="M1" s="28" t="s">
        <v>148</v>
      </c>
      <c r="N1" s="28" t="s">
        <v>149</v>
      </c>
      <c r="O1" s="28" t="s">
        <v>150</v>
      </c>
      <c r="P1" s="28" t="s">
        <v>151</v>
      </c>
      <c r="Q1" s="28" t="s">
        <v>152</v>
      </c>
      <c r="R1" s="28" t="s">
        <v>153</v>
      </c>
      <c r="S1" s="28" t="s">
        <v>154</v>
      </c>
      <c r="T1" s="28" t="s">
        <v>155</v>
      </c>
      <c r="U1" s="28" t="s">
        <v>156</v>
      </c>
      <c r="V1" s="28" t="s">
        <v>157</v>
      </c>
      <c r="W1" s="28" t="s">
        <v>158</v>
      </c>
      <c r="X1" s="28" t="s">
        <v>159</v>
      </c>
      <c r="Y1" s="28" t="s">
        <v>160</v>
      </c>
      <c r="Z1" s="28" t="s">
        <v>161</v>
      </c>
    </row>
    <row r="2" spans="1:26" x14ac:dyDescent="0.2">
      <c r="A2" s="20">
        <f t="shared" ref="A2:A41" si="0">IF(OR(D2&lt;&gt;"", B2&lt;&gt;""), ROW()-1, "")</f>
        <v>1</v>
      </c>
      <c r="B2" s="21" t="s">
        <v>170</v>
      </c>
      <c r="C2" s="22"/>
      <c r="D2" s="21" t="s">
        <v>405</v>
      </c>
      <c r="E2" s="22" t="s">
        <v>109</v>
      </c>
      <c r="F2" s="22" t="s">
        <v>163</v>
      </c>
      <c r="G2" s="22" t="s">
        <v>179</v>
      </c>
      <c r="H2" s="22" t="s">
        <v>173</v>
      </c>
      <c r="I2" s="22"/>
      <c r="J2" s="23">
        <v>1</v>
      </c>
      <c r="K2" s="24">
        <v>46239</v>
      </c>
      <c r="L2" s="24">
        <v>46239</v>
      </c>
      <c r="M2" s="24">
        <v>46239</v>
      </c>
      <c r="N2" s="21" t="s">
        <v>174</v>
      </c>
      <c r="O2" s="21" t="s">
        <v>166</v>
      </c>
      <c r="P2" s="21"/>
      <c r="Q2" s="21"/>
      <c r="R2" s="21"/>
      <c r="S2" s="21" t="s">
        <v>175</v>
      </c>
      <c r="T2" s="21" t="s">
        <v>167</v>
      </c>
      <c r="U2" s="21"/>
      <c r="V2" s="21"/>
      <c r="W2" s="21"/>
    </row>
    <row r="3" spans="1:26" x14ac:dyDescent="0.2">
      <c r="A3" s="20">
        <f t="shared" si="0"/>
        <v>2</v>
      </c>
      <c r="B3" s="21" t="s">
        <v>170</v>
      </c>
      <c r="C3" s="22"/>
      <c r="D3" s="21" t="s">
        <v>406</v>
      </c>
      <c r="E3" s="22" t="s">
        <v>109</v>
      </c>
      <c r="F3" s="22" t="s">
        <v>163</v>
      </c>
      <c r="G3" s="22" t="s">
        <v>179</v>
      </c>
      <c r="H3" s="22" t="s">
        <v>173</v>
      </c>
      <c r="I3" s="22"/>
      <c r="J3" s="23">
        <v>1</v>
      </c>
      <c r="K3" s="24">
        <v>46240</v>
      </c>
      <c r="L3" s="24">
        <v>46241</v>
      </c>
      <c r="M3" s="24">
        <v>46241</v>
      </c>
      <c r="N3" s="21" t="s">
        <v>174</v>
      </c>
      <c r="O3" s="21" t="s">
        <v>166</v>
      </c>
      <c r="P3" s="21"/>
      <c r="Q3" s="21"/>
      <c r="R3" s="21"/>
      <c r="S3" s="21" t="s">
        <v>175</v>
      </c>
      <c r="T3" s="21" t="s">
        <v>167</v>
      </c>
      <c r="U3" s="21"/>
      <c r="V3" s="21"/>
      <c r="W3" s="21"/>
    </row>
    <row r="4" spans="1:26" x14ac:dyDescent="0.2">
      <c r="A4" s="20">
        <f t="shared" si="0"/>
        <v>3</v>
      </c>
      <c r="B4" s="21" t="s">
        <v>170</v>
      </c>
      <c r="C4" s="22"/>
      <c r="D4" s="21" t="s">
        <v>407</v>
      </c>
      <c r="E4" s="22" t="s">
        <v>109</v>
      </c>
      <c r="F4" s="22" t="s">
        <v>163</v>
      </c>
      <c r="G4" s="22" t="s">
        <v>179</v>
      </c>
      <c r="H4" s="22" t="s">
        <v>173</v>
      </c>
      <c r="I4" s="22"/>
      <c r="J4" s="23">
        <v>1</v>
      </c>
      <c r="K4" s="24">
        <v>46244</v>
      </c>
      <c r="L4" s="24">
        <v>46244</v>
      </c>
      <c r="M4" s="24">
        <v>46244</v>
      </c>
      <c r="N4" s="21" t="s">
        <v>174</v>
      </c>
      <c r="O4" s="21" t="s">
        <v>166</v>
      </c>
      <c r="P4" s="21"/>
      <c r="Q4" s="21"/>
      <c r="R4" s="21"/>
      <c r="S4" s="21" t="s">
        <v>175</v>
      </c>
      <c r="T4" s="21" t="s">
        <v>167</v>
      </c>
      <c r="U4" s="21"/>
      <c r="V4" s="21"/>
      <c r="W4" s="21"/>
    </row>
    <row r="5" spans="1:26" x14ac:dyDescent="0.2">
      <c r="A5" s="20">
        <f t="shared" si="0"/>
        <v>4</v>
      </c>
      <c r="B5" s="21" t="s">
        <v>170</v>
      </c>
      <c r="C5" s="22"/>
      <c r="D5" s="21" t="s">
        <v>408</v>
      </c>
      <c r="E5" s="22" t="s">
        <v>109</v>
      </c>
      <c r="F5" s="22" t="s">
        <v>163</v>
      </c>
      <c r="G5" s="22" t="s">
        <v>179</v>
      </c>
      <c r="H5" s="22" t="s">
        <v>173</v>
      </c>
      <c r="I5" s="22"/>
      <c r="J5" s="23">
        <v>1</v>
      </c>
      <c r="K5" s="24">
        <v>46245</v>
      </c>
      <c r="L5" s="24">
        <v>46245</v>
      </c>
      <c r="M5" s="24">
        <v>46245</v>
      </c>
      <c r="N5" s="21" t="s">
        <v>174</v>
      </c>
      <c r="O5" s="21" t="s">
        <v>166</v>
      </c>
      <c r="P5" s="21"/>
      <c r="Q5" s="21"/>
      <c r="R5" s="21"/>
      <c r="S5" s="21" t="s">
        <v>175</v>
      </c>
      <c r="T5" s="21" t="s">
        <v>167</v>
      </c>
      <c r="U5" s="21"/>
      <c r="V5" s="21"/>
      <c r="W5" s="21"/>
    </row>
    <row r="6" spans="1:26" x14ac:dyDescent="0.2">
      <c r="A6" s="20">
        <f t="shared" si="0"/>
        <v>5</v>
      </c>
      <c r="B6" s="21" t="s">
        <v>170</v>
      </c>
      <c r="C6" s="22"/>
      <c r="D6" s="21" t="s">
        <v>409</v>
      </c>
      <c r="E6" s="22" t="s">
        <v>109</v>
      </c>
      <c r="F6" s="22" t="s">
        <v>163</v>
      </c>
      <c r="G6" s="22" t="s">
        <v>179</v>
      </c>
      <c r="H6" s="22" t="s">
        <v>173</v>
      </c>
      <c r="I6" s="22"/>
      <c r="J6" s="23">
        <v>1</v>
      </c>
      <c r="K6" s="24">
        <v>46245</v>
      </c>
      <c r="L6" s="24">
        <v>46246</v>
      </c>
      <c r="M6" s="24">
        <v>46246</v>
      </c>
      <c r="N6" s="21" t="s">
        <v>174</v>
      </c>
      <c r="O6" s="21" t="s">
        <v>166</v>
      </c>
      <c r="P6" s="21"/>
      <c r="Q6" s="21"/>
      <c r="R6" s="21"/>
      <c r="S6" s="21" t="s">
        <v>175</v>
      </c>
      <c r="T6" s="21" t="s">
        <v>167</v>
      </c>
      <c r="U6" s="21"/>
      <c r="V6" s="21"/>
      <c r="W6" s="21"/>
    </row>
    <row r="7" spans="1:26" ht="30" x14ac:dyDescent="0.2">
      <c r="A7" s="20">
        <f t="shared" si="0"/>
        <v>6</v>
      </c>
      <c r="B7" s="21" t="s">
        <v>170</v>
      </c>
      <c r="C7" s="22"/>
      <c r="D7" s="21" t="s">
        <v>410</v>
      </c>
      <c r="E7" s="22" t="s">
        <v>109</v>
      </c>
      <c r="F7" s="22" t="s">
        <v>172</v>
      </c>
      <c r="G7" s="22" t="s">
        <v>179</v>
      </c>
      <c r="H7" s="22" t="s">
        <v>173</v>
      </c>
      <c r="I7" s="22"/>
      <c r="J7" s="23">
        <v>1</v>
      </c>
      <c r="K7" s="24">
        <v>46247</v>
      </c>
      <c r="L7" s="24">
        <v>46247</v>
      </c>
      <c r="M7" s="24">
        <v>46247</v>
      </c>
      <c r="N7" s="21" t="s">
        <v>174</v>
      </c>
      <c r="O7" s="21" t="s">
        <v>166</v>
      </c>
      <c r="P7" s="21"/>
      <c r="Q7" s="21"/>
      <c r="R7" s="21"/>
      <c r="S7" s="21" t="s">
        <v>175</v>
      </c>
      <c r="T7" s="21" t="s">
        <v>167</v>
      </c>
      <c r="U7" s="21"/>
      <c r="V7" s="21"/>
      <c r="W7" s="21"/>
    </row>
    <row r="8" spans="1:26" ht="30" x14ac:dyDescent="0.2">
      <c r="A8" s="20">
        <f t="shared" si="0"/>
        <v>7</v>
      </c>
      <c r="B8" s="21" t="s">
        <v>170</v>
      </c>
      <c r="C8" s="22"/>
      <c r="D8" s="21" t="s">
        <v>411</v>
      </c>
      <c r="E8" s="22" t="s">
        <v>109</v>
      </c>
      <c r="F8" s="22" t="s">
        <v>172</v>
      </c>
      <c r="G8" s="22" t="s">
        <v>179</v>
      </c>
      <c r="H8" s="22" t="s">
        <v>173</v>
      </c>
      <c r="I8" s="22"/>
      <c r="J8" s="23">
        <v>1</v>
      </c>
      <c r="K8" s="24">
        <v>46247</v>
      </c>
      <c r="L8" s="24">
        <v>46247</v>
      </c>
      <c r="M8" s="24">
        <v>46247</v>
      </c>
      <c r="N8" s="21" t="s">
        <v>174</v>
      </c>
      <c r="O8" s="21" t="s">
        <v>166</v>
      </c>
      <c r="P8" s="21"/>
      <c r="Q8" s="21"/>
      <c r="R8" s="21"/>
      <c r="S8" s="21" t="s">
        <v>175</v>
      </c>
      <c r="T8" s="21" t="s">
        <v>167</v>
      </c>
      <c r="U8" s="21"/>
      <c r="V8" s="21"/>
      <c r="W8" s="21"/>
    </row>
    <row r="9" spans="1:26" x14ac:dyDescent="0.2">
      <c r="A9" s="20">
        <f t="shared" si="0"/>
        <v>8</v>
      </c>
      <c r="B9" s="21" t="s">
        <v>170</v>
      </c>
      <c r="C9" s="22"/>
      <c r="D9" s="21" t="s">
        <v>412</v>
      </c>
      <c r="E9" s="22" t="s">
        <v>109</v>
      </c>
      <c r="F9" s="22" t="s">
        <v>172</v>
      </c>
      <c r="G9" s="22" t="s">
        <v>179</v>
      </c>
      <c r="H9" s="22" t="s">
        <v>173</v>
      </c>
      <c r="I9" s="22"/>
      <c r="J9" s="23">
        <v>1</v>
      </c>
      <c r="K9" s="24">
        <v>46248</v>
      </c>
      <c r="L9" s="24">
        <v>46248</v>
      </c>
      <c r="M9" s="24">
        <v>46248</v>
      </c>
      <c r="N9" s="21" t="s">
        <v>174</v>
      </c>
      <c r="O9" s="21" t="s">
        <v>166</v>
      </c>
      <c r="P9" s="21"/>
      <c r="Q9" s="21"/>
      <c r="R9" s="21"/>
      <c r="S9" s="21" t="s">
        <v>175</v>
      </c>
      <c r="T9" s="21" t="s">
        <v>167</v>
      </c>
      <c r="U9" s="21"/>
      <c r="V9" s="21"/>
      <c r="W9" s="21"/>
    </row>
    <row r="10" spans="1:26" x14ac:dyDescent="0.2">
      <c r="A10" s="20">
        <f t="shared" si="0"/>
        <v>9</v>
      </c>
      <c r="B10" s="21" t="s">
        <v>170</v>
      </c>
      <c r="C10" s="22"/>
      <c r="D10" s="21" t="s">
        <v>413</v>
      </c>
      <c r="E10" s="22" t="s">
        <v>109</v>
      </c>
      <c r="F10" s="22" t="s">
        <v>172</v>
      </c>
      <c r="G10" s="22" t="s">
        <v>179</v>
      </c>
      <c r="H10" s="22" t="s">
        <v>173</v>
      </c>
      <c r="I10" s="22"/>
      <c r="J10" s="23">
        <v>1</v>
      </c>
      <c r="K10" s="24">
        <v>46248</v>
      </c>
      <c r="L10" s="24">
        <v>46248</v>
      </c>
      <c r="M10" s="24">
        <v>46248</v>
      </c>
      <c r="N10" s="21" t="s">
        <v>174</v>
      </c>
      <c r="O10" s="21" t="s">
        <v>166</v>
      </c>
      <c r="P10" s="21"/>
      <c r="Q10" s="21"/>
      <c r="R10" s="21"/>
      <c r="S10" s="21" t="s">
        <v>175</v>
      </c>
      <c r="T10" s="21" t="s">
        <v>167</v>
      </c>
      <c r="U10" s="21"/>
      <c r="V10" s="21"/>
      <c r="W10" s="21"/>
    </row>
    <row r="11" spans="1:26" ht="30" x14ac:dyDescent="0.2">
      <c r="A11" s="20">
        <f t="shared" si="0"/>
        <v>10</v>
      </c>
      <c r="B11" s="21" t="s">
        <v>170</v>
      </c>
      <c r="C11" s="22"/>
      <c r="D11" s="21" t="s">
        <v>414</v>
      </c>
      <c r="E11" s="22" t="s">
        <v>109</v>
      </c>
      <c r="F11" s="22" t="s">
        <v>172</v>
      </c>
      <c r="G11" s="22" t="s">
        <v>179</v>
      </c>
      <c r="H11" s="22" t="s">
        <v>173</v>
      </c>
      <c r="I11" s="22"/>
      <c r="J11" s="23">
        <v>1</v>
      </c>
      <c r="K11" s="24">
        <v>46252</v>
      </c>
      <c r="L11" s="24">
        <v>46252</v>
      </c>
      <c r="M11" s="24">
        <v>46252</v>
      </c>
      <c r="N11" s="21" t="s">
        <v>174</v>
      </c>
      <c r="O11" s="21" t="s">
        <v>166</v>
      </c>
      <c r="P11" s="21"/>
      <c r="Q11" s="21"/>
      <c r="R11" s="21"/>
      <c r="S11" s="21" t="s">
        <v>175</v>
      </c>
      <c r="T11" s="21" t="s">
        <v>167</v>
      </c>
      <c r="U11" s="21"/>
      <c r="V11" s="21"/>
      <c r="W11" s="21"/>
    </row>
    <row r="12" spans="1:26" ht="30" x14ac:dyDescent="0.2">
      <c r="A12" s="20">
        <f t="shared" si="0"/>
        <v>11</v>
      </c>
      <c r="B12" s="21" t="s">
        <v>170</v>
      </c>
      <c r="C12" s="22"/>
      <c r="D12" s="21" t="s">
        <v>415</v>
      </c>
      <c r="E12" s="22" t="s">
        <v>109</v>
      </c>
      <c r="F12" s="22" t="s">
        <v>172</v>
      </c>
      <c r="G12" s="22" t="s">
        <v>179</v>
      </c>
      <c r="H12" s="22" t="s">
        <v>173</v>
      </c>
      <c r="I12" s="22"/>
      <c r="J12" s="23">
        <v>1</v>
      </c>
      <c r="K12" s="24">
        <v>46252</v>
      </c>
      <c r="L12" s="24">
        <v>46252</v>
      </c>
      <c r="M12" s="24">
        <v>46252</v>
      </c>
      <c r="N12" s="21" t="s">
        <v>174</v>
      </c>
      <c r="O12" s="21" t="s">
        <v>166</v>
      </c>
      <c r="P12" s="21"/>
      <c r="Q12" s="21"/>
      <c r="R12" s="21"/>
      <c r="S12" s="21" t="s">
        <v>175</v>
      </c>
      <c r="T12" s="21" t="s">
        <v>167</v>
      </c>
      <c r="U12" s="21"/>
      <c r="V12" s="21"/>
      <c r="W12" s="21"/>
    </row>
    <row r="13" spans="1:26" ht="30" x14ac:dyDescent="0.2">
      <c r="A13" s="20">
        <f t="shared" si="0"/>
        <v>12</v>
      </c>
      <c r="B13" s="21" t="s">
        <v>170</v>
      </c>
      <c r="C13" s="22"/>
      <c r="D13" s="21" t="s">
        <v>416</v>
      </c>
      <c r="E13" s="22" t="s">
        <v>109</v>
      </c>
      <c r="F13" s="22" t="s">
        <v>172</v>
      </c>
      <c r="G13" s="22" t="s">
        <v>179</v>
      </c>
      <c r="H13" s="22" t="s">
        <v>173</v>
      </c>
      <c r="I13" s="22"/>
      <c r="J13" s="23">
        <v>1</v>
      </c>
      <c r="K13" s="24">
        <v>46253</v>
      </c>
      <c r="L13" s="24">
        <v>46253</v>
      </c>
      <c r="M13" s="24">
        <v>46253</v>
      </c>
      <c r="N13" s="21" t="s">
        <v>174</v>
      </c>
      <c r="O13" s="21" t="s">
        <v>166</v>
      </c>
      <c r="P13" s="21"/>
      <c r="Q13" s="21"/>
      <c r="R13" s="21"/>
      <c r="S13" s="21" t="s">
        <v>175</v>
      </c>
      <c r="T13" s="21" t="s">
        <v>167</v>
      </c>
      <c r="U13" s="21"/>
      <c r="V13" s="21"/>
      <c r="W13" s="21"/>
    </row>
    <row r="14" spans="1:26" x14ac:dyDescent="0.2">
      <c r="A14" s="20">
        <f t="shared" si="0"/>
        <v>13</v>
      </c>
      <c r="B14" s="21" t="s">
        <v>170</v>
      </c>
      <c r="C14" s="22"/>
      <c r="D14" s="21" t="s">
        <v>417</v>
      </c>
      <c r="E14" s="22" t="s">
        <v>109</v>
      </c>
      <c r="F14" s="22" t="s">
        <v>172</v>
      </c>
      <c r="G14" s="22" t="s">
        <v>179</v>
      </c>
      <c r="H14" s="22" t="s">
        <v>173</v>
      </c>
      <c r="I14" s="22"/>
      <c r="J14" s="23">
        <v>1</v>
      </c>
      <c r="K14" s="24">
        <v>46253</v>
      </c>
      <c r="L14" s="24">
        <v>46253</v>
      </c>
      <c r="M14" s="24">
        <v>46253</v>
      </c>
      <c r="N14" s="21" t="s">
        <v>174</v>
      </c>
      <c r="O14" s="21" t="s">
        <v>166</v>
      </c>
      <c r="P14" s="21"/>
      <c r="Q14" s="21"/>
      <c r="R14" s="21"/>
      <c r="S14" s="21" t="s">
        <v>175</v>
      </c>
      <c r="T14" s="21" t="s">
        <v>167</v>
      </c>
      <c r="U14" s="21"/>
      <c r="V14" s="21"/>
      <c r="W14" s="21"/>
    </row>
    <row r="15" spans="1:26" ht="30" x14ac:dyDescent="0.2">
      <c r="A15" s="20">
        <f t="shared" si="0"/>
        <v>14</v>
      </c>
      <c r="B15" s="21" t="s">
        <v>170</v>
      </c>
      <c r="C15" s="22"/>
      <c r="D15" s="21" t="s">
        <v>418</v>
      </c>
      <c r="E15" s="22" t="s">
        <v>109</v>
      </c>
      <c r="F15" s="22" t="s">
        <v>163</v>
      </c>
      <c r="G15" s="22" t="s">
        <v>179</v>
      </c>
      <c r="H15" s="22" t="s">
        <v>173</v>
      </c>
      <c r="I15" s="22"/>
      <c r="J15" s="23">
        <v>1</v>
      </c>
      <c r="K15" s="24">
        <v>46253</v>
      </c>
      <c r="L15" s="24">
        <v>46254</v>
      </c>
      <c r="M15" s="24">
        <v>46254</v>
      </c>
      <c r="N15" s="21" t="s">
        <v>174</v>
      </c>
      <c r="O15" s="21" t="s">
        <v>166</v>
      </c>
      <c r="P15" s="21"/>
      <c r="Q15" s="21"/>
      <c r="R15" s="21"/>
      <c r="S15" s="21" t="s">
        <v>175</v>
      </c>
      <c r="T15" s="21" t="s">
        <v>167</v>
      </c>
      <c r="U15" s="21"/>
      <c r="V15" s="21"/>
      <c r="W15" s="21"/>
    </row>
    <row r="16" spans="1:26" ht="30" x14ac:dyDescent="0.2">
      <c r="A16" s="20">
        <f t="shared" si="0"/>
        <v>15</v>
      </c>
      <c r="B16" s="21" t="s">
        <v>170</v>
      </c>
      <c r="C16" s="22"/>
      <c r="D16" s="21" t="s">
        <v>419</v>
      </c>
      <c r="E16" s="22" t="s">
        <v>109</v>
      </c>
      <c r="F16" s="22" t="s">
        <v>172</v>
      </c>
      <c r="G16" s="22" t="s">
        <v>179</v>
      </c>
      <c r="H16" s="22" t="s">
        <v>173</v>
      </c>
      <c r="I16" s="22"/>
      <c r="J16" s="23">
        <v>1</v>
      </c>
      <c r="K16" s="24">
        <v>46254</v>
      </c>
      <c r="L16" s="24">
        <v>46254</v>
      </c>
      <c r="M16" s="24">
        <v>46254</v>
      </c>
      <c r="N16" s="21" t="s">
        <v>174</v>
      </c>
      <c r="O16" s="21" t="s">
        <v>166</v>
      </c>
      <c r="P16" s="21"/>
      <c r="Q16" s="21"/>
      <c r="R16" s="21"/>
      <c r="S16" s="21" t="s">
        <v>175</v>
      </c>
      <c r="T16" s="21" t="s">
        <v>167</v>
      </c>
      <c r="U16" s="21"/>
      <c r="V16" s="21"/>
      <c r="W16" s="21"/>
    </row>
    <row r="17" spans="1:23" ht="30" x14ac:dyDescent="0.2">
      <c r="A17" s="20">
        <f t="shared" si="0"/>
        <v>16</v>
      </c>
      <c r="B17" s="21" t="s">
        <v>170</v>
      </c>
      <c r="C17" s="22"/>
      <c r="D17" s="21" t="s">
        <v>420</v>
      </c>
      <c r="E17" s="22" t="s">
        <v>109</v>
      </c>
      <c r="F17" s="22" t="s">
        <v>172</v>
      </c>
      <c r="G17" s="22" t="s">
        <v>179</v>
      </c>
      <c r="H17" s="22" t="s">
        <v>173</v>
      </c>
      <c r="I17" s="22"/>
      <c r="J17" s="23">
        <v>1</v>
      </c>
      <c r="K17" s="24">
        <v>46254</v>
      </c>
      <c r="L17" s="24">
        <v>46254</v>
      </c>
      <c r="M17" s="24">
        <v>46254</v>
      </c>
      <c r="N17" s="21" t="s">
        <v>174</v>
      </c>
      <c r="O17" s="21" t="s">
        <v>166</v>
      </c>
      <c r="P17" s="21"/>
      <c r="Q17" s="21"/>
      <c r="R17" s="21"/>
      <c r="S17" s="21" t="s">
        <v>175</v>
      </c>
      <c r="T17" s="21" t="s">
        <v>167</v>
      </c>
      <c r="U17" s="21"/>
      <c r="V17" s="21"/>
      <c r="W17" s="21"/>
    </row>
    <row r="18" spans="1:23" ht="30" x14ac:dyDescent="0.2">
      <c r="A18" s="20">
        <f t="shared" si="0"/>
        <v>17</v>
      </c>
      <c r="B18" s="21" t="s">
        <v>170</v>
      </c>
      <c r="C18" s="22"/>
      <c r="D18" s="21" t="s">
        <v>421</v>
      </c>
      <c r="E18" s="22" t="s">
        <v>109</v>
      </c>
      <c r="F18" s="22" t="s">
        <v>172</v>
      </c>
      <c r="G18" s="22" t="s">
        <v>179</v>
      </c>
      <c r="H18" s="22" t="s">
        <v>173</v>
      </c>
      <c r="I18" s="22"/>
      <c r="J18" s="23">
        <v>1</v>
      </c>
      <c r="K18" s="24">
        <v>46255</v>
      </c>
      <c r="L18" s="24">
        <v>46260</v>
      </c>
      <c r="M18" s="24">
        <v>46260</v>
      </c>
      <c r="N18" s="21" t="s">
        <v>174</v>
      </c>
      <c r="O18" s="21" t="s">
        <v>166</v>
      </c>
      <c r="P18" s="21"/>
      <c r="Q18" s="21"/>
      <c r="R18" s="21"/>
      <c r="S18" s="21" t="s">
        <v>175</v>
      </c>
      <c r="T18" s="21" t="s">
        <v>167</v>
      </c>
      <c r="U18" s="21"/>
      <c r="V18" s="21"/>
      <c r="W18" s="21"/>
    </row>
    <row r="19" spans="1:23" ht="46.5" customHeight="1" x14ac:dyDescent="0.2">
      <c r="A19" s="20">
        <f t="shared" si="0"/>
        <v>18</v>
      </c>
      <c r="B19" s="21" t="s">
        <v>170</v>
      </c>
      <c r="C19" s="22"/>
      <c r="D19" s="21" t="s">
        <v>422</v>
      </c>
      <c r="E19" s="22" t="s">
        <v>109</v>
      </c>
      <c r="F19" s="22" t="s">
        <v>172</v>
      </c>
      <c r="G19" s="22" t="s">
        <v>179</v>
      </c>
      <c r="H19" s="22" t="s">
        <v>173</v>
      </c>
      <c r="I19" s="22"/>
      <c r="J19" s="23">
        <v>1</v>
      </c>
      <c r="K19" s="24">
        <v>46258</v>
      </c>
      <c r="L19" s="24">
        <v>46258</v>
      </c>
      <c r="M19" s="24">
        <v>46258</v>
      </c>
      <c r="N19" s="21" t="s">
        <v>174</v>
      </c>
      <c r="O19" s="21" t="s">
        <v>166</v>
      </c>
      <c r="P19" s="21"/>
      <c r="Q19" s="21"/>
      <c r="R19" s="21"/>
      <c r="S19" s="21" t="s">
        <v>175</v>
      </c>
      <c r="T19" s="21" t="s">
        <v>167</v>
      </c>
      <c r="U19" s="21"/>
      <c r="V19" s="21"/>
      <c r="W19" s="21"/>
    </row>
    <row r="20" spans="1:23" x14ac:dyDescent="0.2">
      <c r="A20" s="20">
        <f t="shared" si="0"/>
        <v>19</v>
      </c>
      <c r="B20" s="21" t="s">
        <v>170</v>
      </c>
      <c r="C20" s="22"/>
      <c r="D20" s="21" t="s">
        <v>236</v>
      </c>
      <c r="E20" s="22" t="s">
        <v>109</v>
      </c>
      <c r="F20" s="22" t="s">
        <v>172</v>
      </c>
      <c r="G20" s="22" t="s">
        <v>179</v>
      </c>
      <c r="H20" s="22" t="s">
        <v>173</v>
      </c>
      <c r="I20" s="22"/>
      <c r="J20" s="23">
        <v>1</v>
      </c>
      <c r="K20" s="24">
        <v>46258</v>
      </c>
      <c r="L20" s="24">
        <v>46258</v>
      </c>
      <c r="M20" s="24">
        <v>46258</v>
      </c>
      <c r="N20" s="21" t="s">
        <v>174</v>
      </c>
      <c r="O20" s="21" t="s">
        <v>166</v>
      </c>
      <c r="P20" s="21"/>
      <c r="Q20" s="21"/>
      <c r="R20" s="21"/>
      <c r="S20" s="21" t="s">
        <v>175</v>
      </c>
      <c r="T20" s="21" t="s">
        <v>167</v>
      </c>
      <c r="U20" s="21"/>
      <c r="V20" s="21"/>
      <c r="W20" s="21"/>
    </row>
    <row r="21" spans="1:23" ht="30" x14ac:dyDescent="0.2">
      <c r="A21" s="20">
        <f t="shared" si="0"/>
        <v>20</v>
      </c>
      <c r="B21" s="21" t="s">
        <v>170</v>
      </c>
      <c r="C21" s="22"/>
      <c r="D21" s="21" t="s">
        <v>423</v>
      </c>
      <c r="E21" s="22" t="s">
        <v>109</v>
      </c>
      <c r="F21" s="22" t="s">
        <v>172</v>
      </c>
      <c r="G21" s="22" t="s">
        <v>179</v>
      </c>
      <c r="H21" s="22" t="s">
        <v>173</v>
      </c>
      <c r="I21" s="22"/>
      <c r="J21" s="23">
        <v>1</v>
      </c>
      <c r="K21" s="24">
        <v>46260</v>
      </c>
      <c r="L21" s="24">
        <v>46260</v>
      </c>
      <c r="M21" s="24">
        <v>46260</v>
      </c>
      <c r="N21" s="21" t="s">
        <v>174</v>
      </c>
      <c r="O21" s="21" t="s">
        <v>166</v>
      </c>
      <c r="P21" s="21"/>
      <c r="Q21" s="21"/>
      <c r="R21" s="21"/>
      <c r="S21" s="21" t="s">
        <v>175</v>
      </c>
      <c r="T21" s="21" t="s">
        <v>167</v>
      </c>
      <c r="U21" s="21"/>
      <c r="V21" s="21"/>
      <c r="W21" s="21"/>
    </row>
    <row r="22" spans="1:23" ht="30" x14ac:dyDescent="0.2">
      <c r="A22" s="20">
        <f t="shared" si="0"/>
        <v>21</v>
      </c>
      <c r="B22" s="21" t="s">
        <v>170</v>
      </c>
      <c r="C22" s="22"/>
      <c r="D22" s="21" t="s">
        <v>424</v>
      </c>
      <c r="E22" s="22" t="s">
        <v>109</v>
      </c>
      <c r="F22" s="22" t="s">
        <v>172</v>
      </c>
      <c r="G22" s="22" t="s">
        <v>179</v>
      </c>
      <c r="H22" s="22" t="s">
        <v>173</v>
      </c>
      <c r="I22" s="22"/>
      <c r="J22" s="23">
        <v>1</v>
      </c>
      <c r="K22" s="24">
        <v>46261</v>
      </c>
      <c r="L22" s="24">
        <v>46261</v>
      </c>
      <c r="M22" s="24">
        <v>46261</v>
      </c>
      <c r="N22" s="21" t="s">
        <v>174</v>
      </c>
      <c r="O22" s="21" t="s">
        <v>166</v>
      </c>
      <c r="P22" s="21"/>
      <c r="Q22" s="21"/>
      <c r="R22" s="21"/>
      <c r="S22" s="21" t="s">
        <v>175</v>
      </c>
      <c r="T22" s="21" t="s">
        <v>167</v>
      </c>
      <c r="U22" s="21"/>
      <c r="V22" s="21"/>
      <c r="W22" s="21"/>
    </row>
    <row r="23" spans="1:23" ht="30" x14ac:dyDescent="0.2">
      <c r="A23" s="20">
        <f t="shared" si="0"/>
        <v>22</v>
      </c>
      <c r="B23" s="21" t="s">
        <v>170</v>
      </c>
      <c r="C23" s="22"/>
      <c r="D23" s="21" t="s">
        <v>423</v>
      </c>
      <c r="E23" s="22" t="s">
        <v>109</v>
      </c>
      <c r="F23" s="22" t="s">
        <v>172</v>
      </c>
      <c r="G23" s="22" t="s">
        <v>179</v>
      </c>
      <c r="H23" s="22" t="s">
        <v>173</v>
      </c>
      <c r="I23" s="22"/>
      <c r="J23" s="23">
        <v>1</v>
      </c>
      <c r="K23" s="24">
        <v>46261</v>
      </c>
      <c r="L23" s="24">
        <v>46261</v>
      </c>
      <c r="M23" s="24">
        <v>46261</v>
      </c>
      <c r="N23" s="21" t="s">
        <v>174</v>
      </c>
      <c r="O23" s="21" t="s">
        <v>166</v>
      </c>
      <c r="P23" s="21"/>
      <c r="Q23" s="21"/>
      <c r="R23" s="21"/>
      <c r="S23" s="21" t="s">
        <v>175</v>
      </c>
      <c r="T23" s="21" t="s">
        <v>167</v>
      </c>
      <c r="U23" s="21"/>
      <c r="V23" s="21"/>
      <c r="W23" s="21"/>
    </row>
    <row r="24" spans="1:23" x14ac:dyDescent="0.2">
      <c r="A24" s="20">
        <f t="shared" si="0"/>
        <v>23</v>
      </c>
      <c r="B24" s="21" t="s">
        <v>170</v>
      </c>
      <c r="C24" s="22"/>
      <c r="D24" s="21" t="s">
        <v>425</v>
      </c>
      <c r="E24" s="22" t="s">
        <v>109</v>
      </c>
      <c r="F24" s="22" t="s">
        <v>163</v>
      </c>
      <c r="G24" s="22" t="s">
        <v>179</v>
      </c>
      <c r="H24" s="22" t="s">
        <v>173</v>
      </c>
      <c r="I24" s="22"/>
      <c r="J24" s="23">
        <v>1</v>
      </c>
      <c r="K24" s="24">
        <v>46262</v>
      </c>
      <c r="L24" s="24">
        <v>46262</v>
      </c>
      <c r="M24" s="24">
        <v>46262</v>
      </c>
      <c r="N24" s="21" t="s">
        <v>174</v>
      </c>
      <c r="O24" s="21" t="s">
        <v>166</v>
      </c>
      <c r="P24" s="21"/>
      <c r="Q24" s="21"/>
      <c r="R24" s="21"/>
      <c r="S24" s="21" t="s">
        <v>175</v>
      </c>
      <c r="T24" s="21" t="s">
        <v>167</v>
      </c>
      <c r="U24" s="21"/>
      <c r="V24" s="21"/>
      <c r="W24" s="21"/>
    </row>
    <row r="25" spans="1:23" ht="30" x14ac:dyDescent="0.2">
      <c r="A25" s="20">
        <f t="shared" si="0"/>
        <v>24</v>
      </c>
      <c r="B25" s="21" t="s">
        <v>170</v>
      </c>
      <c r="C25" s="22"/>
      <c r="D25" s="21" t="s">
        <v>426</v>
      </c>
      <c r="E25" s="22" t="s">
        <v>109</v>
      </c>
      <c r="F25" s="22" t="s">
        <v>163</v>
      </c>
      <c r="G25" s="22" t="s">
        <v>179</v>
      </c>
      <c r="H25" s="22" t="s">
        <v>173</v>
      </c>
      <c r="I25" s="22"/>
      <c r="J25" s="23">
        <v>1</v>
      </c>
      <c r="K25" s="24">
        <v>46265</v>
      </c>
      <c r="L25" s="24">
        <v>46265</v>
      </c>
      <c r="M25" s="24">
        <v>46265</v>
      </c>
      <c r="N25" s="21" t="s">
        <v>174</v>
      </c>
      <c r="O25" s="21" t="s">
        <v>166</v>
      </c>
      <c r="P25" s="21"/>
      <c r="Q25" s="21"/>
      <c r="R25" s="21"/>
      <c r="S25" s="21" t="s">
        <v>175</v>
      </c>
      <c r="T25" s="21" t="s">
        <v>167</v>
      </c>
      <c r="U25" s="21"/>
      <c r="V25" s="21"/>
      <c r="W25" s="21"/>
    </row>
    <row r="26" spans="1:23" x14ac:dyDescent="0.2">
      <c r="A26" s="20">
        <f t="shared" si="0"/>
        <v>25</v>
      </c>
      <c r="B26" s="21" t="s">
        <v>170</v>
      </c>
      <c r="C26" s="22"/>
      <c r="D26" s="21" t="s">
        <v>427</v>
      </c>
      <c r="E26" s="22" t="s">
        <v>109</v>
      </c>
      <c r="F26" s="22" t="s">
        <v>163</v>
      </c>
      <c r="G26" s="22" t="s">
        <v>179</v>
      </c>
      <c r="H26" s="22" t="s">
        <v>173</v>
      </c>
      <c r="I26" s="22"/>
      <c r="J26" s="23">
        <v>1</v>
      </c>
      <c r="K26" s="24">
        <v>46266</v>
      </c>
      <c r="L26" s="24">
        <v>46266</v>
      </c>
      <c r="M26" s="24">
        <v>46266</v>
      </c>
      <c r="N26" s="21" t="s">
        <v>174</v>
      </c>
      <c r="O26" s="21" t="s">
        <v>166</v>
      </c>
      <c r="P26" s="21"/>
      <c r="Q26" s="21"/>
      <c r="R26" s="21"/>
      <c r="S26" s="21" t="s">
        <v>175</v>
      </c>
      <c r="T26" s="21" t="s">
        <v>167</v>
      </c>
      <c r="U26" s="21"/>
      <c r="V26" s="21"/>
      <c r="W26" s="21"/>
    </row>
    <row r="27" spans="1:23" x14ac:dyDescent="0.2">
      <c r="A27" s="20">
        <f t="shared" si="0"/>
        <v>26</v>
      </c>
      <c r="B27" s="21" t="s">
        <v>170</v>
      </c>
      <c r="C27" s="22"/>
      <c r="D27" s="21" t="s">
        <v>428</v>
      </c>
      <c r="E27" s="22" t="s">
        <v>109</v>
      </c>
      <c r="F27" s="22" t="s">
        <v>163</v>
      </c>
      <c r="G27" s="22" t="s">
        <v>179</v>
      </c>
      <c r="H27" s="22" t="s">
        <v>173</v>
      </c>
      <c r="I27" s="22"/>
      <c r="J27" s="23">
        <v>1</v>
      </c>
      <c r="K27" s="24">
        <v>46266</v>
      </c>
      <c r="L27" s="24">
        <v>46266</v>
      </c>
      <c r="M27" s="24">
        <v>46266</v>
      </c>
      <c r="N27" s="21" t="s">
        <v>174</v>
      </c>
      <c r="O27" s="21" t="s">
        <v>166</v>
      </c>
      <c r="P27" s="21"/>
      <c r="Q27" s="21"/>
      <c r="R27" s="21"/>
      <c r="S27" s="21" t="s">
        <v>175</v>
      </c>
      <c r="T27" s="21" t="s">
        <v>167</v>
      </c>
      <c r="U27" s="21"/>
      <c r="V27" s="21"/>
      <c r="W27" s="21"/>
    </row>
    <row r="28" spans="1:23" x14ac:dyDescent="0.2">
      <c r="A28" s="20">
        <f t="shared" si="0"/>
        <v>27</v>
      </c>
      <c r="B28" s="21" t="s">
        <v>170</v>
      </c>
      <c r="C28" s="22"/>
      <c r="D28" s="21" t="s">
        <v>429</v>
      </c>
      <c r="E28" s="22" t="s">
        <v>109</v>
      </c>
      <c r="F28" s="22" t="s">
        <v>163</v>
      </c>
      <c r="G28" s="22" t="s">
        <v>179</v>
      </c>
      <c r="H28" s="22" t="s">
        <v>173</v>
      </c>
      <c r="I28" s="22"/>
      <c r="J28" s="23">
        <v>1</v>
      </c>
      <c r="K28" s="24">
        <v>46267</v>
      </c>
      <c r="L28" s="24">
        <v>46267</v>
      </c>
      <c r="M28" s="24">
        <v>46267</v>
      </c>
      <c r="N28" s="21" t="s">
        <v>174</v>
      </c>
      <c r="O28" s="21" t="s">
        <v>166</v>
      </c>
      <c r="P28" s="21"/>
      <c r="Q28" s="21"/>
      <c r="R28" s="21"/>
      <c r="S28" s="21" t="s">
        <v>175</v>
      </c>
      <c r="T28" s="21" t="s">
        <v>167</v>
      </c>
      <c r="U28" s="21"/>
      <c r="V28" s="21"/>
      <c r="W28" s="21"/>
    </row>
    <row r="29" spans="1:23" x14ac:dyDescent="0.2">
      <c r="A29" s="20">
        <f t="shared" si="0"/>
        <v>28</v>
      </c>
      <c r="B29" s="21" t="s">
        <v>170</v>
      </c>
      <c r="C29" s="22"/>
      <c r="D29" s="21" t="s">
        <v>430</v>
      </c>
      <c r="E29" s="22" t="s">
        <v>109</v>
      </c>
      <c r="F29" s="22" t="s">
        <v>163</v>
      </c>
      <c r="G29" s="22" t="s">
        <v>179</v>
      </c>
      <c r="H29" s="22" t="s">
        <v>173</v>
      </c>
      <c r="I29" s="22"/>
      <c r="J29" s="23">
        <v>1</v>
      </c>
      <c r="K29" s="24">
        <v>46267</v>
      </c>
      <c r="L29" s="24">
        <v>46267</v>
      </c>
      <c r="M29" s="24">
        <v>46267</v>
      </c>
      <c r="N29" s="21" t="s">
        <v>174</v>
      </c>
      <c r="O29" s="21" t="s">
        <v>166</v>
      </c>
      <c r="P29" s="21"/>
      <c r="Q29" s="21"/>
      <c r="R29" s="21"/>
      <c r="S29" s="21" t="s">
        <v>175</v>
      </c>
      <c r="T29" s="21" t="s">
        <v>167</v>
      </c>
      <c r="U29" s="21"/>
      <c r="V29" s="21"/>
      <c r="W29" s="21"/>
    </row>
    <row r="30" spans="1:23" x14ac:dyDescent="0.2">
      <c r="A30" s="20">
        <f t="shared" si="0"/>
        <v>29</v>
      </c>
      <c r="B30" s="21" t="s">
        <v>170</v>
      </c>
      <c r="C30" s="22"/>
      <c r="D30" s="21" t="s">
        <v>431</v>
      </c>
      <c r="E30" s="22" t="s">
        <v>109</v>
      </c>
      <c r="F30" s="22" t="s">
        <v>163</v>
      </c>
      <c r="G30" s="22" t="s">
        <v>179</v>
      </c>
      <c r="H30" s="22" t="s">
        <v>173</v>
      </c>
      <c r="I30" s="22"/>
      <c r="J30" s="23">
        <v>1</v>
      </c>
      <c r="K30" s="24">
        <v>46268</v>
      </c>
      <c r="L30" s="24">
        <v>46268</v>
      </c>
      <c r="M30" s="24">
        <v>46268</v>
      </c>
      <c r="N30" s="21" t="s">
        <v>174</v>
      </c>
      <c r="O30" s="21" t="s">
        <v>166</v>
      </c>
      <c r="P30" s="21"/>
      <c r="Q30" s="21"/>
      <c r="R30" s="21"/>
      <c r="S30" s="21" t="s">
        <v>175</v>
      </c>
      <c r="T30" s="21" t="s">
        <v>167</v>
      </c>
      <c r="U30" s="21"/>
      <c r="V30" s="21"/>
      <c r="W30" s="21"/>
    </row>
    <row r="31" spans="1:23" ht="30" x14ac:dyDescent="0.2">
      <c r="A31" s="20">
        <f t="shared" si="0"/>
        <v>30</v>
      </c>
      <c r="B31" s="21" t="s">
        <v>170</v>
      </c>
      <c r="C31" s="22"/>
      <c r="D31" s="90" t="s">
        <v>432</v>
      </c>
      <c r="E31" s="22" t="s">
        <v>109</v>
      </c>
      <c r="F31" s="22" t="s">
        <v>163</v>
      </c>
      <c r="G31" s="22" t="s">
        <v>179</v>
      </c>
      <c r="H31" s="22" t="s">
        <v>173</v>
      </c>
      <c r="I31" s="22"/>
      <c r="J31" s="23">
        <v>1</v>
      </c>
      <c r="K31" s="24">
        <v>46268</v>
      </c>
      <c r="L31" s="24">
        <v>46268</v>
      </c>
      <c r="M31" s="24">
        <v>46268</v>
      </c>
      <c r="N31" s="21" t="s">
        <v>174</v>
      </c>
      <c r="O31" s="21" t="s">
        <v>166</v>
      </c>
      <c r="P31" s="21"/>
      <c r="Q31" s="21"/>
      <c r="R31" s="21"/>
      <c r="S31" s="21" t="s">
        <v>175</v>
      </c>
      <c r="T31" s="21" t="s">
        <v>167</v>
      </c>
      <c r="U31" s="21"/>
      <c r="V31" s="21"/>
      <c r="W31" s="21"/>
    </row>
    <row r="32" spans="1:23" ht="30" x14ac:dyDescent="0.2">
      <c r="A32" s="20">
        <f t="shared" si="0"/>
        <v>31</v>
      </c>
      <c r="B32" s="21" t="s">
        <v>170</v>
      </c>
      <c r="C32" s="22"/>
      <c r="D32" s="21" t="s">
        <v>433</v>
      </c>
      <c r="E32" s="22" t="s">
        <v>109</v>
      </c>
      <c r="F32" s="22" t="s">
        <v>163</v>
      </c>
      <c r="G32" s="22" t="s">
        <v>179</v>
      </c>
      <c r="H32" s="22" t="s">
        <v>173</v>
      </c>
      <c r="I32" s="22"/>
      <c r="J32" s="23">
        <v>1</v>
      </c>
      <c r="K32" s="24">
        <v>46269</v>
      </c>
      <c r="L32" s="24">
        <v>46269</v>
      </c>
      <c r="M32" s="24">
        <v>46269</v>
      </c>
      <c r="N32" s="21" t="s">
        <v>174</v>
      </c>
      <c r="O32" s="21" t="s">
        <v>166</v>
      </c>
      <c r="P32" s="21"/>
      <c r="Q32" s="21"/>
      <c r="R32" s="21"/>
      <c r="S32" s="21" t="s">
        <v>175</v>
      </c>
      <c r="T32" s="21" t="s">
        <v>167</v>
      </c>
      <c r="U32" s="21"/>
      <c r="V32" s="21"/>
      <c r="W32" s="21"/>
    </row>
    <row r="33" spans="1:23" x14ac:dyDescent="0.2">
      <c r="A33" s="20">
        <f t="shared" si="0"/>
        <v>32</v>
      </c>
      <c r="B33" s="21" t="s">
        <v>170</v>
      </c>
      <c r="C33" s="22"/>
      <c r="D33" s="21" t="s">
        <v>434</v>
      </c>
      <c r="E33" s="22" t="s">
        <v>109</v>
      </c>
      <c r="F33" s="22" t="s">
        <v>163</v>
      </c>
      <c r="G33" s="22" t="s">
        <v>179</v>
      </c>
      <c r="H33" s="22" t="s">
        <v>173</v>
      </c>
      <c r="I33" s="22"/>
      <c r="J33" s="23">
        <v>1</v>
      </c>
      <c r="K33" s="24">
        <v>46269</v>
      </c>
      <c r="L33" s="24">
        <v>46269</v>
      </c>
      <c r="M33" s="24">
        <v>46269</v>
      </c>
      <c r="N33" s="21" t="s">
        <v>174</v>
      </c>
      <c r="O33" s="21" t="s">
        <v>166</v>
      </c>
      <c r="P33" s="21"/>
      <c r="Q33" s="21"/>
      <c r="R33" s="21"/>
      <c r="S33" s="21" t="s">
        <v>175</v>
      </c>
      <c r="T33" s="21" t="s">
        <v>167</v>
      </c>
      <c r="U33" s="21"/>
      <c r="V33" s="21"/>
      <c r="W33" s="21"/>
    </row>
    <row r="34" spans="1:23" x14ac:dyDescent="0.2">
      <c r="A34" s="20">
        <f t="shared" si="0"/>
        <v>33</v>
      </c>
      <c r="B34" s="21" t="s">
        <v>170</v>
      </c>
      <c r="C34" s="22"/>
      <c r="D34" s="21" t="s">
        <v>435</v>
      </c>
      <c r="E34" s="22" t="s">
        <v>109</v>
      </c>
      <c r="F34" s="22" t="s">
        <v>172</v>
      </c>
      <c r="G34" s="22" t="s">
        <v>179</v>
      </c>
      <c r="H34" s="22" t="s">
        <v>173</v>
      </c>
      <c r="I34" s="22"/>
      <c r="J34" s="23">
        <v>1</v>
      </c>
      <c r="K34" s="24">
        <v>46272</v>
      </c>
      <c r="L34" s="24">
        <v>46272</v>
      </c>
      <c r="M34" s="24">
        <v>46272</v>
      </c>
      <c r="N34" s="21" t="s">
        <v>174</v>
      </c>
      <c r="O34" s="21" t="s">
        <v>166</v>
      </c>
      <c r="P34" s="21"/>
      <c r="Q34" s="21"/>
      <c r="R34" s="21"/>
      <c r="S34" s="21" t="s">
        <v>175</v>
      </c>
      <c r="T34" s="21" t="s">
        <v>167</v>
      </c>
      <c r="U34" s="21"/>
      <c r="V34" s="21"/>
      <c r="W34" s="21"/>
    </row>
    <row r="35" spans="1:23" ht="30" x14ac:dyDescent="0.2">
      <c r="A35" s="20">
        <f t="shared" si="0"/>
        <v>34</v>
      </c>
      <c r="B35" s="21" t="s">
        <v>170</v>
      </c>
      <c r="C35" s="22"/>
      <c r="D35" s="21" t="s">
        <v>436</v>
      </c>
      <c r="E35" s="22" t="s">
        <v>109</v>
      </c>
      <c r="F35" s="22" t="s">
        <v>163</v>
      </c>
      <c r="G35" s="22" t="s">
        <v>179</v>
      </c>
      <c r="H35" s="22" t="s">
        <v>173</v>
      </c>
      <c r="I35" s="22"/>
      <c r="J35" s="23">
        <v>1</v>
      </c>
      <c r="K35" s="24">
        <v>46272</v>
      </c>
      <c r="L35" s="24">
        <v>46272</v>
      </c>
      <c r="M35" s="24">
        <v>46272</v>
      </c>
      <c r="N35" s="21" t="s">
        <v>174</v>
      </c>
      <c r="O35" s="21" t="s">
        <v>166</v>
      </c>
      <c r="P35" s="21"/>
      <c r="Q35" s="21"/>
      <c r="R35" s="21"/>
      <c r="S35" s="21" t="s">
        <v>175</v>
      </c>
      <c r="T35" s="21" t="s">
        <v>167</v>
      </c>
      <c r="U35" s="21"/>
      <c r="V35" s="21"/>
      <c r="W35" s="21"/>
    </row>
    <row r="36" spans="1:23" ht="30" x14ac:dyDescent="0.2">
      <c r="A36" s="20">
        <f t="shared" si="0"/>
        <v>35</v>
      </c>
      <c r="B36" s="21" t="s">
        <v>170</v>
      </c>
      <c r="C36" s="22"/>
      <c r="D36" s="21" t="s">
        <v>437</v>
      </c>
      <c r="E36" s="22" t="s">
        <v>109</v>
      </c>
      <c r="F36" s="22" t="s">
        <v>163</v>
      </c>
      <c r="G36" s="22" t="s">
        <v>179</v>
      </c>
      <c r="H36" s="22" t="s">
        <v>173</v>
      </c>
      <c r="I36" s="22"/>
      <c r="J36" s="23">
        <v>1</v>
      </c>
      <c r="K36" s="24">
        <v>46273</v>
      </c>
      <c r="L36" s="24">
        <v>46273</v>
      </c>
      <c r="M36" s="24">
        <v>46273</v>
      </c>
      <c r="N36" s="21" t="s">
        <v>174</v>
      </c>
      <c r="O36" s="21" t="s">
        <v>166</v>
      </c>
      <c r="P36" s="21"/>
      <c r="Q36" s="21"/>
      <c r="R36" s="21"/>
      <c r="S36" s="21" t="s">
        <v>175</v>
      </c>
      <c r="T36" s="21" t="s">
        <v>167</v>
      </c>
      <c r="U36" s="21"/>
      <c r="V36" s="21"/>
      <c r="W36" s="21"/>
    </row>
    <row r="37" spans="1:23" ht="30" x14ac:dyDescent="0.2">
      <c r="A37" s="20">
        <f t="shared" si="0"/>
        <v>36</v>
      </c>
      <c r="B37" s="21" t="s">
        <v>170</v>
      </c>
      <c r="C37" s="22"/>
      <c r="D37" s="21" t="s">
        <v>438</v>
      </c>
      <c r="E37" s="22" t="s">
        <v>109</v>
      </c>
      <c r="F37" s="22" t="s">
        <v>163</v>
      </c>
      <c r="G37" s="22" t="s">
        <v>179</v>
      </c>
      <c r="H37" s="22" t="s">
        <v>173</v>
      </c>
      <c r="I37" s="22"/>
      <c r="J37" s="23">
        <v>1</v>
      </c>
      <c r="K37" s="24">
        <v>46274</v>
      </c>
      <c r="L37" s="24">
        <v>46274</v>
      </c>
      <c r="M37" s="24">
        <v>46274</v>
      </c>
      <c r="N37" s="21" t="s">
        <v>174</v>
      </c>
      <c r="O37" s="21" t="s">
        <v>166</v>
      </c>
      <c r="P37" s="21"/>
      <c r="Q37" s="21"/>
      <c r="R37" s="21"/>
      <c r="S37" s="21" t="s">
        <v>175</v>
      </c>
      <c r="T37" s="21" t="s">
        <v>167</v>
      </c>
      <c r="U37" s="21"/>
      <c r="V37" s="21"/>
      <c r="W37" s="21"/>
    </row>
    <row r="38" spans="1:23" x14ac:dyDescent="0.2">
      <c r="A38" s="20">
        <f t="shared" si="0"/>
        <v>37</v>
      </c>
      <c r="B38" s="21" t="s">
        <v>170</v>
      </c>
      <c r="C38" s="22"/>
      <c r="D38" s="21" t="s">
        <v>439</v>
      </c>
      <c r="E38" s="22" t="s">
        <v>109</v>
      </c>
      <c r="F38" s="22" t="s">
        <v>163</v>
      </c>
      <c r="G38" s="22" t="s">
        <v>179</v>
      </c>
      <c r="H38" s="22" t="s">
        <v>173</v>
      </c>
      <c r="I38" s="22"/>
      <c r="J38" s="23">
        <v>1</v>
      </c>
      <c r="K38" s="24">
        <v>46274</v>
      </c>
      <c r="L38" s="24">
        <v>46274</v>
      </c>
      <c r="M38" s="24">
        <v>46274</v>
      </c>
      <c r="N38" s="21" t="s">
        <v>174</v>
      </c>
      <c r="O38" s="21" t="s">
        <v>166</v>
      </c>
      <c r="P38" s="21"/>
      <c r="Q38" s="21"/>
      <c r="R38" s="21"/>
      <c r="S38" s="21" t="s">
        <v>175</v>
      </c>
      <c r="T38" s="21" t="s">
        <v>167</v>
      </c>
      <c r="U38" s="21"/>
      <c r="V38" s="21"/>
      <c r="W38" s="21"/>
    </row>
    <row r="39" spans="1:23" ht="30" x14ac:dyDescent="0.2">
      <c r="A39" s="20">
        <f t="shared" si="0"/>
        <v>38</v>
      </c>
      <c r="B39" s="21" t="s">
        <v>170</v>
      </c>
      <c r="C39" s="22"/>
      <c r="D39" s="21" t="s">
        <v>440</v>
      </c>
      <c r="E39" s="22" t="s">
        <v>109</v>
      </c>
      <c r="F39" s="22" t="s">
        <v>163</v>
      </c>
      <c r="G39" s="22" t="s">
        <v>179</v>
      </c>
      <c r="H39" s="22" t="s">
        <v>173</v>
      </c>
      <c r="I39" s="22"/>
      <c r="J39" s="23">
        <v>1</v>
      </c>
      <c r="K39" s="24">
        <v>46275</v>
      </c>
      <c r="L39" s="24">
        <v>46275</v>
      </c>
      <c r="M39" s="24">
        <v>46275</v>
      </c>
      <c r="N39" s="21" t="s">
        <v>174</v>
      </c>
      <c r="O39" s="21" t="s">
        <v>166</v>
      </c>
      <c r="P39" s="21"/>
      <c r="Q39" s="21"/>
      <c r="R39" s="21"/>
      <c r="S39" s="21" t="s">
        <v>175</v>
      </c>
      <c r="T39" s="21" t="s">
        <v>167</v>
      </c>
      <c r="U39" s="21"/>
      <c r="V39" s="21"/>
      <c r="W39" s="21"/>
    </row>
    <row r="40" spans="1:23" ht="30" x14ac:dyDescent="0.2">
      <c r="A40" s="20">
        <f t="shared" si="0"/>
        <v>39</v>
      </c>
      <c r="B40" s="21" t="s">
        <v>170</v>
      </c>
      <c r="C40" s="22"/>
      <c r="D40" s="21" t="s">
        <v>441</v>
      </c>
      <c r="E40" s="22" t="s">
        <v>109</v>
      </c>
      <c r="F40" s="22" t="s">
        <v>163</v>
      </c>
      <c r="G40" s="22" t="s">
        <v>179</v>
      </c>
      <c r="H40" s="22" t="s">
        <v>173</v>
      </c>
      <c r="I40" s="22"/>
      <c r="J40" s="23">
        <v>1</v>
      </c>
      <c r="K40" s="24">
        <v>46276</v>
      </c>
      <c r="L40" s="24">
        <v>46276</v>
      </c>
      <c r="M40" s="24">
        <v>46276</v>
      </c>
      <c r="N40" s="21" t="s">
        <v>174</v>
      </c>
      <c r="O40" s="21" t="s">
        <v>166</v>
      </c>
      <c r="P40" s="21"/>
      <c r="Q40" s="21"/>
      <c r="R40" s="21"/>
      <c r="S40" s="21" t="s">
        <v>175</v>
      </c>
      <c r="T40" s="21" t="s">
        <v>167</v>
      </c>
      <c r="U40" s="21"/>
      <c r="V40" s="21"/>
      <c r="W40" s="21"/>
    </row>
    <row r="41" spans="1:23" ht="30" x14ac:dyDescent="0.2">
      <c r="A41" s="20">
        <f t="shared" si="0"/>
        <v>40</v>
      </c>
      <c r="B41" s="37" t="s">
        <v>170</v>
      </c>
      <c r="C41" s="22"/>
      <c r="D41" s="21" t="s">
        <v>441</v>
      </c>
      <c r="E41" s="22" t="s">
        <v>109</v>
      </c>
      <c r="F41" s="22" t="s">
        <v>163</v>
      </c>
      <c r="G41" s="22" t="s">
        <v>179</v>
      </c>
      <c r="H41" s="22" t="s">
        <v>173</v>
      </c>
      <c r="I41" s="22"/>
      <c r="J41" s="23">
        <v>1</v>
      </c>
      <c r="K41" s="24">
        <v>46279</v>
      </c>
      <c r="L41" s="24">
        <v>46279</v>
      </c>
      <c r="M41" s="24">
        <v>46279</v>
      </c>
      <c r="N41" s="21" t="s">
        <v>174</v>
      </c>
      <c r="O41" s="21" t="s">
        <v>166</v>
      </c>
      <c r="P41" s="21"/>
      <c r="Q41" s="21"/>
      <c r="R41" s="21"/>
      <c r="S41" s="21" t="s">
        <v>175</v>
      </c>
      <c r="T41" s="21" t="s">
        <v>167</v>
      </c>
      <c r="U41" s="21"/>
      <c r="V41" s="21"/>
      <c r="W41" s="21"/>
    </row>
    <row r="42" spans="1:23" x14ac:dyDescent="0.2">
      <c r="A42" s="41">
        <v>41</v>
      </c>
      <c r="B42" s="40" t="s">
        <v>287</v>
      </c>
      <c r="C42" s="42"/>
      <c r="D42" s="21" t="s">
        <v>442</v>
      </c>
      <c r="E42" s="22" t="s">
        <v>109</v>
      </c>
      <c r="F42" s="22" t="s">
        <v>163</v>
      </c>
      <c r="G42" s="22" t="s">
        <v>179</v>
      </c>
      <c r="H42" s="22" t="s">
        <v>173</v>
      </c>
      <c r="I42" s="22"/>
      <c r="J42" s="23">
        <v>1</v>
      </c>
      <c r="K42" s="24">
        <v>46280</v>
      </c>
      <c r="L42" s="24">
        <v>46280</v>
      </c>
      <c r="M42" s="24">
        <v>46280</v>
      </c>
      <c r="N42" s="21" t="s">
        <v>174</v>
      </c>
      <c r="O42" s="21" t="s">
        <v>166</v>
      </c>
      <c r="P42" s="21"/>
      <c r="Q42" s="21"/>
      <c r="R42" s="21"/>
      <c r="S42" s="21" t="s">
        <v>175</v>
      </c>
      <c r="T42" s="21" t="s">
        <v>167</v>
      </c>
      <c r="U42" s="21"/>
      <c r="V42" s="21"/>
      <c r="W42" s="21"/>
    </row>
    <row r="43" spans="1:23" x14ac:dyDescent="0.2">
      <c r="A43" s="41">
        <v>41</v>
      </c>
      <c r="B43" s="40" t="s">
        <v>287</v>
      </c>
      <c r="C43" s="42"/>
      <c r="D43" s="21" t="s">
        <v>443</v>
      </c>
      <c r="E43" s="22" t="s">
        <v>109</v>
      </c>
      <c r="F43" s="22" t="s">
        <v>163</v>
      </c>
      <c r="G43" s="22" t="s">
        <v>179</v>
      </c>
      <c r="H43" s="22" t="s">
        <v>173</v>
      </c>
      <c r="I43" s="22"/>
      <c r="J43" s="23">
        <v>1</v>
      </c>
      <c r="K43" s="24">
        <v>46280</v>
      </c>
      <c r="L43" s="24">
        <v>46280</v>
      </c>
      <c r="M43" s="24">
        <v>46280</v>
      </c>
      <c r="N43" s="21" t="s">
        <v>174</v>
      </c>
      <c r="O43" s="21" t="s">
        <v>166</v>
      </c>
      <c r="P43" s="21"/>
      <c r="Q43" s="21"/>
      <c r="R43" s="21"/>
      <c r="S43" s="21" t="s">
        <v>175</v>
      </c>
      <c r="T43" s="21" t="s">
        <v>167</v>
      </c>
      <c r="U43" s="21"/>
      <c r="V43" s="21"/>
      <c r="W43" s="21"/>
    </row>
    <row r="44" spans="1:23" ht="30" x14ac:dyDescent="0.2">
      <c r="A44" s="20">
        <v>42</v>
      </c>
      <c r="B44" s="38" t="s">
        <v>170</v>
      </c>
      <c r="C44" s="22"/>
      <c r="D44" s="21" t="s">
        <v>441</v>
      </c>
      <c r="E44" s="22" t="s">
        <v>109</v>
      </c>
      <c r="F44" s="22" t="s">
        <v>163</v>
      </c>
      <c r="G44" s="22" t="s">
        <v>179</v>
      </c>
      <c r="H44" s="22" t="s">
        <v>173</v>
      </c>
      <c r="I44" s="22"/>
      <c r="J44" s="23">
        <v>1</v>
      </c>
      <c r="K44" s="24">
        <v>46280</v>
      </c>
      <c r="L44" s="24">
        <v>46280</v>
      </c>
      <c r="M44" s="24">
        <v>46280</v>
      </c>
      <c r="N44" s="21" t="s">
        <v>174</v>
      </c>
      <c r="O44" s="21" t="s">
        <v>166</v>
      </c>
      <c r="P44" s="21"/>
      <c r="Q44" s="21"/>
      <c r="R44" s="21"/>
      <c r="S44" s="21" t="s">
        <v>175</v>
      </c>
      <c r="T44" s="21" t="s">
        <v>167</v>
      </c>
      <c r="U44" s="21"/>
      <c r="V44" s="21"/>
      <c r="W44" s="21"/>
    </row>
    <row r="45" spans="1:23" x14ac:dyDescent="0.2">
      <c r="A45" s="20">
        <v>43</v>
      </c>
      <c r="B45" s="21" t="s">
        <v>170</v>
      </c>
      <c r="C45" s="22"/>
      <c r="D45" s="21" t="s">
        <v>444</v>
      </c>
      <c r="E45" s="22" t="s">
        <v>109</v>
      </c>
      <c r="F45" s="22" t="s">
        <v>163</v>
      </c>
      <c r="G45" s="22" t="s">
        <v>179</v>
      </c>
      <c r="H45" s="22" t="s">
        <v>173</v>
      </c>
      <c r="I45" s="22"/>
      <c r="J45" s="23">
        <v>1</v>
      </c>
      <c r="K45" s="24">
        <v>46281</v>
      </c>
      <c r="L45" s="24">
        <v>46281</v>
      </c>
      <c r="M45" s="24">
        <v>46281</v>
      </c>
      <c r="N45" s="21" t="s">
        <v>174</v>
      </c>
      <c r="O45" s="21" t="s">
        <v>166</v>
      </c>
      <c r="P45" s="21"/>
      <c r="Q45" s="21"/>
      <c r="R45" s="21"/>
      <c r="S45" s="21" t="s">
        <v>175</v>
      </c>
      <c r="T45" s="21" t="s">
        <v>167</v>
      </c>
      <c r="U45" s="21"/>
      <c r="V45" s="21"/>
      <c r="W45" s="21"/>
    </row>
    <row r="46" spans="1:23" x14ac:dyDescent="0.2">
      <c r="A46" s="20">
        <v>44</v>
      </c>
      <c r="B46" s="19" t="s">
        <v>287</v>
      </c>
      <c r="C46" s="22"/>
      <c r="D46" s="21" t="s">
        <v>445</v>
      </c>
      <c r="E46" s="22" t="s">
        <v>109</v>
      </c>
      <c r="F46" s="22" t="s">
        <v>172</v>
      </c>
      <c r="G46" s="22" t="s">
        <v>179</v>
      </c>
      <c r="H46" s="22" t="s">
        <v>173</v>
      </c>
      <c r="I46" s="22"/>
      <c r="J46" s="23">
        <v>1</v>
      </c>
      <c r="K46" s="24">
        <v>46282</v>
      </c>
      <c r="L46" s="24">
        <v>46282</v>
      </c>
      <c r="M46" s="24">
        <v>46282</v>
      </c>
      <c r="N46" s="21" t="s">
        <v>174</v>
      </c>
      <c r="O46" s="21" t="s">
        <v>166</v>
      </c>
      <c r="P46" s="21"/>
      <c r="Q46" s="21"/>
      <c r="R46" s="21"/>
      <c r="S46" s="21" t="s">
        <v>175</v>
      </c>
      <c r="T46" s="21" t="s">
        <v>167</v>
      </c>
      <c r="U46" s="21"/>
      <c r="V46" s="21"/>
      <c r="W46" s="21"/>
    </row>
    <row r="47" spans="1:23" x14ac:dyDescent="0.2">
      <c r="A47" s="20">
        <f t="shared" ref="A47:A73" si="1">IF(OR(D47&lt;&gt;"", B47&lt;&gt;""), ROW()-1, "")</f>
        <v>46</v>
      </c>
      <c r="B47" s="66" t="s">
        <v>170</v>
      </c>
      <c r="C47" s="21"/>
      <c r="D47" s="21" t="s">
        <v>299</v>
      </c>
      <c r="E47" s="22" t="s">
        <v>109</v>
      </c>
      <c r="F47" s="22" t="s">
        <v>172</v>
      </c>
      <c r="G47" s="22" t="s">
        <v>179</v>
      </c>
      <c r="H47" s="22" t="s">
        <v>173</v>
      </c>
      <c r="I47" s="21"/>
      <c r="J47" s="23">
        <v>1</v>
      </c>
      <c r="K47" s="24">
        <v>46283</v>
      </c>
      <c r="L47" s="24">
        <v>46283</v>
      </c>
      <c r="M47" s="24">
        <v>46283</v>
      </c>
      <c r="N47" s="37" t="s">
        <v>174</v>
      </c>
      <c r="O47" s="21" t="s">
        <v>166</v>
      </c>
      <c r="P47" s="21"/>
      <c r="Q47" s="21"/>
      <c r="R47" s="21"/>
      <c r="S47" s="21" t="s">
        <v>175</v>
      </c>
      <c r="T47" s="21" t="s">
        <v>167</v>
      </c>
      <c r="U47" s="21"/>
      <c r="V47" s="21"/>
      <c r="W47" s="21"/>
    </row>
    <row r="48" spans="1:23" ht="45" x14ac:dyDescent="0.2">
      <c r="A48" s="41">
        <f t="shared" si="1"/>
        <v>47</v>
      </c>
      <c r="B48" s="40" t="s">
        <v>287</v>
      </c>
      <c r="C48" s="42"/>
      <c r="D48" s="21" t="s">
        <v>446</v>
      </c>
      <c r="E48" s="22" t="s">
        <v>109</v>
      </c>
      <c r="F48" s="22" t="s">
        <v>172</v>
      </c>
      <c r="G48" s="22" t="s">
        <v>179</v>
      </c>
      <c r="H48" s="22" t="s">
        <v>173</v>
      </c>
      <c r="I48" s="21"/>
      <c r="J48" s="23">
        <v>1</v>
      </c>
      <c r="K48" s="24">
        <v>46286</v>
      </c>
      <c r="L48" s="24">
        <v>46286</v>
      </c>
      <c r="M48" s="24">
        <v>46286</v>
      </c>
      <c r="N48" s="37" t="s">
        <v>174</v>
      </c>
      <c r="O48" s="21" t="s">
        <v>166</v>
      </c>
      <c r="P48" s="21"/>
      <c r="Q48" s="21"/>
      <c r="R48" s="21"/>
      <c r="S48" s="21" t="s">
        <v>175</v>
      </c>
      <c r="T48" s="21" t="s">
        <v>167</v>
      </c>
      <c r="U48" s="21"/>
      <c r="V48" s="21"/>
      <c r="W48" s="21"/>
    </row>
    <row r="49" spans="1:23" ht="30" x14ac:dyDescent="0.2">
      <c r="A49" s="41">
        <f t="shared" si="1"/>
        <v>48</v>
      </c>
      <c r="B49" s="40" t="s">
        <v>287</v>
      </c>
      <c r="C49" s="42"/>
      <c r="D49" s="21" t="s">
        <v>447</v>
      </c>
      <c r="E49" s="22" t="s">
        <v>109</v>
      </c>
      <c r="F49" s="22" t="s">
        <v>172</v>
      </c>
      <c r="G49" s="22" t="s">
        <v>179</v>
      </c>
      <c r="H49" s="22" t="s">
        <v>173</v>
      </c>
      <c r="I49" s="21"/>
      <c r="J49" s="23">
        <v>1</v>
      </c>
      <c r="K49" s="24">
        <v>46287</v>
      </c>
      <c r="L49" s="24">
        <v>46287</v>
      </c>
      <c r="M49" s="24">
        <v>46287</v>
      </c>
      <c r="N49" s="37" t="s">
        <v>174</v>
      </c>
      <c r="O49" s="21" t="s">
        <v>166</v>
      </c>
      <c r="P49" s="21"/>
      <c r="Q49" s="21"/>
      <c r="R49" s="21"/>
      <c r="S49" s="21" t="s">
        <v>175</v>
      </c>
      <c r="T49" s="21" t="s">
        <v>167</v>
      </c>
      <c r="U49" s="21"/>
      <c r="V49" s="21"/>
      <c r="W49" s="21"/>
    </row>
    <row r="50" spans="1:23" ht="45" x14ac:dyDescent="0.2">
      <c r="A50" s="41">
        <f t="shared" si="1"/>
        <v>49</v>
      </c>
      <c r="B50" s="40" t="s">
        <v>287</v>
      </c>
      <c r="C50" s="42"/>
      <c r="D50" s="21" t="s">
        <v>448</v>
      </c>
      <c r="E50" s="22" t="s">
        <v>109</v>
      </c>
      <c r="F50" s="22" t="s">
        <v>172</v>
      </c>
      <c r="G50" s="22" t="s">
        <v>179</v>
      </c>
      <c r="H50" s="22" t="s">
        <v>173</v>
      </c>
      <c r="I50" s="21"/>
      <c r="J50" s="23">
        <v>1</v>
      </c>
      <c r="K50" s="24">
        <v>46288</v>
      </c>
      <c r="L50" s="24">
        <v>46288</v>
      </c>
      <c r="M50" s="24">
        <v>46288</v>
      </c>
      <c r="N50" s="37" t="s">
        <v>174</v>
      </c>
      <c r="O50" s="21" t="s">
        <v>166</v>
      </c>
      <c r="P50" s="21"/>
      <c r="Q50" s="21"/>
      <c r="R50" s="21"/>
      <c r="S50" s="21" t="s">
        <v>175</v>
      </c>
      <c r="T50" s="21" t="s">
        <v>167</v>
      </c>
      <c r="U50" s="21"/>
      <c r="V50" s="21"/>
      <c r="W50" s="21"/>
    </row>
    <row r="51" spans="1:23" ht="30" x14ac:dyDescent="0.2">
      <c r="A51" s="41">
        <f t="shared" si="1"/>
        <v>50</v>
      </c>
      <c r="B51" s="40" t="s">
        <v>287</v>
      </c>
      <c r="C51" s="42"/>
      <c r="D51" s="21" t="s">
        <v>449</v>
      </c>
      <c r="E51" s="22" t="s">
        <v>109</v>
      </c>
      <c r="F51" s="22" t="s">
        <v>172</v>
      </c>
      <c r="G51" s="22" t="s">
        <v>179</v>
      </c>
      <c r="H51" s="22" t="s">
        <v>173</v>
      </c>
      <c r="I51" s="21"/>
      <c r="J51" s="23">
        <v>1</v>
      </c>
      <c r="K51" s="24">
        <v>46288</v>
      </c>
      <c r="L51" s="24">
        <v>46288</v>
      </c>
      <c r="M51" s="24">
        <v>46288</v>
      </c>
      <c r="N51" s="37" t="s">
        <v>174</v>
      </c>
      <c r="O51" s="21" t="s">
        <v>166</v>
      </c>
      <c r="P51" s="21"/>
      <c r="Q51" s="21"/>
      <c r="R51" s="21"/>
      <c r="S51" s="21" t="s">
        <v>175</v>
      </c>
      <c r="T51" s="21" t="s">
        <v>167</v>
      </c>
      <c r="U51" s="21"/>
      <c r="V51" s="21"/>
      <c r="W51" s="21"/>
    </row>
    <row r="52" spans="1:23" x14ac:dyDescent="0.2">
      <c r="A52" s="20">
        <f t="shared" si="1"/>
        <v>51</v>
      </c>
      <c r="B52" s="40" t="s">
        <v>287</v>
      </c>
      <c r="C52" s="22"/>
      <c r="D52" s="21" t="s">
        <v>450</v>
      </c>
      <c r="E52" s="22" t="s">
        <v>109</v>
      </c>
      <c r="F52" s="22" t="s">
        <v>172</v>
      </c>
      <c r="G52" s="22" t="s">
        <v>179</v>
      </c>
      <c r="H52" s="22" t="s">
        <v>173</v>
      </c>
      <c r="I52" s="21"/>
      <c r="J52" s="23">
        <v>1</v>
      </c>
      <c r="K52" s="24">
        <v>46289</v>
      </c>
      <c r="L52" s="24">
        <v>46289</v>
      </c>
      <c r="M52" s="24">
        <v>46289</v>
      </c>
      <c r="N52" s="37" t="s">
        <v>174</v>
      </c>
      <c r="O52" s="21" t="s">
        <v>166</v>
      </c>
      <c r="P52" s="21"/>
      <c r="Q52" s="21"/>
      <c r="R52" s="21"/>
      <c r="S52" s="21" t="s">
        <v>175</v>
      </c>
      <c r="T52" s="21" t="s">
        <v>167</v>
      </c>
      <c r="U52" s="21"/>
      <c r="V52" s="21"/>
      <c r="W52" s="21"/>
    </row>
    <row r="53" spans="1:23" ht="143.25" customHeight="1" x14ac:dyDescent="0.2">
      <c r="A53" s="20">
        <f t="shared" si="1"/>
        <v>52</v>
      </c>
      <c r="B53" s="40" t="s">
        <v>287</v>
      </c>
      <c r="C53" s="22"/>
      <c r="D53" s="21" t="s">
        <v>451</v>
      </c>
      <c r="E53" s="22" t="s">
        <v>109</v>
      </c>
      <c r="F53" s="22" t="s">
        <v>172</v>
      </c>
      <c r="G53" s="22" t="s">
        <v>179</v>
      </c>
      <c r="H53" s="22" t="s">
        <v>173</v>
      </c>
      <c r="I53" s="21"/>
      <c r="J53" s="23">
        <v>1</v>
      </c>
      <c r="K53" s="24">
        <v>46289</v>
      </c>
      <c r="L53" s="24">
        <v>46289</v>
      </c>
      <c r="M53" s="24">
        <v>46289</v>
      </c>
      <c r="N53" s="37" t="s">
        <v>174</v>
      </c>
      <c r="O53" s="21" t="s">
        <v>166</v>
      </c>
      <c r="P53" s="21"/>
      <c r="Q53" s="21"/>
      <c r="R53" s="21"/>
      <c r="S53" s="21" t="s">
        <v>175</v>
      </c>
      <c r="T53" s="21" t="s">
        <v>167</v>
      </c>
      <c r="U53" s="21"/>
      <c r="V53" s="21" t="s">
        <v>452</v>
      </c>
      <c r="W53" s="21" t="s">
        <v>453</v>
      </c>
    </row>
    <row r="54" spans="1:23" ht="146.25" customHeight="1" x14ac:dyDescent="0.2">
      <c r="A54" s="20">
        <f t="shared" si="1"/>
        <v>53</v>
      </c>
      <c r="B54" s="40" t="s">
        <v>287</v>
      </c>
      <c r="C54" s="22"/>
      <c r="D54" s="21" t="s">
        <v>454</v>
      </c>
      <c r="E54" s="22" t="s">
        <v>109</v>
      </c>
      <c r="F54" s="22" t="s">
        <v>172</v>
      </c>
      <c r="G54" s="22" t="s">
        <v>179</v>
      </c>
      <c r="H54" s="22" t="s">
        <v>173</v>
      </c>
      <c r="I54" s="21"/>
      <c r="J54" s="23">
        <v>1</v>
      </c>
      <c r="K54" s="24">
        <v>46290</v>
      </c>
      <c r="L54" s="24">
        <v>46290</v>
      </c>
      <c r="M54" s="24">
        <v>46290</v>
      </c>
      <c r="N54" s="37" t="s">
        <v>174</v>
      </c>
      <c r="O54" s="21" t="s">
        <v>166</v>
      </c>
      <c r="P54" s="21"/>
      <c r="Q54" s="21"/>
      <c r="R54" s="21"/>
      <c r="S54" s="21" t="s">
        <v>175</v>
      </c>
      <c r="T54" s="21" t="s">
        <v>167</v>
      </c>
      <c r="U54" s="21"/>
      <c r="V54" s="21" t="s">
        <v>455</v>
      </c>
      <c r="W54" s="21" t="s">
        <v>456</v>
      </c>
    </row>
    <row r="55" spans="1:23" x14ac:dyDescent="0.2">
      <c r="A55" s="78">
        <f t="shared" si="1"/>
        <v>54</v>
      </c>
      <c r="B55" s="79" t="s">
        <v>287</v>
      </c>
      <c r="C55" s="71"/>
      <c r="D55" s="37" t="s">
        <v>457</v>
      </c>
      <c r="E55" s="71" t="s">
        <v>109</v>
      </c>
      <c r="F55" s="71" t="s">
        <v>163</v>
      </c>
      <c r="G55" s="71" t="s">
        <v>179</v>
      </c>
      <c r="H55" s="71" t="s">
        <v>173</v>
      </c>
      <c r="I55" s="37"/>
      <c r="J55" s="72">
        <v>1</v>
      </c>
      <c r="K55" s="80">
        <v>46293</v>
      </c>
      <c r="L55" s="80">
        <v>46293</v>
      </c>
      <c r="M55" s="80">
        <v>46293</v>
      </c>
      <c r="N55" s="37" t="s">
        <v>174</v>
      </c>
      <c r="O55" s="37" t="s">
        <v>166</v>
      </c>
      <c r="P55" s="37"/>
      <c r="Q55" s="37"/>
      <c r="R55" s="37"/>
      <c r="S55" s="37" t="s">
        <v>175</v>
      </c>
      <c r="T55" s="37" t="s">
        <v>167</v>
      </c>
      <c r="U55" s="37"/>
      <c r="V55" s="37"/>
      <c r="W55" s="37"/>
    </row>
    <row r="56" spans="1:23" x14ac:dyDescent="0.2">
      <c r="A56" s="20">
        <f t="shared" si="1"/>
        <v>55</v>
      </c>
      <c r="B56" s="40" t="s">
        <v>287</v>
      </c>
      <c r="C56" s="22"/>
      <c r="D56" s="21" t="s">
        <v>458</v>
      </c>
      <c r="E56" s="22" t="s">
        <v>109</v>
      </c>
      <c r="F56" s="22" t="s">
        <v>172</v>
      </c>
      <c r="G56" s="22" t="s">
        <v>179</v>
      </c>
      <c r="H56" s="22" t="s">
        <v>173</v>
      </c>
      <c r="I56" s="21"/>
      <c r="J56" s="23">
        <v>1</v>
      </c>
      <c r="K56" s="24">
        <v>46293</v>
      </c>
      <c r="L56" s="24">
        <v>46293</v>
      </c>
      <c r="M56" s="24">
        <v>46293</v>
      </c>
      <c r="N56" s="21" t="s">
        <v>174</v>
      </c>
      <c r="O56" s="21" t="s">
        <v>166</v>
      </c>
      <c r="P56" s="21"/>
      <c r="Q56" s="21"/>
      <c r="R56" s="21"/>
      <c r="S56" s="21" t="s">
        <v>175</v>
      </c>
      <c r="T56" s="21" t="s">
        <v>167</v>
      </c>
      <c r="U56" s="21"/>
      <c r="V56" s="21"/>
      <c r="W56" s="21"/>
    </row>
    <row r="57" spans="1:23" ht="90" x14ac:dyDescent="0.2">
      <c r="A57" s="20">
        <f t="shared" si="1"/>
        <v>56</v>
      </c>
      <c r="B57" s="40" t="s">
        <v>287</v>
      </c>
      <c r="C57" s="22"/>
      <c r="D57" s="21" t="s">
        <v>459</v>
      </c>
      <c r="E57" s="22" t="s">
        <v>109</v>
      </c>
      <c r="F57" s="22" t="s">
        <v>172</v>
      </c>
      <c r="G57" s="22" t="s">
        <v>179</v>
      </c>
      <c r="H57" s="22" t="s">
        <v>173</v>
      </c>
      <c r="I57" s="21"/>
      <c r="J57" s="23">
        <v>1</v>
      </c>
      <c r="K57" s="24">
        <v>46294</v>
      </c>
      <c r="L57" s="24">
        <v>46294</v>
      </c>
      <c r="M57" s="24">
        <v>46294</v>
      </c>
      <c r="N57" s="21" t="s">
        <v>174</v>
      </c>
      <c r="O57" s="21" t="s">
        <v>166</v>
      </c>
      <c r="P57" s="21"/>
      <c r="Q57" s="21"/>
      <c r="R57" s="21"/>
      <c r="S57" s="21" t="s">
        <v>175</v>
      </c>
      <c r="T57" s="21" t="s">
        <v>167</v>
      </c>
      <c r="U57" s="21"/>
      <c r="V57" s="21" t="s">
        <v>460</v>
      </c>
      <c r="W57" s="21" t="s">
        <v>461</v>
      </c>
    </row>
    <row r="58" spans="1:23" ht="65.25" customHeight="1" x14ac:dyDescent="0.2">
      <c r="A58" s="81">
        <f t="shared" si="1"/>
        <v>57</v>
      </c>
      <c r="B58" s="40" t="s">
        <v>287</v>
      </c>
      <c r="C58" s="73"/>
      <c r="D58" s="37" t="s">
        <v>457</v>
      </c>
      <c r="E58" s="22" t="s">
        <v>109</v>
      </c>
      <c r="F58" s="22" t="s">
        <v>163</v>
      </c>
      <c r="G58" s="22" t="s">
        <v>179</v>
      </c>
      <c r="H58" s="22" t="s">
        <v>173</v>
      </c>
      <c r="I58" s="21"/>
      <c r="J58" s="23">
        <v>1</v>
      </c>
      <c r="K58" s="24">
        <v>46294</v>
      </c>
      <c r="L58" s="24">
        <v>46294</v>
      </c>
      <c r="M58" s="24">
        <v>46294</v>
      </c>
      <c r="N58" s="21" t="s">
        <v>174</v>
      </c>
      <c r="O58" s="21" t="s">
        <v>166</v>
      </c>
      <c r="P58" s="21"/>
      <c r="Q58" s="21"/>
      <c r="R58" s="21"/>
      <c r="S58" s="21" t="s">
        <v>175</v>
      </c>
      <c r="T58" s="21" t="s">
        <v>167</v>
      </c>
      <c r="U58" s="21"/>
      <c r="V58" s="21" t="s">
        <v>462</v>
      </c>
      <c r="W58" s="21" t="s">
        <v>463</v>
      </c>
    </row>
    <row r="59" spans="1:23" x14ac:dyDescent="0.2">
      <c r="A59" s="20">
        <f t="shared" si="1"/>
        <v>58</v>
      </c>
      <c r="B59" s="40" t="s">
        <v>287</v>
      </c>
      <c r="C59" s="22"/>
      <c r="D59" s="21" t="s">
        <v>464</v>
      </c>
      <c r="E59" s="22" t="s">
        <v>109</v>
      </c>
      <c r="F59" s="22" t="s">
        <v>163</v>
      </c>
      <c r="G59" s="22" t="s">
        <v>179</v>
      </c>
      <c r="H59" s="22" t="s">
        <v>173</v>
      </c>
      <c r="I59" s="21"/>
      <c r="J59" s="23">
        <v>1</v>
      </c>
      <c r="K59" s="24">
        <v>46295</v>
      </c>
      <c r="L59" s="24">
        <v>46295</v>
      </c>
      <c r="M59" s="24">
        <v>46295</v>
      </c>
      <c r="N59" s="21" t="s">
        <v>174</v>
      </c>
      <c r="O59" s="21" t="s">
        <v>166</v>
      </c>
      <c r="P59" s="21"/>
      <c r="Q59" s="21"/>
      <c r="R59" s="21"/>
      <c r="S59" s="21" t="s">
        <v>175</v>
      </c>
      <c r="T59" s="21" t="s">
        <v>167</v>
      </c>
      <c r="U59" s="21"/>
      <c r="V59" s="21"/>
      <c r="W59" s="21"/>
    </row>
    <row r="60" spans="1:23" ht="64.5" customHeight="1" x14ac:dyDescent="0.2">
      <c r="A60" s="20">
        <f t="shared" si="1"/>
        <v>59</v>
      </c>
      <c r="B60" s="40" t="s">
        <v>287</v>
      </c>
      <c r="C60" s="22"/>
      <c r="D60" s="37" t="s">
        <v>457</v>
      </c>
      <c r="E60" s="22" t="s">
        <v>109</v>
      </c>
      <c r="F60" s="22" t="s">
        <v>163</v>
      </c>
      <c r="G60" s="22" t="s">
        <v>179</v>
      </c>
      <c r="H60" s="22" t="s">
        <v>173</v>
      </c>
      <c r="I60" s="21"/>
      <c r="J60" s="23">
        <v>1</v>
      </c>
      <c r="K60" s="24">
        <v>46295</v>
      </c>
      <c r="L60" s="24">
        <v>46295</v>
      </c>
      <c r="M60" s="24">
        <v>46295</v>
      </c>
      <c r="N60" s="21" t="s">
        <v>174</v>
      </c>
      <c r="O60" s="21" t="s">
        <v>166</v>
      </c>
      <c r="P60" s="21"/>
      <c r="Q60" s="21"/>
      <c r="R60" s="21"/>
      <c r="S60" s="21" t="s">
        <v>175</v>
      </c>
      <c r="T60" s="21" t="s">
        <v>167</v>
      </c>
      <c r="U60" s="21"/>
      <c r="V60" s="21" t="s">
        <v>462</v>
      </c>
      <c r="W60" s="21" t="s">
        <v>463</v>
      </c>
    </row>
    <row r="61" spans="1:23" ht="76.5" customHeight="1" x14ac:dyDescent="0.2">
      <c r="A61" s="20">
        <f t="shared" si="1"/>
        <v>60</v>
      </c>
      <c r="B61" s="40" t="s">
        <v>287</v>
      </c>
      <c r="C61" s="22"/>
      <c r="D61" s="37" t="s">
        <v>457</v>
      </c>
      <c r="E61" s="22" t="s">
        <v>109</v>
      </c>
      <c r="F61" s="22" t="s">
        <v>163</v>
      </c>
      <c r="G61" s="22" t="s">
        <v>179</v>
      </c>
      <c r="H61" s="22" t="s">
        <v>173</v>
      </c>
      <c r="I61" s="21"/>
      <c r="J61" s="23">
        <v>1</v>
      </c>
      <c r="K61" s="24">
        <v>46296</v>
      </c>
      <c r="L61" s="24">
        <v>46297</v>
      </c>
      <c r="M61" s="24">
        <v>46297</v>
      </c>
      <c r="N61" s="21" t="s">
        <v>174</v>
      </c>
      <c r="O61" s="21" t="s">
        <v>166</v>
      </c>
      <c r="P61" s="21"/>
      <c r="Q61" s="21"/>
      <c r="R61" s="21"/>
      <c r="S61" s="21" t="s">
        <v>175</v>
      </c>
      <c r="T61" s="21" t="s">
        <v>167</v>
      </c>
      <c r="U61" s="21"/>
      <c r="V61" s="21" t="s">
        <v>462</v>
      </c>
      <c r="W61" s="21" t="s">
        <v>463</v>
      </c>
    </row>
    <row r="62" spans="1:23" ht="30" x14ac:dyDescent="0.2">
      <c r="A62" s="20">
        <f t="shared" si="1"/>
        <v>61</v>
      </c>
      <c r="B62" s="40" t="s">
        <v>287</v>
      </c>
      <c r="C62" s="22"/>
      <c r="D62" s="21" t="s">
        <v>465</v>
      </c>
      <c r="E62" s="22" t="s">
        <v>109</v>
      </c>
      <c r="F62" s="22" t="s">
        <v>172</v>
      </c>
      <c r="G62" s="22" t="s">
        <v>179</v>
      </c>
      <c r="H62" s="22" t="s">
        <v>173</v>
      </c>
      <c r="I62" s="21"/>
      <c r="J62" s="23">
        <v>1</v>
      </c>
      <c r="K62" s="24">
        <v>46300</v>
      </c>
      <c r="L62" s="24">
        <v>46300</v>
      </c>
      <c r="M62" s="24">
        <v>46300</v>
      </c>
      <c r="N62" s="21" t="s">
        <v>174</v>
      </c>
      <c r="O62" s="21" t="s">
        <v>166</v>
      </c>
      <c r="P62" s="21"/>
      <c r="Q62" s="21"/>
      <c r="R62" s="21"/>
      <c r="S62" s="21" t="s">
        <v>175</v>
      </c>
      <c r="T62" s="21" t="s">
        <v>167</v>
      </c>
      <c r="U62" s="21"/>
      <c r="V62" s="21"/>
      <c r="W62" s="21"/>
    </row>
    <row r="63" spans="1:23" ht="105" x14ac:dyDescent="0.2">
      <c r="A63" s="20">
        <f t="shared" si="1"/>
        <v>62</v>
      </c>
      <c r="B63" s="40" t="s">
        <v>287</v>
      </c>
      <c r="C63" s="22"/>
      <c r="D63" s="21" t="s">
        <v>466</v>
      </c>
      <c r="E63" s="22" t="s">
        <v>109</v>
      </c>
      <c r="F63" s="22" t="s">
        <v>172</v>
      </c>
      <c r="G63" s="22" t="s">
        <v>179</v>
      </c>
      <c r="H63" s="22" t="s">
        <v>173</v>
      </c>
      <c r="I63" s="21"/>
      <c r="J63" s="23">
        <v>1</v>
      </c>
      <c r="K63" s="24">
        <v>46301</v>
      </c>
      <c r="L63" s="24">
        <v>46302</v>
      </c>
      <c r="M63" s="24">
        <v>46302</v>
      </c>
      <c r="N63" s="21" t="s">
        <v>174</v>
      </c>
      <c r="O63" s="21" t="s">
        <v>166</v>
      </c>
      <c r="P63" s="21"/>
      <c r="Q63" s="21"/>
      <c r="R63" s="21"/>
      <c r="S63" s="21" t="s">
        <v>175</v>
      </c>
      <c r="T63" s="21" t="s">
        <v>167</v>
      </c>
      <c r="U63" s="21"/>
      <c r="V63" s="21" t="s">
        <v>467</v>
      </c>
      <c r="W63" s="21" t="s">
        <v>468</v>
      </c>
    </row>
    <row r="64" spans="1:23" x14ac:dyDescent="0.2">
      <c r="A64" s="20">
        <f t="shared" si="1"/>
        <v>63</v>
      </c>
      <c r="B64" s="21" t="s">
        <v>389</v>
      </c>
      <c r="C64" s="22"/>
      <c r="D64" s="21" t="s">
        <v>469</v>
      </c>
      <c r="E64" s="22" t="s">
        <v>109</v>
      </c>
      <c r="F64" s="22" t="s">
        <v>172</v>
      </c>
      <c r="G64" s="22" t="s">
        <v>179</v>
      </c>
      <c r="H64" s="22" t="s">
        <v>173</v>
      </c>
      <c r="I64" s="21"/>
      <c r="J64" s="23">
        <v>1</v>
      </c>
      <c r="K64" s="24">
        <v>46301</v>
      </c>
      <c r="L64" s="24">
        <v>46301</v>
      </c>
      <c r="M64" s="24">
        <v>46301</v>
      </c>
      <c r="N64" s="21" t="s">
        <v>174</v>
      </c>
      <c r="O64" s="21" t="s">
        <v>166</v>
      </c>
      <c r="P64" s="21"/>
      <c r="Q64" s="21"/>
      <c r="R64" s="21"/>
      <c r="S64" s="21" t="s">
        <v>175</v>
      </c>
      <c r="T64" s="21" t="s">
        <v>167</v>
      </c>
      <c r="U64" s="21"/>
      <c r="V64" s="21"/>
      <c r="W64" s="21"/>
    </row>
    <row r="65" spans="1:23" ht="30" x14ac:dyDescent="0.2">
      <c r="A65" s="20">
        <f t="shared" si="1"/>
        <v>64</v>
      </c>
      <c r="B65" s="40" t="s">
        <v>287</v>
      </c>
      <c r="C65" s="22"/>
      <c r="D65" s="37" t="s">
        <v>470</v>
      </c>
      <c r="E65" s="22" t="s">
        <v>109</v>
      </c>
      <c r="F65" s="22" t="s">
        <v>163</v>
      </c>
      <c r="G65" s="22" t="s">
        <v>179</v>
      </c>
      <c r="H65" s="22" t="s">
        <v>173</v>
      </c>
      <c r="I65" s="21"/>
      <c r="J65" s="23">
        <v>1</v>
      </c>
      <c r="K65" s="24">
        <v>46302</v>
      </c>
      <c r="L65" s="24">
        <v>46302</v>
      </c>
      <c r="M65" s="24">
        <v>46302</v>
      </c>
      <c r="N65" s="21" t="s">
        <v>174</v>
      </c>
      <c r="O65" s="21" t="s">
        <v>166</v>
      </c>
      <c r="P65" s="21"/>
      <c r="Q65" s="21"/>
      <c r="R65" s="21"/>
      <c r="S65" s="21" t="s">
        <v>175</v>
      </c>
      <c r="T65" s="21" t="s">
        <v>167</v>
      </c>
      <c r="U65" s="21"/>
      <c r="V65" s="21"/>
      <c r="W65" s="21"/>
    </row>
    <row r="66" spans="1:23" x14ac:dyDescent="0.2">
      <c r="A66" s="20">
        <f t="shared" si="1"/>
        <v>65</v>
      </c>
      <c r="B66" s="40" t="s">
        <v>287</v>
      </c>
      <c r="C66" s="22"/>
      <c r="D66" s="21" t="s">
        <v>471</v>
      </c>
      <c r="E66" s="22" t="s">
        <v>109</v>
      </c>
      <c r="F66" s="22" t="s">
        <v>163</v>
      </c>
      <c r="G66" s="22" t="s">
        <v>179</v>
      </c>
      <c r="H66" s="22" t="s">
        <v>173</v>
      </c>
      <c r="I66" s="21"/>
      <c r="J66" s="23">
        <v>1</v>
      </c>
      <c r="K66" s="24">
        <v>46303</v>
      </c>
      <c r="L66" s="24">
        <v>46303</v>
      </c>
      <c r="M66" s="24">
        <v>46303</v>
      </c>
      <c r="N66" s="21" t="s">
        <v>174</v>
      </c>
      <c r="O66" s="21" t="s">
        <v>166</v>
      </c>
      <c r="P66" s="21"/>
      <c r="Q66" s="21"/>
      <c r="R66" s="21"/>
      <c r="S66" s="21" t="s">
        <v>175</v>
      </c>
      <c r="T66" s="21" t="s">
        <v>167</v>
      </c>
      <c r="U66" s="21"/>
      <c r="V66" s="21"/>
      <c r="W66" s="21"/>
    </row>
    <row r="67" spans="1:23" ht="105" x14ac:dyDescent="0.2">
      <c r="A67" s="20">
        <f t="shared" si="1"/>
        <v>66</v>
      </c>
      <c r="B67" s="40" t="s">
        <v>287</v>
      </c>
      <c r="C67" s="22"/>
      <c r="D67" s="21" t="s">
        <v>472</v>
      </c>
      <c r="E67" s="22" t="s">
        <v>109</v>
      </c>
      <c r="F67" s="22" t="s">
        <v>172</v>
      </c>
      <c r="G67" s="22" t="s">
        <v>179</v>
      </c>
      <c r="H67" s="22" t="s">
        <v>173</v>
      </c>
      <c r="I67" s="21"/>
      <c r="J67" s="23">
        <v>1</v>
      </c>
      <c r="K67" s="24">
        <v>46304</v>
      </c>
      <c r="L67" s="24">
        <v>46304</v>
      </c>
      <c r="M67" s="24">
        <v>46304</v>
      </c>
      <c r="N67" s="21" t="s">
        <v>174</v>
      </c>
      <c r="O67" s="21" t="s">
        <v>166</v>
      </c>
      <c r="P67" s="21"/>
      <c r="Q67" s="21"/>
      <c r="R67" s="21"/>
      <c r="S67" s="21" t="s">
        <v>175</v>
      </c>
      <c r="T67" s="21" t="s">
        <v>167</v>
      </c>
      <c r="U67" s="21"/>
      <c r="V67" s="21" t="s">
        <v>473</v>
      </c>
      <c r="W67" s="21" t="s">
        <v>474</v>
      </c>
    </row>
    <row r="68" spans="1:23" ht="16" x14ac:dyDescent="0.2">
      <c r="A68" s="20">
        <f t="shared" si="1"/>
        <v>67</v>
      </c>
      <c r="B68" s="21" t="s">
        <v>1025</v>
      </c>
      <c r="C68" s="22"/>
      <c r="D68" s="21" t="s">
        <v>475</v>
      </c>
      <c r="E68" s="22" t="s">
        <v>110</v>
      </c>
      <c r="F68" s="22" t="s">
        <v>163</v>
      </c>
      <c r="G68" s="22" t="s">
        <v>179</v>
      </c>
      <c r="H68" s="22" t="s">
        <v>173</v>
      </c>
      <c r="I68" s="21"/>
      <c r="J68" s="23">
        <v>0.2</v>
      </c>
      <c r="K68" s="24">
        <v>46307</v>
      </c>
      <c r="L68" s="24">
        <v>46311</v>
      </c>
      <c r="M68" s="24"/>
      <c r="N68" s="21" t="s">
        <v>174</v>
      </c>
      <c r="O68" s="21" t="s">
        <v>166</v>
      </c>
      <c r="P68" s="21"/>
      <c r="Q68" s="21"/>
      <c r="R68" s="21"/>
      <c r="S68" s="21" t="s">
        <v>175</v>
      </c>
      <c r="T68" s="82" t="s">
        <v>476</v>
      </c>
      <c r="U68" s="21"/>
      <c r="V68" s="21"/>
      <c r="W68" s="21"/>
    </row>
    <row r="69" spans="1:23" ht="24" customHeight="1" x14ac:dyDescent="0.2">
      <c r="A69" s="20">
        <f t="shared" si="1"/>
        <v>68</v>
      </c>
      <c r="B69" s="40" t="s">
        <v>287</v>
      </c>
      <c r="C69" s="22"/>
      <c r="D69" s="95" t="s">
        <v>477</v>
      </c>
      <c r="E69" s="22" t="s">
        <v>109</v>
      </c>
      <c r="F69" s="22" t="s">
        <v>163</v>
      </c>
      <c r="G69" s="22" t="s">
        <v>179</v>
      </c>
      <c r="H69" s="22" t="s">
        <v>173</v>
      </c>
      <c r="I69" s="21"/>
      <c r="J69" s="23">
        <v>1</v>
      </c>
      <c r="K69" s="24">
        <v>46308</v>
      </c>
      <c r="L69" s="24">
        <v>46308</v>
      </c>
      <c r="M69" s="24">
        <v>46308</v>
      </c>
      <c r="N69" s="21" t="s">
        <v>174</v>
      </c>
      <c r="O69" s="21" t="s">
        <v>166</v>
      </c>
      <c r="P69" s="21"/>
      <c r="Q69" s="21"/>
      <c r="R69" s="21"/>
      <c r="S69" s="21" t="s">
        <v>175</v>
      </c>
      <c r="T69" s="82" t="s">
        <v>476</v>
      </c>
      <c r="U69" s="21"/>
      <c r="V69" s="21"/>
      <c r="W69" s="21"/>
    </row>
    <row r="70" spans="1:23" ht="75" x14ac:dyDescent="0.2">
      <c r="A70" s="20">
        <f t="shared" si="1"/>
        <v>69</v>
      </c>
      <c r="B70" s="21" t="s">
        <v>170</v>
      </c>
      <c r="C70" s="22"/>
      <c r="D70" s="21" t="s">
        <v>478</v>
      </c>
      <c r="E70" s="22" t="s">
        <v>109</v>
      </c>
      <c r="F70" s="22" t="s">
        <v>163</v>
      </c>
      <c r="G70" s="22" t="s">
        <v>179</v>
      </c>
      <c r="H70" s="22" t="s">
        <v>173</v>
      </c>
      <c r="I70" s="21"/>
      <c r="J70" s="23">
        <v>1</v>
      </c>
      <c r="K70" s="24">
        <v>46309</v>
      </c>
      <c r="L70" s="24">
        <v>46309</v>
      </c>
      <c r="M70" s="24">
        <v>46309</v>
      </c>
      <c r="N70" s="21" t="s">
        <v>174</v>
      </c>
      <c r="O70" s="21" t="s">
        <v>166</v>
      </c>
      <c r="P70" s="21"/>
      <c r="Q70" s="21"/>
      <c r="R70" s="21"/>
      <c r="S70" s="21" t="s">
        <v>175</v>
      </c>
      <c r="T70" s="82" t="s">
        <v>476</v>
      </c>
      <c r="U70" s="21"/>
      <c r="V70" s="21" t="s">
        <v>479</v>
      </c>
      <c r="W70" s="21" t="s">
        <v>480</v>
      </c>
    </row>
    <row r="71" spans="1:23" ht="75" x14ac:dyDescent="0.2">
      <c r="A71" s="20">
        <f t="shared" si="1"/>
        <v>70</v>
      </c>
      <c r="B71" s="21" t="s">
        <v>170</v>
      </c>
      <c r="C71" s="22"/>
      <c r="D71" s="21" t="s">
        <v>481</v>
      </c>
      <c r="E71" s="22" t="s">
        <v>109</v>
      </c>
      <c r="F71" s="22" t="s">
        <v>163</v>
      </c>
      <c r="G71" s="22" t="s">
        <v>179</v>
      </c>
      <c r="H71" s="22" t="s">
        <v>173</v>
      </c>
      <c r="I71" s="21"/>
      <c r="J71" s="23">
        <v>1</v>
      </c>
      <c r="K71" s="24">
        <v>46310</v>
      </c>
      <c r="L71" s="24">
        <v>46310</v>
      </c>
      <c r="M71" s="24">
        <v>46310</v>
      </c>
      <c r="N71" s="21" t="s">
        <v>174</v>
      </c>
      <c r="O71" s="21" t="s">
        <v>166</v>
      </c>
      <c r="P71" s="21"/>
      <c r="Q71" s="21"/>
      <c r="R71" s="21"/>
      <c r="S71" s="21" t="s">
        <v>175</v>
      </c>
      <c r="T71" s="82" t="s">
        <v>476</v>
      </c>
      <c r="U71" s="21"/>
      <c r="V71" s="21" t="s">
        <v>482</v>
      </c>
      <c r="W71" s="21" t="s">
        <v>483</v>
      </c>
    </row>
    <row r="72" spans="1:23" ht="103.5" customHeight="1" x14ac:dyDescent="0.2">
      <c r="A72" s="20">
        <f t="shared" si="1"/>
        <v>71</v>
      </c>
      <c r="B72" s="21" t="s">
        <v>170</v>
      </c>
      <c r="C72" s="22"/>
      <c r="D72" s="21" t="s">
        <v>484</v>
      </c>
      <c r="E72" s="22" t="s">
        <v>109</v>
      </c>
      <c r="F72" s="22" t="s">
        <v>163</v>
      </c>
      <c r="G72" s="22" t="s">
        <v>179</v>
      </c>
      <c r="H72" s="22" t="s">
        <v>173</v>
      </c>
      <c r="I72" s="21"/>
      <c r="J72" s="23">
        <v>1</v>
      </c>
      <c r="K72" s="24">
        <v>46310</v>
      </c>
      <c r="L72" s="24">
        <v>46310</v>
      </c>
      <c r="M72" s="24">
        <v>46310</v>
      </c>
      <c r="N72" s="21" t="s">
        <v>174</v>
      </c>
      <c r="O72" s="21" t="s">
        <v>166</v>
      </c>
      <c r="P72" s="21"/>
      <c r="Q72" s="21"/>
      <c r="R72" s="21"/>
      <c r="S72" s="21" t="s">
        <v>175</v>
      </c>
      <c r="T72" s="82" t="s">
        <v>476</v>
      </c>
      <c r="U72" s="21"/>
      <c r="V72" s="21" t="s">
        <v>485</v>
      </c>
      <c r="W72" s="21" t="s">
        <v>486</v>
      </c>
    </row>
    <row r="73" spans="1:23" ht="88.5" customHeight="1" x14ac:dyDescent="0.2">
      <c r="A73" s="20">
        <f t="shared" si="1"/>
        <v>72</v>
      </c>
      <c r="B73" s="21" t="s">
        <v>170</v>
      </c>
      <c r="C73" s="22"/>
      <c r="D73" s="21" t="s">
        <v>487</v>
      </c>
      <c r="E73" s="22" t="s">
        <v>109</v>
      </c>
      <c r="F73" s="22" t="s">
        <v>163</v>
      </c>
      <c r="G73" s="22" t="s">
        <v>179</v>
      </c>
      <c r="H73" s="22" t="s">
        <v>173</v>
      </c>
      <c r="I73" s="21"/>
      <c r="J73" s="23">
        <v>1</v>
      </c>
      <c r="K73" s="24">
        <v>46311</v>
      </c>
      <c r="L73" s="24">
        <v>46311</v>
      </c>
      <c r="M73" s="24">
        <v>46311</v>
      </c>
      <c r="N73" s="21" t="s">
        <v>174</v>
      </c>
      <c r="O73" s="21" t="s">
        <v>166</v>
      </c>
      <c r="P73" s="21"/>
      <c r="Q73" s="21"/>
      <c r="R73" s="21"/>
      <c r="S73" s="21" t="s">
        <v>175</v>
      </c>
      <c r="T73" s="82" t="s">
        <v>476</v>
      </c>
      <c r="U73" s="21"/>
      <c r="V73" s="21" t="s">
        <v>485</v>
      </c>
      <c r="W73" s="21" t="s">
        <v>486</v>
      </c>
    </row>
    <row r="74" spans="1:23" ht="16" x14ac:dyDescent="0.2">
      <c r="A74" s="20">
        <v>73</v>
      </c>
      <c r="B74" s="21" t="s">
        <v>389</v>
      </c>
      <c r="C74" s="22"/>
      <c r="D74" s="21" t="s">
        <v>488</v>
      </c>
      <c r="E74" s="22" t="s">
        <v>109</v>
      </c>
      <c r="F74" s="22" t="s">
        <v>163</v>
      </c>
      <c r="G74" s="22" t="s">
        <v>179</v>
      </c>
      <c r="H74" s="22" t="s">
        <v>173</v>
      </c>
      <c r="I74" s="21"/>
      <c r="J74" s="23">
        <v>1</v>
      </c>
      <c r="K74" s="24">
        <v>46314</v>
      </c>
      <c r="L74" s="24">
        <v>46314</v>
      </c>
      <c r="M74" s="24">
        <v>46314</v>
      </c>
      <c r="N74" s="21" t="s">
        <v>174</v>
      </c>
      <c r="O74" s="21" t="s">
        <v>166</v>
      </c>
      <c r="P74" s="21"/>
      <c r="Q74" s="21"/>
      <c r="R74" s="21"/>
      <c r="S74" s="21" t="s">
        <v>175</v>
      </c>
      <c r="T74" s="82" t="s">
        <v>476</v>
      </c>
      <c r="U74" s="21"/>
      <c r="V74" s="21"/>
      <c r="W74" s="21"/>
    </row>
    <row r="75" spans="1:23" ht="147" customHeight="1" x14ac:dyDescent="0.2">
      <c r="A75" s="20">
        <f t="shared" ref="A75:A106" si="2">IF(OR(D75&lt;&gt;"", B75&lt;&gt;""), ROW()-1, "")</f>
        <v>74</v>
      </c>
      <c r="B75" s="21" t="s">
        <v>389</v>
      </c>
      <c r="C75" s="22"/>
      <c r="D75" s="21" t="s">
        <v>489</v>
      </c>
      <c r="E75" s="22" t="s">
        <v>109</v>
      </c>
      <c r="F75" s="22" t="s">
        <v>163</v>
      </c>
      <c r="G75" s="22" t="s">
        <v>179</v>
      </c>
      <c r="H75" s="22" t="s">
        <v>173</v>
      </c>
      <c r="I75" s="21"/>
      <c r="J75" s="23">
        <v>1</v>
      </c>
      <c r="K75" s="24">
        <v>46315</v>
      </c>
      <c r="L75" s="24">
        <v>46315</v>
      </c>
      <c r="M75" s="24">
        <v>46315</v>
      </c>
      <c r="N75" s="21" t="s">
        <v>174</v>
      </c>
      <c r="O75" s="21" t="s">
        <v>166</v>
      </c>
      <c r="P75" s="21"/>
      <c r="Q75" s="21"/>
      <c r="R75" s="21"/>
      <c r="S75" s="21" t="s">
        <v>175</v>
      </c>
      <c r="T75" s="82" t="s">
        <v>476</v>
      </c>
      <c r="U75" s="21"/>
      <c r="V75" s="21" t="s">
        <v>490</v>
      </c>
      <c r="W75" s="21" t="s">
        <v>491</v>
      </c>
    </row>
    <row r="76" spans="1:23" ht="16" x14ac:dyDescent="0.2">
      <c r="A76" s="20">
        <f t="shared" si="2"/>
        <v>75</v>
      </c>
      <c r="B76" s="21" t="s">
        <v>389</v>
      </c>
      <c r="C76" s="22"/>
      <c r="D76" s="21" t="s">
        <v>492</v>
      </c>
      <c r="E76" s="22" t="s">
        <v>109</v>
      </c>
      <c r="F76" s="22" t="s">
        <v>163</v>
      </c>
      <c r="G76" s="22" t="s">
        <v>179</v>
      </c>
      <c r="H76" s="22" t="s">
        <v>173</v>
      </c>
      <c r="I76" s="21"/>
      <c r="J76" s="23">
        <v>1</v>
      </c>
      <c r="K76" s="24">
        <v>46316</v>
      </c>
      <c r="L76" s="24">
        <v>46316</v>
      </c>
      <c r="M76" s="24">
        <v>46316</v>
      </c>
      <c r="N76" s="21" t="s">
        <v>174</v>
      </c>
      <c r="O76" s="21" t="s">
        <v>166</v>
      </c>
      <c r="P76" s="21"/>
      <c r="Q76" s="21"/>
      <c r="R76" s="21"/>
      <c r="S76" s="21" t="s">
        <v>175</v>
      </c>
      <c r="T76" s="82" t="s">
        <v>476</v>
      </c>
      <c r="U76" s="21"/>
      <c r="V76" s="21"/>
      <c r="W76" s="21"/>
    </row>
    <row r="77" spans="1:23" ht="135" x14ac:dyDescent="0.2">
      <c r="A77" s="20">
        <f t="shared" si="2"/>
        <v>76</v>
      </c>
      <c r="B77" s="21" t="s">
        <v>389</v>
      </c>
      <c r="C77" s="22"/>
      <c r="D77" s="21" t="s">
        <v>493</v>
      </c>
      <c r="E77" s="22" t="s">
        <v>109</v>
      </c>
      <c r="F77" s="22" t="s">
        <v>172</v>
      </c>
      <c r="G77" s="22" t="s">
        <v>179</v>
      </c>
      <c r="H77" s="22" t="s">
        <v>173</v>
      </c>
      <c r="I77" s="21"/>
      <c r="J77" s="23">
        <v>1</v>
      </c>
      <c r="K77" s="24">
        <v>46317</v>
      </c>
      <c r="L77" s="24">
        <v>46317</v>
      </c>
      <c r="M77" s="24">
        <v>46317</v>
      </c>
      <c r="N77" s="21" t="s">
        <v>174</v>
      </c>
      <c r="O77" s="21" t="s">
        <v>166</v>
      </c>
      <c r="P77" s="21"/>
      <c r="Q77" s="21"/>
      <c r="R77" s="21"/>
      <c r="S77" s="21" t="s">
        <v>175</v>
      </c>
      <c r="T77" s="82" t="s">
        <v>476</v>
      </c>
      <c r="U77" s="21"/>
      <c r="V77" s="21" t="s">
        <v>490</v>
      </c>
      <c r="W77" s="21" t="s">
        <v>494</v>
      </c>
    </row>
    <row r="78" spans="1:23" ht="16" x14ac:dyDescent="0.2">
      <c r="A78" s="20">
        <f t="shared" si="2"/>
        <v>77</v>
      </c>
      <c r="B78" s="21" t="s">
        <v>389</v>
      </c>
      <c r="C78" s="22"/>
      <c r="D78" s="95" t="s">
        <v>495</v>
      </c>
      <c r="E78" s="22" t="s">
        <v>109</v>
      </c>
      <c r="F78" s="22" t="s">
        <v>172</v>
      </c>
      <c r="G78" s="22" t="s">
        <v>179</v>
      </c>
      <c r="H78" s="22" t="s">
        <v>173</v>
      </c>
      <c r="I78" s="21"/>
      <c r="J78" s="23">
        <v>1</v>
      </c>
      <c r="K78" s="24">
        <v>46318</v>
      </c>
      <c r="L78" s="24">
        <v>46318</v>
      </c>
      <c r="M78" s="24">
        <v>46318</v>
      </c>
      <c r="N78" s="21" t="s">
        <v>174</v>
      </c>
      <c r="O78" s="21" t="s">
        <v>166</v>
      </c>
      <c r="P78" s="21"/>
      <c r="Q78" s="21"/>
      <c r="R78" s="21"/>
      <c r="S78" s="21" t="s">
        <v>175</v>
      </c>
      <c r="T78" s="82" t="s">
        <v>476</v>
      </c>
      <c r="U78" s="21"/>
      <c r="V78" s="21"/>
      <c r="W78" s="21"/>
    </row>
    <row r="79" spans="1:23" x14ac:dyDescent="0.2">
      <c r="A79" s="20" t="str">
        <f t="shared" si="2"/>
        <v/>
      </c>
      <c r="B79" s="21"/>
      <c r="C79" s="22"/>
      <c r="D79" s="21"/>
      <c r="E79" s="22"/>
      <c r="F79" s="22"/>
      <c r="G79" s="22"/>
      <c r="H79" s="22"/>
      <c r="I79" s="22"/>
      <c r="J79" s="22"/>
      <c r="K79" s="22"/>
      <c r="L79" s="22"/>
      <c r="M79" s="22"/>
      <c r="N79" s="21"/>
      <c r="O79" s="21"/>
      <c r="P79" s="21"/>
      <c r="Q79" s="21"/>
      <c r="R79" s="21"/>
      <c r="S79" s="21"/>
      <c r="T79" s="21"/>
      <c r="U79" s="21"/>
      <c r="V79" s="21"/>
      <c r="W79" s="21"/>
    </row>
    <row r="80" spans="1:23" x14ac:dyDescent="0.2">
      <c r="A80" s="20" t="str">
        <f t="shared" si="2"/>
        <v/>
      </c>
      <c r="B80" s="21"/>
      <c r="C80" s="22"/>
      <c r="D80" s="21"/>
      <c r="E80" s="22"/>
      <c r="F80" s="22"/>
      <c r="G80" s="22"/>
      <c r="H80" s="22"/>
      <c r="I80" s="22"/>
      <c r="J80" s="22"/>
      <c r="K80" s="22"/>
      <c r="L80" s="22"/>
      <c r="M80" s="22"/>
      <c r="N80" s="21"/>
      <c r="O80" s="21"/>
      <c r="P80" s="21"/>
      <c r="Q80" s="21"/>
      <c r="R80" s="21"/>
      <c r="S80" s="21"/>
      <c r="T80" s="21"/>
      <c r="U80" s="21"/>
      <c r="V80" s="21"/>
      <c r="W80" s="21"/>
    </row>
    <row r="81" spans="1:23" x14ac:dyDescent="0.2">
      <c r="A81" s="20" t="str">
        <f t="shared" si="2"/>
        <v/>
      </c>
      <c r="B81" s="21"/>
      <c r="C81" s="22"/>
      <c r="D81" s="21"/>
      <c r="E81" s="22"/>
      <c r="F81" s="22"/>
      <c r="G81" s="22"/>
      <c r="H81" s="22"/>
      <c r="I81" s="22"/>
      <c r="J81" s="22"/>
      <c r="K81" s="22"/>
      <c r="L81" s="22"/>
      <c r="M81" s="22"/>
      <c r="N81" s="21"/>
      <c r="O81" s="21"/>
      <c r="P81" s="21"/>
      <c r="Q81" s="21"/>
      <c r="R81" s="21"/>
      <c r="S81" s="21"/>
      <c r="T81" s="21"/>
      <c r="U81" s="21"/>
      <c r="V81" s="21"/>
      <c r="W81" s="21"/>
    </row>
    <row r="82" spans="1:23"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21"/>
    </row>
    <row r="83" spans="1:23"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21"/>
    </row>
    <row r="84" spans="1:23"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21"/>
    </row>
    <row r="85" spans="1:23"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21"/>
    </row>
    <row r="86" spans="1:23"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21"/>
    </row>
    <row r="87" spans="1:23"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21"/>
    </row>
    <row r="88" spans="1:23"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21"/>
    </row>
    <row r="89" spans="1:23"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21"/>
    </row>
    <row r="90" spans="1:23"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21"/>
    </row>
    <row r="91" spans="1:23"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21"/>
    </row>
    <row r="92" spans="1:23"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21"/>
    </row>
    <row r="93" spans="1:23"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21"/>
    </row>
    <row r="94" spans="1:23"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21"/>
    </row>
    <row r="95" spans="1:23"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21"/>
    </row>
    <row r="96" spans="1:23"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21"/>
    </row>
    <row r="97" spans="1:23"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21"/>
    </row>
    <row r="98" spans="1:23" x14ac:dyDescent="0.2">
      <c r="A98" s="20" t="str">
        <f t="shared" si="2"/>
        <v/>
      </c>
      <c r="B98" s="21"/>
      <c r="C98" s="22"/>
      <c r="D98" s="21"/>
      <c r="E98" s="22"/>
      <c r="F98" s="22"/>
      <c r="G98" s="22"/>
      <c r="H98" s="22"/>
      <c r="I98" s="22"/>
      <c r="J98" s="22"/>
      <c r="K98" s="22"/>
      <c r="L98" s="22"/>
      <c r="M98" s="22"/>
      <c r="N98" s="21"/>
      <c r="O98" s="21"/>
      <c r="P98" s="21"/>
      <c r="Q98" s="21"/>
      <c r="R98" s="21"/>
      <c r="S98" s="21"/>
      <c r="T98" s="21"/>
      <c r="U98" s="21"/>
      <c r="V98" s="21"/>
      <c r="W98" s="21"/>
    </row>
    <row r="99" spans="1:23" x14ac:dyDescent="0.2">
      <c r="A99" s="20" t="str">
        <f t="shared" si="2"/>
        <v/>
      </c>
      <c r="B99" s="21"/>
      <c r="C99" s="22"/>
      <c r="D99" s="21"/>
      <c r="E99" s="22"/>
      <c r="F99" s="22"/>
      <c r="G99" s="22"/>
      <c r="H99" s="22"/>
      <c r="I99" s="22"/>
      <c r="J99" s="22"/>
      <c r="K99" s="22"/>
      <c r="L99" s="22"/>
      <c r="M99" s="22"/>
      <c r="N99" s="21"/>
      <c r="O99" s="21"/>
      <c r="P99" s="21"/>
      <c r="Q99" s="21"/>
      <c r="R99" s="21"/>
      <c r="S99" s="21"/>
      <c r="T99" s="21"/>
      <c r="U99" s="21"/>
      <c r="V99" s="21"/>
      <c r="W99" s="21"/>
    </row>
    <row r="100" spans="1:23" x14ac:dyDescent="0.2">
      <c r="A100" s="20" t="str">
        <f t="shared" si="2"/>
        <v/>
      </c>
      <c r="B100" s="21"/>
      <c r="C100" s="22"/>
      <c r="D100" s="21"/>
      <c r="E100" s="22"/>
      <c r="F100" s="22"/>
      <c r="G100" s="22"/>
      <c r="H100" s="22"/>
      <c r="I100" s="22"/>
      <c r="J100" s="22"/>
      <c r="K100" s="22"/>
      <c r="L100" s="22"/>
      <c r="M100" s="22"/>
      <c r="N100" s="21"/>
      <c r="O100" s="21"/>
      <c r="P100" s="21"/>
      <c r="Q100" s="21"/>
      <c r="R100" s="21"/>
      <c r="S100" s="21"/>
      <c r="T100" s="21"/>
      <c r="U100" s="21"/>
      <c r="V100" s="21"/>
      <c r="W100" s="21"/>
    </row>
    <row r="101" spans="1:23" x14ac:dyDescent="0.2">
      <c r="A101" s="20" t="str">
        <f t="shared" si="2"/>
        <v/>
      </c>
      <c r="B101" s="21"/>
      <c r="C101" s="22"/>
      <c r="D101" s="21"/>
      <c r="E101" s="22"/>
      <c r="F101" s="22"/>
      <c r="G101" s="22"/>
      <c r="H101" s="22"/>
      <c r="I101" s="22"/>
      <c r="J101" s="22"/>
      <c r="K101" s="22"/>
      <c r="L101" s="22"/>
      <c r="M101" s="22"/>
      <c r="N101" s="21"/>
      <c r="O101" s="21"/>
      <c r="P101" s="21"/>
      <c r="Q101" s="21"/>
      <c r="R101" s="21"/>
      <c r="S101" s="21"/>
      <c r="T101" s="21"/>
      <c r="U101" s="21"/>
      <c r="V101" s="21"/>
      <c r="W101" s="21"/>
    </row>
    <row r="102" spans="1:23" x14ac:dyDescent="0.2">
      <c r="A102" s="20" t="str">
        <f t="shared" si="2"/>
        <v/>
      </c>
      <c r="B102" s="21"/>
      <c r="C102" s="22"/>
      <c r="D102" s="21"/>
      <c r="E102" s="22"/>
      <c r="F102" s="22"/>
      <c r="G102" s="22"/>
      <c r="H102" s="22"/>
      <c r="I102" s="22"/>
      <c r="J102" s="22"/>
      <c r="K102" s="22"/>
      <c r="L102" s="22"/>
      <c r="M102" s="22"/>
      <c r="N102" s="21"/>
      <c r="O102" s="21"/>
      <c r="P102" s="21"/>
      <c r="Q102" s="21"/>
      <c r="R102" s="21"/>
      <c r="S102" s="21"/>
      <c r="T102" s="21"/>
      <c r="U102" s="21"/>
      <c r="V102" s="21"/>
      <c r="W102" s="21"/>
    </row>
    <row r="103" spans="1:23" x14ac:dyDescent="0.2">
      <c r="A103" s="20" t="str">
        <f t="shared" si="2"/>
        <v/>
      </c>
      <c r="B103" s="21"/>
      <c r="C103" s="22"/>
      <c r="D103" s="21"/>
      <c r="E103" s="22"/>
      <c r="F103" s="22"/>
      <c r="G103" s="22"/>
      <c r="H103" s="22"/>
      <c r="I103" s="22"/>
      <c r="J103" s="22"/>
      <c r="K103" s="22"/>
      <c r="L103" s="22"/>
      <c r="M103" s="22"/>
      <c r="N103" s="21"/>
      <c r="O103" s="21"/>
      <c r="P103" s="21"/>
      <c r="Q103" s="21"/>
      <c r="R103" s="21"/>
      <c r="S103" s="21"/>
      <c r="T103" s="21"/>
      <c r="U103" s="21"/>
      <c r="V103" s="21"/>
      <c r="W103" s="21"/>
    </row>
    <row r="104" spans="1:23" x14ac:dyDescent="0.2">
      <c r="A104" s="20" t="str">
        <f t="shared" si="2"/>
        <v/>
      </c>
      <c r="B104" s="21"/>
      <c r="C104" s="22"/>
      <c r="D104" s="21"/>
      <c r="E104" s="22"/>
      <c r="F104" s="22"/>
      <c r="G104" s="22"/>
      <c r="H104" s="22"/>
      <c r="I104" s="22"/>
      <c r="J104" s="22"/>
      <c r="K104" s="22"/>
      <c r="L104" s="22"/>
      <c r="M104" s="22"/>
      <c r="N104" s="21"/>
      <c r="O104" s="21"/>
      <c r="P104" s="21"/>
      <c r="Q104" s="21"/>
      <c r="R104" s="21"/>
      <c r="S104" s="21"/>
      <c r="T104" s="21"/>
      <c r="U104" s="21"/>
      <c r="V104" s="21"/>
      <c r="W104" s="21"/>
    </row>
    <row r="105" spans="1:23" x14ac:dyDescent="0.2">
      <c r="A105" s="20" t="str">
        <f t="shared" si="2"/>
        <v/>
      </c>
      <c r="B105" s="21"/>
      <c r="C105" s="22"/>
      <c r="D105" s="21"/>
      <c r="E105" s="22"/>
      <c r="F105" s="22"/>
      <c r="G105" s="22"/>
      <c r="H105" s="22"/>
      <c r="I105" s="22"/>
      <c r="J105" s="22"/>
      <c r="K105" s="22"/>
      <c r="L105" s="22"/>
      <c r="M105" s="22"/>
      <c r="N105" s="21"/>
      <c r="O105" s="21"/>
      <c r="P105" s="21"/>
      <c r="Q105" s="21"/>
      <c r="R105" s="21"/>
      <c r="S105" s="21"/>
      <c r="T105" s="21"/>
      <c r="U105" s="21"/>
      <c r="V105" s="21"/>
      <c r="W105" s="21"/>
    </row>
    <row r="106" spans="1:23" x14ac:dyDescent="0.2">
      <c r="A106" s="20" t="str">
        <f t="shared" si="2"/>
        <v/>
      </c>
      <c r="B106" s="21"/>
      <c r="C106" s="22"/>
      <c r="D106" s="21"/>
      <c r="E106" s="22"/>
      <c r="F106" s="22"/>
      <c r="G106" s="22"/>
      <c r="H106" s="22"/>
      <c r="I106" s="22"/>
      <c r="J106" s="22"/>
      <c r="K106" s="22"/>
      <c r="L106" s="22"/>
      <c r="M106" s="22"/>
      <c r="N106" s="21"/>
      <c r="O106" s="21"/>
      <c r="P106" s="21"/>
      <c r="Q106" s="21"/>
      <c r="R106" s="21"/>
      <c r="S106" s="21"/>
      <c r="T106" s="21"/>
      <c r="U106" s="21"/>
      <c r="V106" s="21"/>
      <c r="W106" s="21"/>
    </row>
    <row r="107" spans="1:23" x14ac:dyDescent="0.2">
      <c r="A107" s="25" t="str">
        <f t="shared" ref="A107:A138" si="3">IF(OR(D107&lt;&gt;"", B107&lt;&gt;""), ROW()-1, "")</f>
        <v/>
      </c>
      <c r="B107" s="26"/>
      <c r="C107" s="27"/>
      <c r="D107" s="26"/>
      <c r="E107" s="27"/>
      <c r="F107" s="27"/>
      <c r="G107" s="27"/>
      <c r="H107" s="27"/>
      <c r="I107" s="27"/>
      <c r="J107" s="27"/>
      <c r="K107" s="27"/>
      <c r="L107" s="27"/>
      <c r="M107" s="27"/>
      <c r="N107" s="26"/>
      <c r="O107" s="26"/>
      <c r="P107" s="26"/>
      <c r="Q107" s="26"/>
      <c r="R107" s="26"/>
      <c r="S107" s="26"/>
      <c r="T107" s="26"/>
      <c r="U107" s="26"/>
      <c r="V107" s="26"/>
      <c r="W107" s="26"/>
    </row>
    <row r="108" spans="1:23" x14ac:dyDescent="0.2">
      <c r="A108" s="14" t="str">
        <f t="shared" si="3"/>
        <v/>
      </c>
      <c r="B108" s="15"/>
      <c r="C108" s="16"/>
      <c r="D108" s="15"/>
      <c r="E108" s="16"/>
      <c r="F108" s="16"/>
      <c r="G108" s="16"/>
      <c r="H108" s="16"/>
      <c r="I108" s="16"/>
      <c r="J108" s="16"/>
      <c r="K108" s="16"/>
      <c r="L108" s="16"/>
      <c r="M108" s="16"/>
      <c r="N108" s="15"/>
      <c r="O108" s="15"/>
      <c r="P108" s="15"/>
      <c r="Q108" s="15"/>
      <c r="R108" s="15"/>
      <c r="S108" s="15"/>
      <c r="T108" s="15"/>
      <c r="U108" s="15"/>
      <c r="V108" s="15"/>
      <c r="W108" s="15"/>
    </row>
    <row r="109" spans="1:23" x14ac:dyDescent="0.2">
      <c r="A109" s="14" t="str">
        <f t="shared" si="3"/>
        <v/>
      </c>
      <c r="B109" s="15"/>
      <c r="C109" s="16"/>
      <c r="D109" s="15"/>
      <c r="E109" s="16"/>
      <c r="F109" s="16"/>
      <c r="G109" s="16"/>
      <c r="H109" s="16"/>
      <c r="I109" s="16"/>
      <c r="J109" s="16"/>
      <c r="K109" s="16"/>
      <c r="L109" s="16"/>
      <c r="M109" s="16"/>
      <c r="N109" s="15"/>
      <c r="O109" s="15"/>
      <c r="P109" s="15"/>
      <c r="Q109" s="15"/>
      <c r="R109" s="15"/>
      <c r="S109" s="15"/>
      <c r="T109" s="15"/>
      <c r="U109" s="15"/>
      <c r="V109" s="15"/>
      <c r="W109" s="15"/>
    </row>
    <row r="110" spans="1:23" x14ac:dyDescent="0.2">
      <c r="A110" s="14" t="str">
        <f t="shared" si="3"/>
        <v/>
      </c>
      <c r="B110" s="15"/>
      <c r="C110" s="16"/>
      <c r="D110" s="15"/>
      <c r="E110" s="16"/>
      <c r="F110" s="16"/>
      <c r="G110" s="16"/>
      <c r="H110" s="16"/>
      <c r="I110" s="16"/>
      <c r="J110" s="16"/>
      <c r="K110" s="16"/>
      <c r="L110" s="16"/>
      <c r="M110" s="16"/>
      <c r="N110" s="15"/>
      <c r="O110" s="15"/>
      <c r="P110" s="15"/>
      <c r="Q110" s="15"/>
      <c r="R110" s="15"/>
      <c r="S110" s="15"/>
      <c r="T110" s="15"/>
      <c r="U110" s="15"/>
      <c r="V110" s="15"/>
      <c r="W110" s="15"/>
    </row>
    <row r="111" spans="1:23" x14ac:dyDescent="0.2">
      <c r="A111" s="14" t="str">
        <f t="shared" si="3"/>
        <v/>
      </c>
      <c r="B111" s="15"/>
      <c r="C111" s="16"/>
      <c r="D111" s="15"/>
      <c r="E111" s="16"/>
      <c r="F111" s="16"/>
      <c r="G111" s="16"/>
      <c r="H111" s="16"/>
      <c r="I111" s="16"/>
      <c r="J111" s="16"/>
      <c r="K111" s="16"/>
      <c r="L111" s="16"/>
      <c r="M111" s="16"/>
      <c r="N111" s="15"/>
      <c r="O111" s="15"/>
      <c r="P111" s="15"/>
      <c r="Q111" s="15"/>
      <c r="R111" s="15"/>
      <c r="S111" s="15"/>
      <c r="T111" s="15"/>
      <c r="U111" s="15"/>
      <c r="V111" s="15"/>
      <c r="W111" s="15"/>
    </row>
    <row r="112" spans="1:23" x14ac:dyDescent="0.2">
      <c r="A112" s="14" t="str">
        <f t="shared" si="3"/>
        <v/>
      </c>
      <c r="B112" s="15"/>
      <c r="C112" s="16"/>
      <c r="D112" s="15"/>
      <c r="E112" s="16"/>
      <c r="F112" s="16"/>
      <c r="G112" s="16"/>
      <c r="H112" s="16"/>
      <c r="I112" s="16"/>
      <c r="J112" s="16"/>
      <c r="K112" s="16"/>
      <c r="L112" s="16"/>
      <c r="M112" s="16"/>
      <c r="N112" s="15"/>
      <c r="O112" s="15"/>
      <c r="P112" s="15"/>
      <c r="Q112" s="15"/>
      <c r="R112" s="15"/>
      <c r="S112" s="15"/>
      <c r="T112" s="15"/>
      <c r="U112" s="15"/>
      <c r="V112" s="15"/>
      <c r="W112" s="15"/>
    </row>
    <row r="113" spans="1:23" x14ac:dyDescent="0.2">
      <c r="A113" s="14" t="str">
        <f t="shared" si="3"/>
        <v/>
      </c>
      <c r="B113" s="15"/>
      <c r="C113" s="16"/>
      <c r="D113" s="15"/>
      <c r="E113" s="16"/>
      <c r="F113" s="16"/>
      <c r="G113" s="16"/>
      <c r="H113" s="16"/>
      <c r="I113" s="16"/>
      <c r="J113" s="16"/>
      <c r="K113" s="16"/>
      <c r="L113" s="16"/>
      <c r="M113" s="16"/>
      <c r="N113" s="15"/>
      <c r="O113" s="15"/>
      <c r="P113" s="15"/>
      <c r="Q113" s="15"/>
      <c r="R113" s="15"/>
      <c r="S113" s="15"/>
      <c r="T113" s="15"/>
      <c r="U113" s="15"/>
      <c r="V113" s="15"/>
      <c r="W113" s="15"/>
    </row>
    <row r="114" spans="1:23" x14ac:dyDescent="0.2">
      <c r="A114" s="14" t="str">
        <f t="shared" si="3"/>
        <v/>
      </c>
      <c r="B114" s="15"/>
      <c r="C114" s="16"/>
      <c r="D114" s="15"/>
      <c r="E114" s="16"/>
      <c r="F114" s="16"/>
      <c r="G114" s="16"/>
      <c r="H114" s="16"/>
      <c r="I114" s="16"/>
      <c r="J114" s="16"/>
      <c r="K114" s="16"/>
      <c r="L114" s="16"/>
      <c r="M114" s="16"/>
      <c r="N114" s="15"/>
      <c r="O114" s="15"/>
      <c r="P114" s="15"/>
      <c r="Q114" s="15"/>
      <c r="R114" s="15"/>
      <c r="S114" s="15"/>
      <c r="T114" s="15"/>
      <c r="U114" s="15"/>
      <c r="V114" s="15"/>
      <c r="W114" s="15"/>
    </row>
    <row r="115" spans="1:23" x14ac:dyDescent="0.2">
      <c r="A115" s="14" t="str">
        <f t="shared" si="3"/>
        <v/>
      </c>
      <c r="B115" s="15"/>
      <c r="C115" s="16"/>
      <c r="D115" s="15"/>
      <c r="E115" s="16"/>
      <c r="F115" s="16"/>
      <c r="G115" s="16"/>
      <c r="H115" s="16"/>
      <c r="I115" s="16"/>
      <c r="J115" s="16"/>
      <c r="K115" s="16"/>
      <c r="L115" s="16"/>
      <c r="M115" s="16"/>
      <c r="N115" s="15"/>
      <c r="O115" s="15"/>
      <c r="P115" s="15"/>
      <c r="Q115" s="15"/>
      <c r="R115" s="15"/>
      <c r="S115" s="15"/>
      <c r="T115" s="15"/>
      <c r="U115" s="15"/>
      <c r="V115" s="15"/>
      <c r="W115" s="15"/>
    </row>
    <row r="116" spans="1:23" x14ac:dyDescent="0.2">
      <c r="A116" s="14" t="str">
        <f t="shared" si="3"/>
        <v/>
      </c>
      <c r="B116" s="15"/>
      <c r="C116" s="16"/>
      <c r="D116" s="15"/>
      <c r="E116" s="16"/>
      <c r="F116" s="16"/>
      <c r="G116" s="16"/>
      <c r="H116" s="16"/>
      <c r="I116" s="16"/>
      <c r="J116" s="16"/>
      <c r="K116" s="16"/>
      <c r="L116" s="16"/>
      <c r="M116" s="16"/>
      <c r="N116" s="15"/>
      <c r="O116" s="15"/>
      <c r="P116" s="15"/>
      <c r="Q116" s="15"/>
      <c r="R116" s="15"/>
      <c r="S116" s="15"/>
      <c r="T116" s="15"/>
      <c r="U116" s="15"/>
      <c r="V116" s="15"/>
      <c r="W116" s="15"/>
    </row>
    <row r="117" spans="1:23" x14ac:dyDescent="0.2">
      <c r="A117" s="14" t="str">
        <f t="shared" si="3"/>
        <v/>
      </c>
      <c r="B117" s="15"/>
      <c r="C117" s="16"/>
      <c r="D117" s="15"/>
      <c r="E117" s="16"/>
      <c r="F117" s="16"/>
      <c r="G117" s="16"/>
      <c r="H117" s="16"/>
      <c r="I117" s="16"/>
      <c r="J117" s="16"/>
      <c r="K117" s="16"/>
      <c r="L117" s="16"/>
      <c r="M117" s="16"/>
      <c r="N117" s="15"/>
      <c r="O117" s="15"/>
      <c r="P117" s="15"/>
      <c r="Q117" s="15"/>
      <c r="R117" s="15"/>
      <c r="S117" s="15"/>
      <c r="T117" s="15"/>
      <c r="U117" s="15"/>
      <c r="V117" s="15"/>
      <c r="W117" s="15"/>
    </row>
    <row r="118" spans="1:23" x14ac:dyDescent="0.2">
      <c r="A118" s="14" t="str">
        <f t="shared" si="3"/>
        <v/>
      </c>
      <c r="B118" s="15"/>
      <c r="C118" s="16"/>
      <c r="D118" s="15"/>
      <c r="E118" s="16"/>
      <c r="F118" s="16"/>
      <c r="G118" s="16"/>
      <c r="H118" s="16"/>
      <c r="I118" s="16"/>
      <c r="J118" s="16"/>
      <c r="K118" s="16"/>
      <c r="L118" s="16"/>
      <c r="M118" s="16"/>
      <c r="N118" s="15"/>
      <c r="O118" s="15"/>
      <c r="P118" s="15"/>
      <c r="Q118" s="15"/>
      <c r="R118" s="15"/>
      <c r="S118" s="15"/>
      <c r="T118" s="15"/>
      <c r="U118" s="15"/>
      <c r="V118" s="15"/>
      <c r="W118" s="15"/>
    </row>
    <row r="119" spans="1:23" x14ac:dyDescent="0.2">
      <c r="A119" s="14" t="str">
        <f t="shared" si="3"/>
        <v/>
      </c>
      <c r="B119" s="15"/>
      <c r="C119" s="16"/>
      <c r="D119" s="15"/>
      <c r="E119" s="16"/>
      <c r="F119" s="16"/>
      <c r="G119" s="16"/>
      <c r="H119" s="16"/>
      <c r="I119" s="16"/>
      <c r="J119" s="16"/>
      <c r="K119" s="16"/>
      <c r="L119" s="16"/>
      <c r="M119" s="16"/>
      <c r="N119" s="15"/>
      <c r="O119" s="15"/>
      <c r="P119" s="15"/>
      <c r="Q119" s="15"/>
      <c r="R119" s="15"/>
      <c r="S119" s="15"/>
      <c r="T119" s="15"/>
      <c r="U119" s="15"/>
      <c r="V119" s="15"/>
      <c r="W119" s="15"/>
    </row>
    <row r="120" spans="1:23" x14ac:dyDescent="0.2">
      <c r="A120" s="14" t="str">
        <f t="shared" si="3"/>
        <v/>
      </c>
      <c r="B120" s="15"/>
      <c r="C120" s="16"/>
      <c r="D120" s="15"/>
      <c r="E120" s="16"/>
      <c r="F120" s="16"/>
      <c r="G120" s="16"/>
      <c r="H120" s="16"/>
      <c r="I120" s="16"/>
      <c r="J120" s="16"/>
      <c r="K120" s="16"/>
      <c r="L120" s="16"/>
      <c r="M120" s="16"/>
      <c r="N120" s="15"/>
      <c r="O120" s="15"/>
      <c r="P120" s="15"/>
      <c r="Q120" s="15"/>
      <c r="R120" s="15"/>
      <c r="S120" s="15"/>
      <c r="T120" s="15"/>
      <c r="U120" s="15"/>
      <c r="V120" s="15"/>
      <c r="W120" s="15"/>
    </row>
    <row r="121" spans="1:23" x14ac:dyDescent="0.2">
      <c r="A121" s="14" t="str">
        <f t="shared" si="3"/>
        <v/>
      </c>
      <c r="B121" s="15"/>
      <c r="C121" s="16"/>
      <c r="D121" s="15"/>
      <c r="E121" s="16"/>
      <c r="F121" s="16"/>
      <c r="G121" s="16"/>
      <c r="H121" s="16"/>
      <c r="I121" s="16"/>
      <c r="J121" s="16"/>
      <c r="K121" s="16"/>
      <c r="L121" s="16"/>
      <c r="M121" s="16"/>
      <c r="N121" s="15"/>
      <c r="O121" s="15"/>
      <c r="P121" s="15"/>
      <c r="Q121" s="15"/>
      <c r="R121" s="15"/>
      <c r="S121" s="15"/>
      <c r="T121" s="15"/>
      <c r="U121" s="15"/>
      <c r="V121" s="15"/>
      <c r="W121" s="15"/>
    </row>
    <row r="122" spans="1:23" x14ac:dyDescent="0.2">
      <c r="A122" s="14" t="str">
        <f t="shared" si="3"/>
        <v/>
      </c>
      <c r="B122" s="15"/>
      <c r="C122" s="16"/>
      <c r="D122" s="15"/>
      <c r="E122" s="16"/>
      <c r="F122" s="16"/>
      <c r="G122" s="16"/>
      <c r="H122" s="16"/>
      <c r="I122" s="16"/>
      <c r="J122" s="16"/>
      <c r="K122" s="16"/>
      <c r="L122" s="16"/>
      <c r="M122" s="16"/>
      <c r="N122" s="15"/>
      <c r="O122" s="15"/>
      <c r="P122" s="15"/>
      <c r="Q122" s="15"/>
      <c r="R122" s="15"/>
      <c r="S122" s="15"/>
      <c r="T122" s="15"/>
      <c r="U122" s="15"/>
      <c r="V122" s="15"/>
      <c r="W122" s="15"/>
    </row>
    <row r="123" spans="1:23" x14ac:dyDescent="0.2">
      <c r="A123" s="14" t="str">
        <f t="shared" si="3"/>
        <v/>
      </c>
      <c r="B123" s="15"/>
      <c r="C123" s="16"/>
      <c r="D123" s="15"/>
      <c r="E123" s="16"/>
      <c r="F123" s="16"/>
      <c r="G123" s="16"/>
      <c r="H123" s="16"/>
      <c r="I123" s="16"/>
      <c r="J123" s="16"/>
      <c r="K123" s="16"/>
      <c r="L123" s="16"/>
      <c r="M123" s="16"/>
      <c r="N123" s="15"/>
      <c r="O123" s="15"/>
      <c r="P123" s="15"/>
      <c r="Q123" s="15"/>
      <c r="R123" s="15"/>
      <c r="S123" s="15"/>
      <c r="T123" s="15"/>
      <c r="U123" s="15"/>
      <c r="V123" s="15"/>
      <c r="W123" s="15"/>
    </row>
    <row r="124" spans="1:23" x14ac:dyDescent="0.2">
      <c r="A124" s="14" t="str">
        <f t="shared" si="3"/>
        <v/>
      </c>
      <c r="B124" s="15"/>
      <c r="C124" s="16"/>
      <c r="D124" s="15"/>
      <c r="E124" s="16"/>
      <c r="F124" s="16"/>
      <c r="G124" s="16"/>
      <c r="H124" s="16"/>
      <c r="I124" s="16"/>
      <c r="J124" s="16"/>
      <c r="K124" s="16"/>
      <c r="L124" s="16"/>
      <c r="M124" s="16"/>
      <c r="N124" s="15"/>
      <c r="O124" s="15"/>
      <c r="P124" s="15"/>
      <c r="Q124" s="15"/>
      <c r="R124" s="15"/>
      <c r="S124" s="15"/>
      <c r="T124" s="15"/>
      <c r="U124" s="15"/>
      <c r="V124" s="15"/>
      <c r="W124" s="15"/>
    </row>
    <row r="125" spans="1:23" x14ac:dyDescent="0.2">
      <c r="A125" s="14" t="str">
        <f t="shared" si="3"/>
        <v/>
      </c>
      <c r="B125" s="15"/>
      <c r="C125" s="16"/>
      <c r="D125" s="15"/>
      <c r="E125" s="16"/>
      <c r="F125" s="16"/>
      <c r="G125" s="16"/>
      <c r="H125" s="16"/>
      <c r="I125" s="16"/>
      <c r="J125" s="16"/>
      <c r="K125" s="16"/>
      <c r="L125" s="16"/>
      <c r="M125" s="16"/>
      <c r="N125" s="15"/>
      <c r="O125" s="15"/>
      <c r="P125" s="15"/>
      <c r="Q125" s="15"/>
      <c r="R125" s="15"/>
      <c r="S125" s="15"/>
      <c r="T125" s="15"/>
      <c r="U125" s="15"/>
      <c r="V125" s="15"/>
      <c r="W125" s="15"/>
    </row>
    <row r="126" spans="1:23" x14ac:dyDescent="0.2">
      <c r="A126" s="14" t="str">
        <f t="shared" si="3"/>
        <v/>
      </c>
      <c r="B126" s="15"/>
      <c r="C126" s="16"/>
      <c r="D126" s="15"/>
      <c r="E126" s="16"/>
      <c r="F126" s="16"/>
      <c r="G126" s="16"/>
      <c r="H126" s="16"/>
      <c r="I126" s="16"/>
      <c r="J126" s="16"/>
      <c r="K126" s="16"/>
      <c r="L126" s="16"/>
      <c r="M126" s="16"/>
      <c r="N126" s="15"/>
      <c r="O126" s="15"/>
      <c r="P126" s="15"/>
      <c r="Q126" s="15"/>
      <c r="R126" s="15"/>
      <c r="S126" s="15"/>
      <c r="T126" s="15"/>
      <c r="U126" s="15"/>
      <c r="V126" s="15"/>
      <c r="W126" s="15"/>
    </row>
    <row r="127" spans="1:23" x14ac:dyDescent="0.2">
      <c r="A127" s="14" t="str">
        <f t="shared" si="3"/>
        <v/>
      </c>
      <c r="B127" s="15"/>
      <c r="C127" s="16"/>
      <c r="D127" s="15"/>
      <c r="E127" s="16"/>
      <c r="F127" s="16"/>
      <c r="G127" s="16"/>
      <c r="H127" s="16"/>
      <c r="I127" s="16"/>
      <c r="J127" s="16"/>
      <c r="K127" s="16"/>
      <c r="L127" s="16"/>
      <c r="M127" s="16"/>
      <c r="N127" s="15"/>
      <c r="O127" s="15"/>
      <c r="P127" s="15"/>
      <c r="Q127" s="15"/>
      <c r="R127" s="15"/>
      <c r="S127" s="15"/>
      <c r="T127" s="15"/>
      <c r="U127" s="15"/>
      <c r="V127" s="15"/>
      <c r="W127" s="15"/>
    </row>
    <row r="128" spans="1:23" x14ac:dyDescent="0.2">
      <c r="A128" s="14" t="str">
        <f t="shared" si="3"/>
        <v/>
      </c>
      <c r="B128" s="15"/>
      <c r="C128" s="16"/>
      <c r="D128" s="15"/>
      <c r="E128" s="16"/>
      <c r="F128" s="16"/>
      <c r="G128" s="16"/>
      <c r="H128" s="16"/>
      <c r="I128" s="16"/>
      <c r="J128" s="16"/>
      <c r="K128" s="16"/>
      <c r="L128" s="16"/>
      <c r="M128" s="16"/>
      <c r="N128" s="15"/>
      <c r="O128" s="15"/>
      <c r="P128" s="15"/>
      <c r="Q128" s="15"/>
      <c r="R128" s="15"/>
      <c r="S128" s="15"/>
      <c r="T128" s="15"/>
      <c r="U128" s="15"/>
      <c r="V128" s="15"/>
      <c r="W128" s="15"/>
    </row>
    <row r="129" spans="1:23" x14ac:dyDescent="0.2">
      <c r="A129" s="14" t="str">
        <f t="shared" si="3"/>
        <v/>
      </c>
      <c r="B129" s="15"/>
      <c r="C129" s="16"/>
      <c r="D129" s="15"/>
      <c r="E129" s="16"/>
      <c r="F129" s="16"/>
      <c r="G129" s="16"/>
      <c r="H129" s="16"/>
      <c r="I129" s="16"/>
      <c r="J129" s="16"/>
      <c r="K129" s="16"/>
      <c r="L129" s="16"/>
      <c r="M129" s="16"/>
      <c r="N129" s="15"/>
      <c r="O129" s="15"/>
      <c r="P129" s="15"/>
      <c r="Q129" s="15"/>
      <c r="R129" s="15"/>
      <c r="S129" s="15"/>
      <c r="T129" s="15"/>
      <c r="U129" s="15"/>
      <c r="V129" s="15"/>
      <c r="W129" s="15"/>
    </row>
    <row r="130" spans="1:23" x14ac:dyDescent="0.2">
      <c r="A130" s="14" t="str">
        <f t="shared" si="3"/>
        <v/>
      </c>
      <c r="B130" s="15"/>
      <c r="C130" s="16"/>
      <c r="D130" s="15"/>
      <c r="E130" s="16"/>
      <c r="F130" s="16"/>
      <c r="G130" s="16"/>
      <c r="H130" s="16"/>
      <c r="I130" s="16"/>
      <c r="J130" s="16"/>
      <c r="K130" s="16"/>
      <c r="L130" s="16"/>
      <c r="M130" s="16"/>
      <c r="N130" s="15"/>
      <c r="O130" s="15"/>
      <c r="P130" s="15"/>
      <c r="Q130" s="15"/>
      <c r="R130" s="15"/>
      <c r="S130" s="15"/>
      <c r="T130" s="15"/>
      <c r="U130" s="15"/>
      <c r="V130" s="15"/>
      <c r="W130" s="15"/>
    </row>
    <row r="131" spans="1:23" x14ac:dyDescent="0.2">
      <c r="A131" s="14" t="str">
        <f t="shared" si="3"/>
        <v/>
      </c>
      <c r="B131" s="15"/>
      <c r="C131" s="16"/>
      <c r="D131" s="15"/>
      <c r="E131" s="16"/>
      <c r="F131" s="16"/>
      <c r="G131" s="16"/>
      <c r="H131" s="16"/>
      <c r="I131" s="16"/>
      <c r="J131" s="16"/>
      <c r="K131" s="16"/>
      <c r="L131" s="16"/>
      <c r="M131" s="16"/>
      <c r="N131" s="15"/>
      <c r="O131" s="15"/>
      <c r="P131" s="15"/>
      <c r="Q131" s="15"/>
      <c r="R131" s="15"/>
      <c r="S131" s="15"/>
      <c r="T131" s="15"/>
      <c r="U131" s="15"/>
      <c r="V131" s="15"/>
      <c r="W131" s="15"/>
    </row>
    <row r="132" spans="1:23" x14ac:dyDescent="0.2">
      <c r="A132" s="14" t="str">
        <f t="shared" si="3"/>
        <v/>
      </c>
      <c r="B132" s="15"/>
      <c r="C132" s="16"/>
      <c r="D132" s="15"/>
      <c r="E132" s="16"/>
      <c r="F132" s="16"/>
      <c r="G132" s="16"/>
      <c r="H132" s="16"/>
      <c r="I132" s="16"/>
      <c r="J132" s="16"/>
      <c r="K132" s="16"/>
      <c r="L132" s="16"/>
      <c r="M132" s="16"/>
      <c r="N132" s="15"/>
      <c r="O132" s="15"/>
      <c r="P132" s="15"/>
      <c r="Q132" s="15"/>
      <c r="R132" s="15"/>
      <c r="S132" s="15"/>
      <c r="T132" s="15"/>
      <c r="U132" s="15"/>
      <c r="V132" s="15"/>
      <c r="W132" s="15"/>
    </row>
    <row r="133" spans="1:23" x14ac:dyDescent="0.2">
      <c r="A133" s="14" t="str">
        <f t="shared" si="3"/>
        <v/>
      </c>
      <c r="B133" s="15"/>
      <c r="C133" s="16"/>
      <c r="D133" s="15"/>
      <c r="E133" s="16"/>
      <c r="F133" s="16"/>
      <c r="G133" s="16"/>
      <c r="H133" s="16"/>
      <c r="I133" s="16"/>
      <c r="J133" s="16"/>
      <c r="K133" s="16"/>
      <c r="L133" s="16"/>
      <c r="M133" s="16"/>
      <c r="N133" s="15"/>
      <c r="O133" s="15"/>
      <c r="P133" s="15"/>
      <c r="Q133" s="15"/>
      <c r="R133" s="15"/>
      <c r="S133" s="15"/>
      <c r="T133" s="15"/>
      <c r="U133" s="15"/>
      <c r="V133" s="15"/>
      <c r="W133" s="15"/>
    </row>
    <row r="134" spans="1:23" x14ac:dyDescent="0.2">
      <c r="A134" s="14" t="str">
        <f t="shared" si="3"/>
        <v/>
      </c>
      <c r="B134" s="15"/>
      <c r="C134" s="16"/>
      <c r="D134" s="15"/>
      <c r="E134" s="16"/>
      <c r="F134" s="16"/>
      <c r="G134" s="16"/>
      <c r="H134" s="16"/>
      <c r="I134" s="16"/>
      <c r="J134" s="16"/>
      <c r="K134" s="16"/>
      <c r="L134" s="16"/>
      <c r="M134" s="16"/>
      <c r="N134" s="15"/>
      <c r="O134" s="15"/>
      <c r="P134" s="15"/>
      <c r="Q134" s="15"/>
      <c r="R134" s="15"/>
      <c r="S134" s="15"/>
      <c r="T134" s="15"/>
      <c r="U134" s="15"/>
      <c r="V134" s="15"/>
      <c r="W134" s="15"/>
    </row>
    <row r="135" spans="1:23" x14ac:dyDescent="0.2">
      <c r="A135" s="14" t="str">
        <f t="shared" si="3"/>
        <v/>
      </c>
      <c r="B135" s="15"/>
      <c r="C135" s="16"/>
      <c r="D135" s="15"/>
      <c r="E135" s="16"/>
      <c r="F135" s="16"/>
      <c r="G135" s="16"/>
      <c r="H135" s="16"/>
      <c r="I135" s="16"/>
      <c r="J135" s="16"/>
      <c r="K135" s="16"/>
      <c r="L135" s="16"/>
      <c r="M135" s="16"/>
      <c r="N135" s="15"/>
      <c r="O135" s="15"/>
      <c r="P135" s="15"/>
      <c r="Q135" s="15"/>
      <c r="R135" s="15"/>
      <c r="S135" s="15"/>
      <c r="T135" s="15"/>
      <c r="U135" s="15"/>
      <c r="V135" s="15"/>
      <c r="W135" s="15"/>
    </row>
    <row r="136" spans="1:23" x14ac:dyDescent="0.2">
      <c r="A136" s="14" t="str">
        <f t="shared" si="3"/>
        <v/>
      </c>
      <c r="B136" s="15"/>
      <c r="C136" s="16"/>
      <c r="D136" s="15"/>
      <c r="E136" s="16"/>
      <c r="F136" s="16"/>
      <c r="G136" s="16"/>
      <c r="H136" s="16"/>
      <c r="I136" s="16"/>
      <c r="J136" s="16"/>
      <c r="K136" s="16"/>
      <c r="L136" s="16"/>
      <c r="M136" s="16"/>
      <c r="N136" s="15"/>
      <c r="O136" s="15"/>
      <c r="P136" s="15"/>
      <c r="Q136" s="15"/>
      <c r="R136" s="15"/>
      <c r="S136" s="15"/>
      <c r="T136" s="15"/>
      <c r="U136" s="15"/>
      <c r="V136" s="15"/>
      <c r="W136" s="15"/>
    </row>
    <row r="137" spans="1:23" x14ac:dyDescent="0.2">
      <c r="A137" s="14" t="str">
        <f t="shared" si="3"/>
        <v/>
      </c>
      <c r="B137" s="15"/>
      <c r="C137" s="16"/>
      <c r="D137" s="15"/>
      <c r="E137" s="16"/>
      <c r="F137" s="16"/>
      <c r="G137" s="16"/>
      <c r="H137" s="16"/>
      <c r="I137" s="16"/>
      <c r="J137" s="16"/>
      <c r="K137" s="16"/>
      <c r="L137" s="16"/>
      <c r="M137" s="16"/>
      <c r="N137" s="15"/>
      <c r="O137" s="15"/>
      <c r="P137" s="15"/>
      <c r="Q137" s="15"/>
      <c r="R137" s="15"/>
      <c r="S137" s="15"/>
      <c r="T137" s="15"/>
      <c r="U137" s="15"/>
      <c r="V137" s="15"/>
      <c r="W137" s="15"/>
    </row>
    <row r="138" spans="1:23" x14ac:dyDescent="0.2">
      <c r="A138" s="14" t="str">
        <f t="shared" si="3"/>
        <v/>
      </c>
      <c r="B138" s="15"/>
      <c r="C138" s="16"/>
      <c r="D138" s="15"/>
      <c r="E138" s="16"/>
      <c r="F138" s="16"/>
      <c r="G138" s="16"/>
      <c r="H138" s="16"/>
      <c r="I138" s="16"/>
      <c r="J138" s="16"/>
      <c r="K138" s="16"/>
      <c r="L138" s="16"/>
      <c r="M138" s="16"/>
      <c r="N138" s="15"/>
      <c r="O138" s="15"/>
      <c r="P138" s="15"/>
      <c r="Q138" s="15"/>
      <c r="R138" s="15"/>
      <c r="S138" s="15"/>
      <c r="T138" s="15"/>
      <c r="U138" s="15"/>
      <c r="V138" s="15"/>
      <c r="W138" s="15"/>
    </row>
    <row r="139" spans="1:23" x14ac:dyDescent="0.2">
      <c r="A139" s="14" t="str">
        <f t="shared" ref="A139:A150" si="4">IF(OR(D139&lt;&gt;"", B139&lt;&gt;""), ROW()-1, "")</f>
        <v/>
      </c>
      <c r="B139" s="15"/>
      <c r="C139" s="16"/>
      <c r="D139" s="15"/>
      <c r="E139" s="16"/>
      <c r="F139" s="16"/>
      <c r="G139" s="16"/>
      <c r="H139" s="16"/>
      <c r="I139" s="16"/>
      <c r="J139" s="16"/>
      <c r="K139" s="16"/>
      <c r="L139" s="16"/>
      <c r="M139" s="16"/>
      <c r="N139" s="15"/>
      <c r="O139" s="15"/>
      <c r="P139" s="15"/>
      <c r="Q139" s="15"/>
      <c r="R139" s="15"/>
      <c r="S139" s="15"/>
      <c r="T139" s="15"/>
      <c r="U139" s="15"/>
      <c r="V139" s="15"/>
      <c r="W139" s="15"/>
    </row>
    <row r="140" spans="1:23" x14ac:dyDescent="0.2">
      <c r="A140" s="14" t="str">
        <f t="shared" si="4"/>
        <v/>
      </c>
      <c r="B140" s="15"/>
      <c r="C140" s="16"/>
      <c r="D140" s="15"/>
      <c r="E140" s="16"/>
      <c r="F140" s="16"/>
      <c r="G140" s="16"/>
      <c r="H140" s="16"/>
      <c r="I140" s="16"/>
      <c r="J140" s="16"/>
      <c r="K140" s="16"/>
      <c r="L140" s="16"/>
      <c r="M140" s="16"/>
      <c r="N140" s="15"/>
      <c r="O140" s="15"/>
      <c r="P140" s="15"/>
      <c r="Q140" s="15"/>
      <c r="R140" s="15"/>
      <c r="S140" s="15"/>
      <c r="T140" s="15"/>
      <c r="U140" s="15"/>
      <c r="V140" s="15"/>
      <c r="W140" s="15"/>
    </row>
    <row r="141" spans="1:23" x14ac:dyDescent="0.2">
      <c r="A141" s="14" t="str">
        <f t="shared" si="4"/>
        <v/>
      </c>
      <c r="B141" s="15"/>
      <c r="C141" s="16"/>
      <c r="D141" s="15"/>
      <c r="E141" s="16"/>
      <c r="F141" s="16"/>
      <c r="G141" s="16"/>
      <c r="H141" s="16"/>
      <c r="I141" s="16"/>
      <c r="J141" s="16"/>
      <c r="K141" s="16"/>
      <c r="L141" s="16"/>
      <c r="M141" s="16"/>
      <c r="N141" s="15"/>
      <c r="O141" s="15"/>
      <c r="P141" s="15"/>
      <c r="Q141" s="15"/>
      <c r="R141" s="15"/>
      <c r="S141" s="15"/>
      <c r="T141" s="15"/>
      <c r="U141" s="15"/>
      <c r="V141" s="15"/>
      <c r="W141" s="15"/>
    </row>
    <row r="142" spans="1:23" x14ac:dyDescent="0.2">
      <c r="A142" s="14" t="str">
        <f t="shared" si="4"/>
        <v/>
      </c>
      <c r="B142" s="15"/>
      <c r="C142" s="16"/>
      <c r="D142" s="15"/>
      <c r="E142" s="16"/>
      <c r="F142" s="16"/>
      <c r="G142" s="16"/>
      <c r="H142" s="16"/>
      <c r="I142" s="16"/>
      <c r="J142" s="16"/>
      <c r="K142" s="16"/>
      <c r="L142" s="16"/>
      <c r="M142" s="16"/>
      <c r="N142" s="15"/>
      <c r="O142" s="15"/>
      <c r="P142" s="15"/>
      <c r="Q142" s="15"/>
      <c r="R142" s="15"/>
      <c r="S142" s="15"/>
      <c r="T142" s="15"/>
      <c r="U142" s="15"/>
      <c r="V142" s="15"/>
      <c r="W142" s="15"/>
    </row>
    <row r="143" spans="1:23" x14ac:dyDescent="0.2">
      <c r="A143" s="14" t="str">
        <f t="shared" si="4"/>
        <v/>
      </c>
      <c r="B143" s="15"/>
      <c r="C143" s="16"/>
      <c r="D143" s="15"/>
      <c r="E143" s="16"/>
      <c r="F143" s="16"/>
      <c r="G143" s="16"/>
      <c r="H143" s="16"/>
      <c r="I143" s="16"/>
      <c r="J143" s="16"/>
      <c r="K143" s="16"/>
      <c r="L143" s="16"/>
      <c r="M143" s="16"/>
      <c r="N143" s="15"/>
      <c r="O143" s="15"/>
      <c r="P143" s="15"/>
      <c r="Q143" s="15"/>
      <c r="R143" s="15"/>
      <c r="S143" s="15"/>
      <c r="T143" s="15"/>
      <c r="U143" s="15"/>
      <c r="V143" s="15"/>
      <c r="W143" s="15"/>
    </row>
    <row r="144" spans="1:23" x14ac:dyDescent="0.2">
      <c r="A144" s="14" t="str">
        <f t="shared" si="4"/>
        <v/>
      </c>
      <c r="B144" s="15"/>
      <c r="C144" s="16"/>
      <c r="D144" s="15"/>
      <c r="E144" s="16"/>
      <c r="F144" s="16"/>
      <c r="G144" s="16"/>
      <c r="H144" s="16"/>
      <c r="I144" s="16"/>
      <c r="J144" s="16"/>
      <c r="K144" s="16"/>
      <c r="L144" s="16"/>
      <c r="M144" s="16"/>
      <c r="N144" s="15"/>
      <c r="O144" s="15"/>
      <c r="P144" s="15"/>
      <c r="Q144" s="15"/>
      <c r="R144" s="15"/>
      <c r="S144" s="15"/>
      <c r="T144" s="15"/>
      <c r="U144" s="15"/>
      <c r="V144" s="15"/>
      <c r="W144" s="15"/>
    </row>
    <row r="145" spans="1:23" x14ac:dyDescent="0.2">
      <c r="A145" s="14" t="str">
        <f t="shared" si="4"/>
        <v/>
      </c>
      <c r="B145" s="15"/>
      <c r="C145" s="16"/>
      <c r="D145" s="15"/>
      <c r="E145" s="16"/>
      <c r="F145" s="16"/>
      <c r="G145" s="16"/>
      <c r="H145" s="16"/>
      <c r="I145" s="16"/>
      <c r="J145" s="16"/>
      <c r="K145" s="16"/>
      <c r="L145" s="16"/>
      <c r="M145" s="16"/>
      <c r="N145" s="15"/>
      <c r="O145" s="15"/>
      <c r="P145" s="15"/>
      <c r="Q145" s="15"/>
      <c r="R145" s="15"/>
      <c r="S145" s="15"/>
      <c r="T145" s="15"/>
      <c r="U145" s="15"/>
      <c r="V145" s="15"/>
      <c r="W145" s="15"/>
    </row>
    <row r="146" spans="1:23" x14ac:dyDescent="0.2">
      <c r="A146" s="14" t="str">
        <f t="shared" si="4"/>
        <v/>
      </c>
      <c r="B146" s="15"/>
      <c r="C146" s="16"/>
      <c r="D146" s="15"/>
      <c r="E146" s="16"/>
      <c r="F146" s="16"/>
      <c r="G146" s="16"/>
      <c r="H146" s="16"/>
      <c r="I146" s="16"/>
      <c r="J146" s="16"/>
      <c r="K146" s="16"/>
      <c r="L146" s="16"/>
      <c r="M146" s="16"/>
      <c r="N146" s="15"/>
      <c r="O146" s="15"/>
      <c r="P146" s="15"/>
      <c r="Q146" s="15"/>
      <c r="R146" s="15"/>
      <c r="S146" s="15"/>
      <c r="T146" s="15"/>
      <c r="U146" s="15"/>
      <c r="V146" s="15"/>
      <c r="W146" s="15"/>
    </row>
    <row r="147" spans="1:23" x14ac:dyDescent="0.2">
      <c r="A147" s="14" t="str">
        <f t="shared" si="4"/>
        <v/>
      </c>
      <c r="B147" s="15"/>
      <c r="C147" s="16"/>
      <c r="D147" s="15"/>
      <c r="E147" s="16"/>
      <c r="F147" s="16"/>
      <c r="G147" s="16"/>
      <c r="H147" s="16"/>
      <c r="I147" s="16"/>
      <c r="J147" s="16"/>
      <c r="K147" s="16"/>
      <c r="L147" s="16"/>
      <c r="M147" s="16"/>
      <c r="N147" s="15"/>
      <c r="O147" s="15"/>
      <c r="P147" s="15"/>
      <c r="Q147" s="15"/>
      <c r="R147" s="15"/>
      <c r="S147" s="15"/>
      <c r="T147" s="15"/>
      <c r="U147" s="15"/>
      <c r="V147" s="15"/>
      <c r="W147" s="15"/>
    </row>
    <row r="148" spans="1:23" x14ac:dyDescent="0.2">
      <c r="A148" s="14" t="str">
        <f t="shared" si="4"/>
        <v/>
      </c>
      <c r="B148" s="15"/>
      <c r="C148" s="16"/>
      <c r="D148" s="15"/>
      <c r="E148" s="16"/>
      <c r="F148" s="16"/>
      <c r="G148" s="16"/>
      <c r="H148" s="16"/>
      <c r="I148" s="16"/>
      <c r="J148" s="16"/>
      <c r="K148" s="16"/>
      <c r="L148" s="16"/>
      <c r="M148" s="16"/>
      <c r="N148" s="15"/>
      <c r="O148" s="15"/>
      <c r="P148" s="15"/>
      <c r="Q148" s="15"/>
      <c r="R148" s="15"/>
      <c r="S148" s="15"/>
      <c r="T148" s="15"/>
      <c r="U148" s="15"/>
      <c r="V148" s="15"/>
      <c r="W148" s="15"/>
    </row>
    <row r="149" spans="1:23" x14ac:dyDescent="0.2">
      <c r="A149" s="14" t="str">
        <f t="shared" si="4"/>
        <v/>
      </c>
      <c r="B149" s="15"/>
      <c r="C149" s="16"/>
      <c r="D149" s="15"/>
      <c r="E149" s="16"/>
      <c r="F149" s="16"/>
      <c r="G149" s="16"/>
      <c r="H149" s="16"/>
      <c r="I149" s="16"/>
      <c r="J149" s="16"/>
      <c r="K149" s="16"/>
      <c r="L149" s="16"/>
      <c r="M149" s="16"/>
      <c r="N149" s="15"/>
      <c r="O149" s="15"/>
      <c r="P149" s="15"/>
      <c r="Q149" s="15"/>
      <c r="R149" s="15"/>
      <c r="S149" s="15"/>
      <c r="T149" s="15"/>
      <c r="U149" s="15"/>
      <c r="V149" s="15"/>
      <c r="W149" s="15"/>
    </row>
    <row r="150" spans="1:23" x14ac:dyDescent="0.2">
      <c r="A150" s="14" t="str">
        <f t="shared" si="4"/>
        <v/>
      </c>
      <c r="B150" s="15"/>
      <c r="C150" s="16"/>
      <c r="D150" s="15"/>
      <c r="E150" s="16"/>
      <c r="F150" s="16"/>
      <c r="G150" s="16"/>
      <c r="H150" s="16"/>
      <c r="I150" s="16"/>
      <c r="J150" s="16"/>
      <c r="K150" s="16"/>
      <c r="L150" s="16"/>
      <c r="M150" s="16"/>
      <c r="N150" s="15"/>
      <c r="O150" s="15"/>
      <c r="P150" s="15"/>
      <c r="Q150" s="15"/>
      <c r="R150" s="15"/>
      <c r="S150" s="15"/>
      <c r="T150" s="15"/>
      <c r="U150" s="15"/>
      <c r="V150" s="15"/>
      <c r="W150" s="15"/>
    </row>
  </sheetData>
  <dataValidations count="6">
    <dataValidation type="list" allowBlank="1" sqref="E2:E500" xr:uid="{00000000-0002-0000-0400-000000000000}">
      <formula1>"TODO,IN_PROGRESS,IN_REVIEW,DONE"</formula1>
    </dataValidation>
    <dataValidation type="list" allowBlank="1" sqref="F2:F500" xr:uid="{00000000-0002-0000-0400-000001000000}">
      <formula1>"LOW,MEDIUM,HIGH,CRITICAL"</formula1>
    </dataValidation>
    <dataValidation type="list" allowBlank="1" sqref="G2:G500" xr:uid="{00000000-0002-0000-0400-000002000000}">
      <formula1>"NEW_APPLICATION,ENHANCEMENT,BUG,MAINTENANCE,MIGRATION"</formula1>
    </dataValidation>
    <dataValidation type="list" allowBlank="1" sqref="H2:H500" xr:uid="{00000000-0002-0000-04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2:I500" xr:uid="{00000000-0002-0000-0400-000004000000}">
      <formula1>"UI_BUG,FUNCTIONAL_BUG,INTEGRATION_BUG,DATA_BUG,PERFORMANCE_BUG,SECURITY_BUG,OTHER"</formula1>
    </dataValidation>
    <dataValidation type="list" allowBlank="1" showInputMessage="1" showErrorMessage="1" sqref="Z2" xr:uid="{77C1F07E-EBC4-4E2A-B888-4707C6C166DB}">
      <formula1>"Requirement,System Design,Implementation,Testing,Deployment,Maintenance"</formula1>
    </dataValidation>
  </dataValidations>
  <hyperlinks>
    <hyperlink ref="T68:T73" r:id="rId1" display="syifa.kurnia@elistec.com" xr:uid="{A9017C62-23DE-4BED-B8B3-ED49007875CD}"/>
    <hyperlink ref="T75" r:id="rId2" xr:uid="{E3F5FF60-5FA7-4BE1-9840-80028C17F3A4}"/>
    <hyperlink ref="T74" r:id="rId3" xr:uid="{50567FFC-0C90-41FB-A6F1-5F83C54EA72B}"/>
    <hyperlink ref="T76" r:id="rId4" xr:uid="{16964EF0-965C-40CE-BD83-94A1D3570CA3}"/>
    <hyperlink ref="T77" r:id="rId5" xr:uid="{E09FFB38-AB44-4D18-B85A-DF4D3FF20F7A}"/>
    <hyperlink ref="T78" r:id="rId6" xr:uid="{9C638715-B5D3-44AD-8B34-6FFF23BFBE24}"/>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E98F70C-6A0C-4071-9DE9-88F6CDD7CF36}">
          <x14:formula1>
            <xm:f>Master_Project_Name!$A$2:$A$100</xm:f>
          </x14:formula1>
          <xm:sqref>B2:B500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0"/>
  <sheetViews>
    <sheetView topLeftCell="A42" workbookViewId="0">
      <selection activeCell="Z2" sqref="Z2"/>
    </sheetView>
  </sheetViews>
  <sheetFormatPr baseColWidth="10" defaultColWidth="8.83203125" defaultRowHeight="15" x14ac:dyDescent="0.2"/>
  <cols>
    <col min="1" max="1" width="6" customWidth="1"/>
    <col min="2" max="2" width="28" customWidth="1"/>
    <col min="3" max="3" width="18" customWidth="1"/>
    <col min="4" max="4" width="4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19" width="26" customWidth="1"/>
    <col min="20" max="20" width="28" customWidth="1"/>
    <col min="21" max="21" width="26" customWidth="1"/>
    <col min="22" max="23" width="30" customWidth="1"/>
    <col min="24" max="24" width="15.6640625" customWidth="1"/>
    <col min="25" max="25" width="10.6640625" customWidth="1"/>
  </cols>
  <sheetData>
    <row r="1" spans="1:26" ht="28" customHeight="1" x14ac:dyDescent="0.2">
      <c r="A1" s="30" t="s">
        <v>138</v>
      </c>
      <c r="B1" s="30" t="s">
        <v>0</v>
      </c>
      <c r="C1" s="30" t="s">
        <v>1</v>
      </c>
      <c r="D1" s="30" t="s">
        <v>139</v>
      </c>
      <c r="E1" s="30" t="s">
        <v>140</v>
      </c>
      <c r="F1" s="30" t="s">
        <v>141</v>
      </c>
      <c r="G1" s="30" t="s">
        <v>142</v>
      </c>
      <c r="H1" s="30" t="s">
        <v>143</v>
      </c>
      <c r="I1" s="30" t="s">
        <v>144</v>
      </c>
      <c r="J1" s="30" t="s">
        <v>145</v>
      </c>
      <c r="K1" s="30" t="s">
        <v>146</v>
      </c>
      <c r="L1" s="30" t="s">
        <v>147</v>
      </c>
      <c r="M1" s="30" t="s">
        <v>148</v>
      </c>
      <c r="N1" s="30" t="s">
        <v>149</v>
      </c>
      <c r="O1" s="30" t="s">
        <v>150</v>
      </c>
      <c r="P1" s="30" t="s">
        <v>151</v>
      </c>
      <c r="Q1" s="30" t="s">
        <v>152</v>
      </c>
      <c r="R1" s="30" t="s">
        <v>153</v>
      </c>
      <c r="S1" s="30" t="s">
        <v>154</v>
      </c>
      <c r="T1" s="30" t="s">
        <v>155</v>
      </c>
      <c r="U1" s="30" t="s">
        <v>156</v>
      </c>
      <c r="V1" s="30" t="s">
        <v>157</v>
      </c>
      <c r="W1" s="30" t="s">
        <v>158</v>
      </c>
      <c r="X1" s="30" t="s">
        <v>159</v>
      </c>
      <c r="Y1" s="30" t="s">
        <v>160</v>
      </c>
      <c r="Z1" s="30" t="s">
        <v>161</v>
      </c>
    </row>
    <row r="2" spans="1:26" ht="75" x14ac:dyDescent="0.2">
      <c r="A2" s="20">
        <f t="shared" ref="A2:A28" si="0">IF(OR(D2&lt;&gt;"", B2&lt;&gt;""), ROW()-1, "")</f>
        <v>1</v>
      </c>
      <c r="B2" s="21" t="s">
        <v>170</v>
      </c>
      <c r="C2" s="22"/>
      <c r="D2" s="21" t="s">
        <v>496</v>
      </c>
      <c r="E2" s="22" t="s">
        <v>109</v>
      </c>
      <c r="F2" s="22" t="s">
        <v>172</v>
      </c>
      <c r="G2" s="22" t="s">
        <v>164</v>
      </c>
      <c r="H2" s="22" t="s">
        <v>173</v>
      </c>
      <c r="I2" s="22"/>
      <c r="J2" s="23">
        <v>1</v>
      </c>
      <c r="K2" s="24">
        <v>46239</v>
      </c>
      <c r="L2" s="24">
        <v>46239</v>
      </c>
      <c r="M2" s="24">
        <v>46239</v>
      </c>
      <c r="N2" s="21" t="s">
        <v>174</v>
      </c>
      <c r="O2" s="21" t="s">
        <v>166</v>
      </c>
      <c r="P2" s="21"/>
      <c r="Q2" s="21"/>
      <c r="R2" s="21"/>
      <c r="S2" s="21" t="s">
        <v>175</v>
      </c>
      <c r="T2" s="21" t="s">
        <v>167</v>
      </c>
      <c r="U2" s="21"/>
      <c r="V2" s="21"/>
      <c r="W2" s="21" t="s">
        <v>497</v>
      </c>
    </row>
    <row r="3" spans="1:26" ht="60" x14ac:dyDescent="0.2">
      <c r="A3" s="20">
        <f t="shared" si="0"/>
        <v>2</v>
      </c>
      <c r="B3" s="21" t="s">
        <v>170</v>
      </c>
      <c r="C3" s="22"/>
      <c r="D3" s="21" t="s">
        <v>498</v>
      </c>
      <c r="E3" s="22" t="s">
        <v>109</v>
      </c>
      <c r="F3" s="22" t="s">
        <v>172</v>
      </c>
      <c r="G3" s="22" t="s">
        <v>179</v>
      </c>
      <c r="H3" s="22" t="s">
        <v>173</v>
      </c>
      <c r="I3" s="22"/>
      <c r="J3" s="23">
        <v>1</v>
      </c>
      <c r="K3" s="24">
        <v>46240</v>
      </c>
      <c r="L3" s="24">
        <v>46240</v>
      </c>
      <c r="M3" s="24">
        <v>46240</v>
      </c>
      <c r="N3" s="21" t="s">
        <v>174</v>
      </c>
      <c r="O3" s="21" t="s">
        <v>166</v>
      </c>
      <c r="P3" s="21"/>
      <c r="Q3" s="21"/>
      <c r="R3" s="21"/>
      <c r="S3" s="21" t="s">
        <v>175</v>
      </c>
      <c r="T3" s="21" t="s">
        <v>167</v>
      </c>
      <c r="U3" s="21"/>
      <c r="V3" s="21"/>
      <c r="W3" s="21" t="s">
        <v>499</v>
      </c>
    </row>
    <row r="4" spans="1:26" ht="75" x14ac:dyDescent="0.2">
      <c r="A4" s="20">
        <f t="shared" si="0"/>
        <v>3</v>
      </c>
      <c r="B4" s="21" t="s">
        <v>170</v>
      </c>
      <c r="C4" s="22"/>
      <c r="D4" s="21" t="s">
        <v>500</v>
      </c>
      <c r="E4" s="22" t="s">
        <v>109</v>
      </c>
      <c r="F4" s="22" t="s">
        <v>172</v>
      </c>
      <c r="G4" s="22" t="s">
        <v>164</v>
      </c>
      <c r="H4" s="22" t="s">
        <v>173</v>
      </c>
      <c r="I4" s="22"/>
      <c r="J4" s="23">
        <v>1</v>
      </c>
      <c r="K4" s="24">
        <v>46241</v>
      </c>
      <c r="L4" s="24">
        <v>46246</v>
      </c>
      <c r="M4" s="24">
        <v>46246</v>
      </c>
      <c r="N4" s="21" t="s">
        <v>174</v>
      </c>
      <c r="O4" s="21" t="s">
        <v>166</v>
      </c>
      <c r="P4" s="21"/>
      <c r="Q4" s="21"/>
      <c r="R4" s="21"/>
      <c r="S4" s="21" t="s">
        <v>175</v>
      </c>
      <c r="T4" s="21" t="s">
        <v>167</v>
      </c>
      <c r="U4" s="21"/>
      <c r="V4" s="21" t="s">
        <v>501</v>
      </c>
      <c r="W4" s="21" t="s">
        <v>502</v>
      </c>
    </row>
    <row r="5" spans="1:26" ht="75" x14ac:dyDescent="0.2">
      <c r="A5" s="20">
        <f t="shared" si="0"/>
        <v>4</v>
      </c>
      <c r="B5" s="21" t="s">
        <v>170</v>
      </c>
      <c r="C5" s="22"/>
      <c r="D5" s="21" t="s">
        <v>503</v>
      </c>
      <c r="E5" s="22" t="s">
        <v>109</v>
      </c>
      <c r="F5" s="22" t="s">
        <v>172</v>
      </c>
      <c r="G5" s="22" t="s">
        <v>164</v>
      </c>
      <c r="H5" s="22" t="s">
        <v>173</v>
      </c>
      <c r="I5" s="22"/>
      <c r="J5" s="23">
        <v>1</v>
      </c>
      <c r="K5" s="24">
        <v>46244</v>
      </c>
      <c r="L5" s="24">
        <v>46244</v>
      </c>
      <c r="M5" s="24">
        <v>46244</v>
      </c>
      <c r="N5" s="21" t="s">
        <v>174</v>
      </c>
      <c r="O5" s="21" t="s">
        <v>166</v>
      </c>
      <c r="P5" s="21"/>
      <c r="Q5" s="21"/>
      <c r="R5" s="21"/>
      <c r="S5" s="21" t="s">
        <v>175</v>
      </c>
      <c r="T5" s="21" t="s">
        <v>167</v>
      </c>
      <c r="U5" s="21"/>
      <c r="V5" s="21"/>
      <c r="W5" s="21" t="s">
        <v>504</v>
      </c>
    </row>
    <row r="6" spans="1:26" ht="60" x14ac:dyDescent="0.2">
      <c r="A6" s="20">
        <f t="shared" si="0"/>
        <v>5</v>
      </c>
      <c r="B6" s="21" t="s">
        <v>170</v>
      </c>
      <c r="C6" s="22"/>
      <c r="D6" s="21" t="s">
        <v>505</v>
      </c>
      <c r="E6" s="22" t="s">
        <v>109</v>
      </c>
      <c r="F6" s="22" t="s">
        <v>172</v>
      </c>
      <c r="G6" s="22" t="s">
        <v>164</v>
      </c>
      <c r="H6" s="22" t="s">
        <v>173</v>
      </c>
      <c r="I6" s="22"/>
      <c r="J6" s="23">
        <v>1</v>
      </c>
      <c r="K6" s="24">
        <v>46245</v>
      </c>
      <c r="L6" s="24">
        <v>46245</v>
      </c>
      <c r="M6" s="24">
        <v>46245</v>
      </c>
      <c r="N6" s="21" t="s">
        <v>174</v>
      </c>
      <c r="O6" s="21" t="s">
        <v>166</v>
      </c>
      <c r="P6" s="21"/>
      <c r="Q6" s="21"/>
      <c r="R6" s="21"/>
      <c r="S6" s="21" t="s">
        <v>175</v>
      </c>
      <c r="T6" s="21" t="s">
        <v>167</v>
      </c>
      <c r="U6" s="21"/>
      <c r="V6" s="21"/>
      <c r="W6" s="21" t="s">
        <v>506</v>
      </c>
    </row>
    <row r="7" spans="1:26" ht="60" x14ac:dyDescent="0.2">
      <c r="A7" s="20">
        <f t="shared" si="0"/>
        <v>6</v>
      </c>
      <c r="B7" s="21" t="s">
        <v>170</v>
      </c>
      <c r="C7" s="22"/>
      <c r="D7" s="21" t="s">
        <v>507</v>
      </c>
      <c r="E7" s="22" t="s">
        <v>109</v>
      </c>
      <c r="F7" s="22" t="s">
        <v>172</v>
      </c>
      <c r="G7" s="22" t="s">
        <v>179</v>
      </c>
      <c r="H7" s="22" t="s">
        <v>173</v>
      </c>
      <c r="I7" s="22"/>
      <c r="J7" s="23">
        <v>1</v>
      </c>
      <c r="K7" s="24">
        <v>46246</v>
      </c>
      <c r="L7" s="24">
        <v>46246</v>
      </c>
      <c r="M7" s="24">
        <v>46246</v>
      </c>
      <c r="N7" s="21" t="s">
        <v>174</v>
      </c>
      <c r="O7" s="21" t="s">
        <v>166</v>
      </c>
      <c r="P7" s="21"/>
      <c r="Q7" s="21"/>
      <c r="R7" s="21"/>
      <c r="S7" s="21" t="s">
        <v>175</v>
      </c>
      <c r="T7" s="21" t="s">
        <v>167</v>
      </c>
      <c r="U7" s="21"/>
      <c r="V7" s="21"/>
      <c r="W7" s="21" t="s">
        <v>508</v>
      </c>
    </row>
    <row r="8" spans="1:26" ht="60" x14ac:dyDescent="0.2">
      <c r="A8" s="20">
        <f t="shared" si="0"/>
        <v>7</v>
      </c>
      <c r="B8" s="21" t="s">
        <v>170</v>
      </c>
      <c r="C8" s="22"/>
      <c r="D8" s="21" t="s">
        <v>509</v>
      </c>
      <c r="E8" s="22" t="s">
        <v>109</v>
      </c>
      <c r="F8" s="22" t="s">
        <v>172</v>
      </c>
      <c r="G8" s="22" t="s">
        <v>179</v>
      </c>
      <c r="H8" s="22" t="s">
        <v>173</v>
      </c>
      <c r="I8" s="22"/>
      <c r="J8" s="23">
        <v>1</v>
      </c>
      <c r="K8" s="24">
        <v>46247</v>
      </c>
      <c r="L8" s="24">
        <v>46247</v>
      </c>
      <c r="M8" s="24">
        <v>46247</v>
      </c>
      <c r="N8" s="21" t="s">
        <v>174</v>
      </c>
      <c r="O8" s="21" t="s">
        <v>166</v>
      </c>
      <c r="P8" s="21"/>
      <c r="Q8" s="21"/>
      <c r="R8" s="21"/>
      <c r="S8" s="21" t="s">
        <v>175</v>
      </c>
      <c r="T8" s="21" t="s">
        <v>167</v>
      </c>
      <c r="U8" s="21"/>
      <c r="V8" s="21"/>
      <c r="W8" s="21" t="s">
        <v>510</v>
      </c>
    </row>
    <row r="9" spans="1:26" ht="45" x14ac:dyDescent="0.2">
      <c r="A9" s="20">
        <f t="shared" si="0"/>
        <v>8</v>
      </c>
      <c r="B9" s="21" t="s">
        <v>170</v>
      </c>
      <c r="C9" s="22"/>
      <c r="D9" s="21" t="s">
        <v>511</v>
      </c>
      <c r="E9" s="22" t="s">
        <v>109</v>
      </c>
      <c r="F9" s="22" t="s">
        <v>163</v>
      </c>
      <c r="G9" s="22" t="s">
        <v>179</v>
      </c>
      <c r="H9" s="22" t="s">
        <v>173</v>
      </c>
      <c r="I9" s="22"/>
      <c r="J9" s="23">
        <v>1</v>
      </c>
      <c r="K9" s="24">
        <v>46248</v>
      </c>
      <c r="L9" s="24">
        <v>46248</v>
      </c>
      <c r="M9" s="24">
        <v>46248</v>
      </c>
      <c r="N9" s="21" t="s">
        <v>174</v>
      </c>
      <c r="O9" s="21" t="s">
        <v>166</v>
      </c>
      <c r="P9" s="21"/>
      <c r="Q9" s="21"/>
      <c r="R9" s="21"/>
      <c r="S9" s="21" t="s">
        <v>175</v>
      </c>
      <c r="T9" s="21" t="s">
        <v>167</v>
      </c>
      <c r="U9" s="21"/>
      <c r="V9" s="21"/>
      <c r="W9" s="21"/>
    </row>
    <row r="10" spans="1:26" ht="45" x14ac:dyDescent="0.2">
      <c r="A10" s="20">
        <f t="shared" si="0"/>
        <v>9</v>
      </c>
      <c r="B10" s="21" t="s">
        <v>170</v>
      </c>
      <c r="C10" s="22"/>
      <c r="D10" s="21" t="s">
        <v>512</v>
      </c>
      <c r="E10" s="22" t="s">
        <v>109</v>
      </c>
      <c r="F10" s="22" t="s">
        <v>172</v>
      </c>
      <c r="G10" s="22" t="s">
        <v>179</v>
      </c>
      <c r="H10" s="22" t="s">
        <v>173</v>
      </c>
      <c r="I10" s="22"/>
      <c r="J10" s="23">
        <v>1</v>
      </c>
      <c r="K10" s="24">
        <v>46252</v>
      </c>
      <c r="L10" s="24">
        <v>46252</v>
      </c>
      <c r="M10" s="24">
        <v>46252</v>
      </c>
      <c r="N10" s="21" t="s">
        <v>174</v>
      </c>
      <c r="O10" s="21" t="s">
        <v>166</v>
      </c>
      <c r="P10" s="21"/>
      <c r="Q10" s="21"/>
      <c r="R10" s="21"/>
      <c r="S10" s="21" t="s">
        <v>175</v>
      </c>
      <c r="T10" s="21" t="s">
        <v>167</v>
      </c>
      <c r="U10" s="21"/>
      <c r="V10" s="21"/>
      <c r="W10" s="21"/>
    </row>
    <row r="11" spans="1:26" ht="45" x14ac:dyDescent="0.2">
      <c r="A11" s="20">
        <f t="shared" si="0"/>
        <v>10</v>
      </c>
      <c r="B11" s="21" t="s">
        <v>170</v>
      </c>
      <c r="C11" s="22"/>
      <c r="D11" s="21" t="s">
        <v>513</v>
      </c>
      <c r="E11" s="22" t="s">
        <v>109</v>
      </c>
      <c r="F11" s="22" t="s">
        <v>172</v>
      </c>
      <c r="G11" s="22" t="s">
        <v>179</v>
      </c>
      <c r="H11" s="22" t="s">
        <v>173</v>
      </c>
      <c r="I11" s="22"/>
      <c r="J11" s="23">
        <v>1</v>
      </c>
      <c r="K11" s="24">
        <v>46253</v>
      </c>
      <c r="L11" s="24">
        <v>46253</v>
      </c>
      <c r="M11" s="24">
        <v>46253</v>
      </c>
      <c r="N11" s="21" t="s">
        <v>174</v>
      </c>
      <c r="O11" s="21" t="s">
        <v>166</v>
      </c>
      <c r="P11" s="21"/>
      <c r="Q11" s="21"/>
      <c r="R11" s="21"/>
      <c r="S11" s="21" t="s">
        <v>175</v>
      </c>
      <c r="T11" s="21" t="s">
        <v>167</v>
      </c>
      <c r="U11" s="21"/>
      <c r="V11" s="21"/>
      <c r="W11" s="21"/>
    </row>
    <row r="12" spans="1:26" ht="45" x14ac:dyDescent="0.2">
      <c r="A12" s="20">
        <f t="shared" si="0"/>
        <v>11</v>
      </c>
      <c r="B12" s="21" t="s">
        <v>170</v>
      </c>
      <c r="C12" s="22"/>
      <c r="D12" s="21" t="s">
        <v>514</v>
      </c>
      <c r="E12" s="22" t="s">
        <v>109</v>
      </c>
      <c r="F12" s="22" t="s">
        <v>172</v>
      </c>
      <c r="G12" s="22" t="s">
        <v>179</v>
      </c>
      <c r="H12" s="22" t="s">
        <v>173</v>
      </c>
      <c r="I12" s="22"/>
      <c r="J12" s="23">
        <v>1</v>
      </c>
      <c r="K12" s="24">
        <v>46254</v>
      </c>
      <c r="L12" s="24">
        <v>46254</v>
      </c>
      <c r="M12" s="24">
        <v>46254</v>
      </c>
      <c r="N12" s="21" t="s">
        <v>174</v>
      </c>
      <c r="O12" s="21" t="s">
        <v>166</v>
      </c>
      <c r="P12" s="21"/>
      <c r="Q12" s="21"/>
      <c r="R12" s="21"/>
      <c r="S12" s="21" t="s">
        <v>175</v>
      </c>
      <c r="T12" s="21" t="s">
        <v>167</v>
      </c>
      <c r="U12" s="21"/>
      <c r="V12" s="21"/>
      <c r="W12" s="21"/>
    </row>
    <row r="13" spans="1:26" ht="45" x14ac:dyDescent="0.2">
      <c r="A13" s="20">
        <f t="shared" si="0"/>
        <v>12</v>
      </c>
      <c r="B13" s="21" t="s">
        <v>170</v>
      </c>
      <c r="C13" s="22"/>
      <c r="D13" s="21" t="s">
        <v>515</v>
      </c>
      <c r="E13" s="22" t="s">
        <v>109</v>
      </c>
      <c r="F13" s="22" t="s">
        <v>172</v>
      </c>
      <c r="G13" s="22" t="s">
        <v>179</v>
      </c>
      <c r="H13" s="22" t="s">
        <v>173</v>
      </c>
      <c r="I13" s="22"/>
      <c r="J13" s="23">
        <v>1</v>
      </c>
      <c r="K13" s="24">
        <v>46255</v>
      </c>
      <c r="L13" s="24">
        <v>46255</v>
      </c>
      <c r="M13" s="24">
        <v>46255</v>
      </c>
      <c r="N13" s="21" t="s">
        <v>174</v>
      </c>
      <c r="O13" s="21" t="s">
        <v>166</v>
      </c>
      <c r="P13" s="21"/>
      <c r="Q13" s="21"/>
      <c r="R13" s="21"/>
      <c r="S13" s="21" t="s">
        <v>175</v>
      </c>
      <c r="T13" s="21" t="s">
        <v>167</v>
      </c>
      <c r="U13" s="21"/>
      <c r="V13" s="21"/>
      <c r="W13" s="21"/>
    </row>
    <row r="14" spans="1:26" ht="30" x14ac:dyDescent="0.2">
      <c r="A14" s="20">
        <f t="shared" si="0"/>
        <v>13</v>
      </c>
      <c r="B14" s="21" t="s">
        <v>170</v>
      </c>
      <c r="C14" s="22"/>
      <c r="D14" s="21" t="s">
        <v>236</v>
      </c>
      <c r="E14" s="22" t="s">
        <v>109</v>
      </c>
      <c r="F14" s="22" t="s">
        <v>172</v>
      </c>
      <c r="G14" s="22" t="s">
        <v>179</v>
      </c>
      <c r="H14" s="22" t="s">
        <v>173</v>
      </c>
      <c r="I14" s="22"/>
      <c r="J14" s="23">
        <v>1</v>
      </c>
      <c r="K14" s="24">
        <v>46258</v>
      </c>
      <c r="L14" s="24">
        <v>46258</v>
      </c>
      <c r="M14" s="24">
        <v>46258</v>
      </c>
      <c r="N14" s="21" t="s">
        <v>174</v>
      </c>
      <c r="O14" s="21" t="s">
        <v>166</v>
      </c>
      <c r="P14" s="21"/>
      <c r="Q14" s="21"/>
      <c r="R14" s="21"/>
      <c r="S14" s="21" t="s">
        <v>175</v>
      </c>
      <c r="T14" s="21" t="s">
        <v>167</v>
      </c>
      <c r="U14" s="21"/>
      <c r="V14" s="21"/>
      <c r="W14" s="21"/>
    </row>
    <row r="15" spans="1:26" ht="30" x14ac:dyDescent="0.2">
      <c r="A15" s="20">
        <f t="shared" si="0"/>
        <v>14</v>
      </c>
      <c r="B15" s="21" t="s">
        <v>170</v>
      </c>
      <c r="C15" s="22"/>
      <c r="D15" s="21" t="s">
        <v>516</v>
      </c>
      <c r="E15" s="22" t="s">
        <v>109</v>
      </c>
      <c r="F15" s="22" t="s">
        <v>172</v>
      </c>
      <c r="G15" s="22" t="s">
        <v>179</v>
      </c>
      <c r="H15" s="22" t="s">
        <v>173</v>
      </c>
      <c r="I15" s="22"/>
      <c r="J15" s="23">
        <v>1</v>
      </c>
      <c r="K15" s="24">
        <v>46260</v>
      </c>
      <c r="L15" s="24">
        <v>46260</v>
      </c>
      <c r="M15" s="24">
        <v>46260</v>
      </c>
      <c r="N15" s="21" t="s">
        <v>174</v>
      </c>
      <c r="O15" s="21" t="s">
        <v>166</v>
      </c>
      <c r="P15" s="21"/>
      <c r="Q15" s="21"/>
      <c r="R15" s="21"/>
      <c r="S15" s="21" t="s">
        <v>175</v>
      </c>
      <c r="T15" s="21" t="s">
        <v>167</v>
      </c>
      <c r="U15" s="21"/>
      <c r="V15" s="21"/>
      <c r="W15" s="21"/>
    </row>
    <row r="16" spans="1:26" ht="30" x14ac:dyDescent="0.2">
      <c r="A16" s="20">
        <f t="shared" si="0"/>
        <v>15</v>
      </c>
      <c r="B16" s="21" t="s">
        <v>170</v>
      </c>
      <c r="C16" s="22"/>
      <c r="D16" s="21" t="s">
        <v>517</v>
      </c>
      <c r="E16" s="22" t="s">
        <v>109</v>
      </c>
      <c r="F16" s="22" t="s">
        <v>172</v>
      </c>
      <c r="G16" s="22" t="s">
        <v>179</v>
      </c>
      <c r="H16" s="22" t="s">
        <v>173</v>
      </c>
      <c r="I16" s="22"/>
      <c r="J16" s="23">
        <v>1</v>
      </c>
      <c r="K16" s="24">
        <v>46261</v>
      </c>
      <c r="L16" s="24">
        <v>46261</v>
      </c>
      <c r="M16" s="24">
        <v>46261</v>
      </c>
      <c r="N16" s="21" t="s">
        <v>174</v>
      </c>
      <c r="O16" s="21" t="s">
        <v>166</v>
      </c>
      <c r="P16" s="21"/>
      <c r="Q16" s="21"/>
      <c r="R16" s="21"/>
      <c r="S16" s="21" t="s">
        <v>175</v>
      </c>
      <c r="T16" s="21" t="s">
        <v>167</v>
      </c>
      <c r="U16" s="21"/>
      <c r="V16" s="21"/>
      <c r="W16" s="21"/>
    </row>
    <row r="17" spans="1:23" ht="45" x14ac:dyDescent="0.2">
      <c r="A17" s="20">
        <f t="shared" si="0"/>
        <v>16</v>
      </c>
      <c r="B17" s="21" t="s">
        <v>170</v>
      </c>
      <c r="C17" s="22"/>
      <c r="D17" s="21" t="s">
        <v>518</v>
      </c>
      <c r="E17" s="22" t="s">
        <v>109</v>
      </c>
      <c r="F17" s="22" t="s">
        <v>172</v>
      </c>
      <c r="G17" s="22" t="s">
        <v>179</v>
      </c>
      <c r="H17" s="22" t="s">
        <v>173</v>
      </c>
      <c r="I17" s="22"/>
      <c r="J17" s="23">
        <v>1</v>
      </c>
      <c r="K17" s="24">
        <v>46262</v>
      </c>
      <c r="L17" s="24">
        <v>46262</v>
      </c>
      <c r="M17" s="24">
        <v>46262</v>
      </c>
      <c r="N17" s="21" t="s">
        <v>174</v>
      </c>
      <c r="O17" s="21" t="s">
        <v>166</v>
      </c>
      <c r="P17" s="21"/>
      <c r="Q17" s="21"/>
      <c r="R17" s="21"/>
      <c r="S17" s="21" t="s">
        <v>175</v>
      </c>
      <c r="T17" s="21" t="s">
        <v>167</v>
      </c>
      <c r="U17" s="21"/>
      <c r="V17" s="21"/>
      <c r="W17" s="21"/>
    </row>
    <row r="18" spans="1:23" ht="105" x14ac:dyDescent="0.2">
      <c r="A18" s="20">
        <f t="shared" si="0"/>
        <v>17</v>
      </c>
      <c r="B18" s="21" t="s">
        <v>170</v>
      </c>
      <c r="C18" s="22"/>
      <c r="D18" s="21" t="s">
        <v>519</v>
      </c>
      <c r="E18" s="22" t="s">
        <v>109</v>
      </c>
      <c r="F18" s="22" t="s">
        <v>172</v>
      </c>
      <c r="G18" s="22" t="s">
        <v>179</v>
      </c>
      <c r="H18" s="22" t="s">
        <v>173</v>
      </c>
      <c r="I18" s="22"/>
      <c r="J18" s="23">
        <v>1</v>
      </c>
      <c r="K18" s="24">
        <v>46265</v>
      </c>
      <c r="L18" s="24">
        <v>46265</v>
      </c>
      <c r="M18" s="24">
        <v>46265</v>
      </c>
      <c r="N18" s="21" t="s">
        <v>174</v>
      </c>
      <c r="O18" s="21" t="s">
        <v>166</v>
      </c>
      <c r="P18" s="21"/>
      <c r="Q18" s="21"/>
      <c r="R18" s="21"/>
      <c r="S18" s="21" t="s">
        <v>175</v>
      </c>
      <c r="T18" s="21" t="s">
        <v>167</v>
      </c>
      <c r="U18" s="21"/>
      <c r="V18" s="21"/>
      <c r="W18" s="21" t="s">
        <v>520</v>
      </c>
    </row>
    <row r="19" spans="1:23" ht="90" x14ac:dyDescent="0.2">
      <c r="A19" s="20">
        <f t="shared" si="0"/>
        <v>18</v>
      </c>
      <c r="B19" s="21" t="s">
        <v>170</v>
      </c>
      <c r="C19" s="22"/>
      <c r="D19" s="21" t="s">
        <v>521</v>
      </c>
      <c r="E19" s="22" t="s">
        <v>109</v>
      </c>
      <c r="F19" s="22" t="s">
        <v>172</v>
      </c>
      <c r="G19" s="22" t="s">
        <v>179</v>
      </c>
      <c r="H19" s="22" t="s">
        <v>173</v>
      </c>
      <c r="I19" s="22"/>
      <c r="J19" s="23">
        <v>1</v>
      </c>
      <c r="K19" s="24">
        <v>46266</v>
      </c>
      <c r="L19" s="24">
        <v>46266</v>
      </c>
      <c r="M19" s="24">
        <v>46266</v>
      </c>
      <c r="N19" s="21" t="s">
        <v>174</v>
      </c>
      <c r="O19" s="21" t="s">
        <v>166</v>
      </c>
      <c r="P19" s="21"/>
      <c r="Q19" s="21"/>
      <c r="R19" s="21"/>
      <c r="S19" s="21" t="s">
        <v>175</v>
      </c>
      <c r="T19" s="21" t="s">
        <v>167</v>
      </c>
      <c r="U19" s="21"/>
      <c r="V19" s="21"/>
      <c r="W19" s="21" t="s">
        <v>522</v>
      </c>
    </row>
    <row r="20" spans="1:23" ht="120" x14ac:dyDescent="0.2">
      <c r="A20" s="20">
        <f t="shared" si="0"/>
        <v>19</v>
      </c>
      <c r="B20" s="21" t="s">
        <v>170</v>
      </c>
      <c r="C20" s="22"/>
      <c r="D20" s="21" t="s">
        <v>523</v>
      </c>
      <c r="E20" s="22" t="s">
        <v>109</v>
      </c>
      <c r="F20" s="22" t="s">
        <v>172</v>
      </c>
      <c r="G20" s="22" t="s">
        <v>179</v>
      </c>
      <c r="H20" s="22" t="s">
        <v>173</v>
      </c>
      <c r="I20" s="22"/>
      <c r="J20" s="23">
        <v>1</v>
      </c>
      <c r="K20" s="24">
        <v>46267</v>
      </c>
      <c r="L20" s="24">
        <v>46267</v>
      </c>
      <c r="M20" s="24">
        <v>46267</v>
      </c>
      <c r="N20" s="21" t="s">
        <v>174</v>
      </c>
      <c r="O20" s="21" t="s">
        <v>166</v>
      </c>
      <c r="P20" s="21"/>
      <c r="Q20" s="21"/>
      <c r="R20" s="21"/>
      <c r="S20" s="21" t="s">
        <v>175</v>
      </c>
      <c r="T20" s="21" t="s">
        <v>167</v>
      </c>
      <c r="U20" s="21"/>
      <c r="V20" s="21"/>
      <c r="W20" s="21" t="s">
        <v>524</v>
      </c>
    </row>
    <row r="21" spans="1:23" ht="144" x14ac:dyDescent="0.2">
      <c r="A21" s="20">
        <f t="shared" si="0"/>
        <v>20</v>
      </c>
      <c r="B21" s="21" t="s">
        <v>170</v>
      </c>
      <c r="C21" s="22"/>
      <c r="D21" s="21" t="s">
        <v>525</v>
      </c>
      <c r="E21" s="22" t="s">
        <v>109</v>
      </c>
      <c r="F21" s="22" t="s">
        <v>172</v>
      </c>
      <c r="G21" s="22" t="s">
        <v>179</v>
      </c>
      <c r="H21" s="22" t="s">
        <v>173</v>
      </c>
      <c r="I21" s="22"/>
      <c r="J21" s="23">
        <v>1</v>
      </c>
      <c r="K21" s="24">
        <v>46268</v>
      </c>
      <c r="L21" s="24">
        <v>46268</v>
      </c>
      <c r="M21" s="24">
        <v>46268</v>
      </c>
      <c r="N21" s="21" t="s">
        <v>174</v>
      </c>
      <c r="O21" s="21" t="s">
        <v>166</v>
      </c>
      <c r="P21" s="21"/>
      <c r="Q21" s="21"/>
      <c r="R21" s="21"/>
      <c r="S21" s="21" t="s">
        <v>175</v>
      </c>
      <c r="T21" s="21" t="s">
        <v>167</v>
      </c>
      <c r="U21" s="21"/>
      <c r="V21" s="21"/>
      <c r="W21" s="82" t="s">
        <v>526</v>
      </c>
    </row>
    <row r="22" spans="1:23" ht="48" x14ac:dyDescent="0.2">
      <c r="A22" s="20">
        <f t="shared" si="0"/>
        <v>21</v>
      </c>
      <c r="B22" s="21" t="s">
        <v>170</v>
      </c>
      <c r="C22" s="22"/>
      <c r="D22" s="21" t="s">
        <v>527</v>
      </c>
      <c r="E22" s="22" t="s">
        <v>109</v>
      </c>
      <c r="F22" s="22" t="s">
        <v>172</v>
      </c>
      <c r="G22" s="22" t="s">
        <v>179</v>
      </c>
      <c r="H22" s="22" t="s">
        <v>173</v>
      </c>
      <c r="I22" s="22"/>
      <c r="J22" s="23">
        <v>1</v>
      </c>
      <c r="K22" s="24">
        <v>46269</v>
      </c>
      <c r="L22" s="24">
        <v>46269</v>
      </c>
      <c r="M22" s="24">
        <v>46269</v>
      </c>
      <c r="N22" s="21" t="s">
        <v>174</v>
      </c>
      <c r="O22" s="21" t="s">
        <v>166</v>
      </c>
      <c r="P22" s="21"/>
      <c r="Q22" s="21"/>
      <c r="R22" s="21"/>
      <c r="S22" s="21" t="s">
        <v>175</v>
      </c>
      <c r="T22" s="21" t="s">
        <v>167</v>
      </c>
      <c r="U22" s="21"/>
      <c r="V22" s="21"/>
      <c r="W22" s="82" t="s">
        <v>528</v>
      </c>
    </row>
    <row r="23" spans="1:23" x14ac:dyDescent="0.2">
      <c r="A23" s="20">
        <f t="shared" si="0"/>
        <v>22</v>
      </c>
      <c r="B23" s="21" t="s">
        <v>170</v>
      </c>
      <c r="C23" s="22"/>
      <c r="D23" s="21" t="s">
        <v>435</v>
      </c>
      <c r="E23" s="22" t="s">
        <v>109</v>
      </c>
      <c r="F23" s="22" t="s">
        <v>172</v>
      </c>
      <c r="G23" s="22" t="s">
        <v>179</v>
      </c>
      <c r="H23" s="22" t="s">
        <v>173</v>
      </c>
      <c r="I23" s="22"/>
      <c r="J23" s="23">
        <v>1</v>
      </c>
      <c r="K23" s="24">
        <v>46272</v>
      </c>
      <c r="L23" s="24">
        <v>46272</v>
      </c>
      <c r="M23" s="24">
        <v>46272</v>
      </c>
      <c r="N23" s="21" t="s">
        <v>174</v>
      </c>
      <c r="O23" s="21" t="s">
        <v>166</v>
      </c>
      <c r="P23" s="21"/>
      <c r="Q23" s="21"/>
      <c r="R23" s="21"/>
      <c r="S23" s="21" t="s">
        <v>175</v>
      </c>
      <c r="T23" s="21" t="s">
        <v>167</v>
      </c>
      <c r="U23" s="21"/>
      <c r="V23" s="21"/>
      <c r="W23" s="21"/>
    </row>
    <row r="24" spans="1:23" ht="30" x14ac:dyDescent="0.2">
      <c r="A24" s="20">
        <f t="shared" si="0"/>
        <v>23</v>
      </c>
      <c r="B24" s="21" t="s">
        <v>170</v>
      </c>
      <c r="C24" s="22"/>
      <c r="D24" s="21" t="s">
        <v>529</v>
      </c>
      <c r="E24" s="22" t="s">
        <v>109</v>
      </c>
      <c r="F24" s="22" t="s">
        <v>172</v>
      </c>
      <c r="G24" s="22" t="s">
        <v>179</v>
      </c>
      <c r="H24" s="22" t="s">
        <v>173</v>
      </c>
      <c r="I24" s="22"/>
      <c r="J24" s="23">
        <v>1</v>
      </c>
      <c r="K24" s="24">
        <v>46272</v>
      </c>
      <c r="L24" s="24">
        <v>46273</v>
      </c>
      <c r="M24" s="24">
        <v>46273</v>
      </c>
      <c r="N24" s="21" t="s">
        <v>174</v>
      </c>
      <c r="O24" s="21" t="s">
        <v>166</v>
      </c>
      <c r="P24" s="21"/>
      <c r="Q24" s="21"/>
      <c r="R24" s="21"/>
      <c r="S24" s="21" t="s">
        <v>175</v>
      </c>
      <c r="T24" s="21" t="s">
        <v>167</v>
      </c>
      <c r="U24" s="21"/>
      <c r="V24" s="21"/>
      <c r="W24" s="21"/>
    </row>
    <row r="25" spans="1:23" ht="30" x14ac:dyDescent="0.2">
      <c r="A25" s="20">
        <f t="shared" si="0"/>
        <v>24</v>
      </c>
      <c r="B25" s="21" t="s">
        <v>170</v>
      </c>
      <c r="C25" s="22"/>
      <c r="D25" s="21" t="s">
        <v>530</v>
      </c>
      <c r="E25" s="22" t="s">
        <v>109</v>
      </c>
      <c r="F25" s="22" t="s">
        <v>172</v>
      </c>
      <c r="G25" s="22" t="s">
        <v>179</v>
      </c>
      <c r="H25" s="22" t="s">
        <v>173</v>
      </c>
      <c r="I25" s="22"/>
      <c r="J25" s="23">
        <v>1</v>
      </c>
      <c r="K25" s="24">
        <v>46274</v>
      </c>
      <c r="L25" s="24">
        <v>46274</v>
      </c>
      <c r="M25" s="24">
        <v>46274</v>
      </c>
      <c r="N25" s="21" t="s">
        <v>174</v>
      </c>
      <c r="O25" s="21" t="s">
        <v>166</v>
      </c>
      <c r="P25" s="21"/>
      <c r="Q25" s="21"/>
      <c r="R25" s="21"/>
      <c r="S25" s="21" t="s">
        <v>175</v>
      </c>
      <c r="T25" s="21" t="s">
        <v>167</v>
      </c>
      <c r="U25" s="21"/>
      <c r="V25" s="21"/>
      <c r="W25" s="21"/>
    </row>
    <row r="26" spans="1:23" ht="30" x14ac:dyDescent="0.2">
      <c r="A26" s="20">
        <f t="shared" si="0"/>
        <v>25</v>
      </c>
      <c r="B26" s="21" t="s">
        <v>170</v>
      </c>
      <c r="C26" s="22"/>
      <c r="D26" s="21" t="s">
        <v>531</v>
      </c>
      <c r="E26" s="22" t="s">
        <v>109</v>
      </c>
      <c r="F26" s="22" t="s">
        <v>172</v>
      </c>
      <c r="G26" s="22" t="s">
        <v>179</v>
      </c>
      <c r="H26" s="22" t="s">
        <v>173</v>
      </c>
      <c r="I26" s="22"/>
      <c r="J26" s="23">
        <v>1</v>
      </c>
      <c r="K26" s="24">
        <v>46275</v>
      </c>
      <c r="L26" s="24">
        <v>46275</v>
      </c>
      <c r="M26" s="24">
        <v>46275</v>
      </c>
      <c r="N26" s="21" t="s">
        <v>174</v>
      </c>
      <c r="O26" s="21" t="s">
        <v>166</v>
      </c>
      <c r="P26" s="21"/>
      <c r="Q26" s="21"/>
      <c r="R26" s="21"/>
      <c r="S26" s="21" t="s">
        <v>175</v>
      </c>
      <c r="T26" s="21" t="s">
        <v>167</v>
      </c>
      <c r="U26" s="21"/>
      <c r="V26" s="21"/>
      <c r="W26" s="21"/>
    </row>
    <row r="27" spans="1:23" ht="150" x14ac:dyDescent="0.2">
      <c r="A27" s="20">
        <f t="shared" si="0"/>
        <v>26</v>
      </c>
      <c r="B27" s="21" t="s">
        <v>170</v>
      </c>
      <c r="C27" s="22"/>
      <c r="D27" s="21" t="s">
        <v>532</v>
      </c>
      <c r="E27" s="22" t="s">
        <v>109</v>
      </c>
      <c r="F27" s="22" t="s">
        <v>172</v>
      </c>
      <c r="G27" s="22" t="s">
        <v>179</v>
      </c>
      <c r="H27" s="22" t="s">
        <v>173</v>
      </c>
      <c r="I27" s="22"/>
      <c r="J27" s="23">
        <v>1</v>
      </c>
      <c r="K27" s="24">
        <v>46276</v>
      </c>
      <c r="L27" s="24">
        <v>46276</v>
      </c>
      <c r="M27" s="24">
        <v>46276</v>
      </c>
      <c r="N27" s="21" t="s">
        <v>174</v>
      </c>
      <c r="O27" s="21" t="s">
        <v>166</v>
      </c>
      <c r="P27" s="21"/>
      <c r="Q27" s="21"/>
      <c r="R27" s="21"/>
      <c r="S27" s="21" t="s">
        <v>175</v>
      </c>
      <c r="T27" s="21" t="s">
        <v>167</v>
      </c>
      <c r="U27" s="21"/>
      <c r="V27" s="21"/>
      <c r="W27" s="21" t="s">
        <v>533</v>
      </c>
    </row>
    <row r="28" spans="1:23" ht="75" x14ac:dyDescent="0.2">
      <c r="A28" s="20">
        <f t="shared" si="0"/>
        <v>27</v>
      </c>
      <c r="B28" s="21" t="s">
        <v>170</v>
      </c>
      <c r="C28" s="22"/>
      <c r="D28" s="21" t="s">
        <v>534</v>
      </c>
      <c r="E28" s="22" t="s">
        <v>109</v>
      </c>
      <c r="F28" s="22" t="s">
        <v>172</v>
      </c>
      <c r="G28" s="22" t="s">
        <v>179</v>
      </c>
      <c r="H28" s="22" t="s">
        <v>173</v>
      </c>
      <c r="I28" s="22"/>
      <c r="J28" s="23">
        <v>1</v>
      </c>
      <c r="K28" s="24">
        <v>46279</v>
      </c>
      <c r="L28" s="24">
        <v>46279</v>
      </c>
      <c r="M28" s="24">
        <v>46279</v>
      </c>
      <c r="N28" s="21" t="s">
        <v>174</v>
      </c>
      <c r="O28" s="21" t="s">
        <v>166</v>
      </c>
      <c r="P28" s="21"/>
      <c r="Q28" s="21"/>
      <c r="R28" s="21"/>
      <c r="S28" s="21" t="s">
        <v>175</v>
      </c>
      <c r="T28" s="21" t="s">
        <v>167</v>
      </c>
      <c r="U28" s="21"/>
      <c r="V28" s="21"/>
      <c r="W28" s="21" t="s">
        <v>535</v>
      </c>
    </row>
    <row r="29" spans="1:23" ht="30" x14ac:dyDescent="0.2">
      <c r="A29" s="20">
        <v>28</v>
      </c>
      <c r="B29" s="21" t="s">
        <v>170</v>
      </c>
      <c r="C29" s="22"/>
      <c r="D29" s="21" t="s">
        <v>536</v>
      </c>
      <c r="E29" s="22" t="s">
        <v>109</v>
      </c>
      <c r="F29" s="22" t="s">
        <v>172</v>
      </c>
      <c r="G29" s="22" t="s">
        <v>179</v>
      </c>
      <c r="H29" s="22" t="s">
        <v>173</v>
      </c>
      <c r="I29" s="22"/>
      <c r="J29" s="23">
        <v>1</v>
      </c>
      <c r="K29" s="24">
        <v>46280</v>
      </c>
      <c r="L29" s="24">
        <v>46280</v>
      </c>
      <c r="M29" s="24">
        <v>46280</v>
      </c>
      <c r="N29" s="21" t="s">
        <v>174</v>
      </c>
      <c r="O29" s="21" t="s">
        <v>166</v>
      </c>
      <c r="P29" s="21"/>
      <c r="Q29" s="21"/>
      <c r="R29" s="21"/>
      <c r="S29" s="21" t="s">
        <v>175</v>
      </c>
      <c r="T29" s="21" t="s">
        <v>167</v>
      </c>
      <c r="U29" s="21"/>
      <c r="V29" s="21"/>
      <c r="W29" s="29" t="s">
        <v>537</v>
      </c>
    </row>
    <row r="30" spans="1:23" ht="45" x14ac:dyDescent="0.2">
      <c r="A30" s="20">
        <v>29</v>
      </c>
      <c r="B30" s="21" t="s">
        <v>170</v>
      </c>
      <c r="C30" s="22"/>
      <c r="D30" s="21" t="s">
        <v>538</v>
      </c>
      <c r="E30" s="22" t="s">
        <v>109</v>
      </c>
      <c r="F30" s="22" t="s">
        <v>172</v>
      </c>
      <c r="G30" s="22" t="s">
        <v>179</v>
      </c>
      <c r="H30" s="22" t="s">
        <v>173</v>
      </c>
      <c r="I30" s="22"/>
      <c r="J30" s="23">
        <v>1</v>
      </c>
      <c r="K30" s="24">
        <v>46281</v>
      </c>
      <c r="L30" s="24">
        <v>46281</v>
      </c>
      <c r="M30" s="24">
        <v>46281</v>
      </c>
      <c r="N30" s="21" t="s">
        <v>174</v>
      </c>
      <c r="O30" s="21" t="s">
        <v>166</v>
      </c>
      <c r="P30" s="21"/>
      <c r="Q30" s="21"/>
      <c r="R30" s="21"/>
      <c r="S30" s="21" t="s">
        <v>175</v>
      </c>
      <c r="T30" s="21" t="s">
        <v>167</v>
      </c>
      <c r="U30" s="21"/>
      <c r="V30" s="21"/>
      <c r="W30" s="21"/>
    </row>
    <row r="31" spans="1:23" ht="45" x14ac:dyDescent="0.2">
      <c r="A31" s="20">
        <v>30</v>
      </c>
      <c r="B31" s="21" t="s">
        <v>170</v>
      </c>
      <c r="C31" s="22"/>
      <c r="D31" s="21" t="s">
        <v>539</v>
      </c>
      <c r="E31" s="22" t="s">
        <v>109</v>
      </c>
      <c r="F31" s="22" t="s">
        <v>172</v>
      </c>
      <c r="G31" s="22" t="s">
        <v>179</v>
      </c>
      <c r="H31" s="22" t="s">
        <v>173</v>
      </c>
      <c r="I31" s="22"/>
      <c r="J31" s="23">
        <v>1</v>
      </c>
      <c r="K31" s="24">
        <v>46282</v>
      </c>
      <c r="L31" s="24">
        <v>46282</v>
      </c>
      <c r="M31" s="24">
        <v>46282</v>
      </c>
      <c r="N31" s="21" t="s">
        <v>174</v>
      </c>
      <c r="O31" s="21" t="s">
        <v>166</v>
      </c>
      <c r="P31" s="21"/>
      <c r="Q31" s="21"/>
      <c r="R31" s="21"/>
      <c r="S31" s="21" t="s">
        <v>175</v>
      </c>
      <c r="T31" s="21" t="s">
        <v>167</v>
      </c>
      <c r="U31" s="21"/>
      <c r="V31" s="21"/>
      <c r="W31" s="37"/>
    </row>
    <row r="32" spans="1:23" ht="32" x14ac:dyDescent="0.2">
      <c r="A32" s="20">
        <v>31</v>
      </c>
      <c r="B32" s="21" t="s">
        <v>170</v>
      </c>
      <c r="C32" s="22"/>
      <c r="D32" s="21" t="s">
        <v>540</v>
      </c>
      <c r="E32" s="22" t="s">
        <v>109</v>
      </c>
      <c r="F32" s="22" t="s">
        <v>172</v>
      </c>
      <c r="G32" s="22" t="s">
        <v>179</v>
      </c>
      <c r="H32" s="22" t="s">
        <v>173</v>
      </c>
      <c r="I32" s="22"/>
      <c r="J32" s="23">
        <v>1</v>
      </c>
      <c r="K32" s="24">
        <v>46283</v>
      </c>
      <c r="L32" s="24">
        <v>46283</v>
      </c>
      <c r="M32" s="24">
        <v>46283</v>
      </c>
      <c r="N32" s="21" t="s">
        <v>174</v>
      </c>
      <c r="O32" s="21" t="s">
        <v>166</v>
      </c>
      <c r="P32" s="21"/>
      <c r="Q32" s="21"/>
      <c r="R32" s="21"/>
      <c r="S32" s="21" t="s">
        <v>175</v>
      </c>
      <c r="T32" s="21" t="s">
        <v>167</v>
      </c>
      <c r="U32" s="21"/>
      <c r="V32" s="36"/>
      <c r="W32" s="63" t="s">
        <v>541</v>
      </c>
    </row>
    <row r="33" spans="1:24" ht="30" x14ac:dyDescent="0.2">
      <c r="A33" s="20">
        <v>32</v>
      </c>
      <c r="B33" s="21" t="s">
        <v>170</v>
      </c>
      <c r="C33" s="22"/>
      <c r="D33" s="21" t="s">
        <v>542</v>
      </c>
      <c r="E33" s="22" t="s">
        <v>109</v>
      </c>
      <c r="F33" s="22" t="s">
        <v>172</v>
      </c>
      <c r="G33" s="22" t="s">
        <v>179</v>
      </c>
      <c r="H33" s="22" t="s">
        <v>173</v>
      </c>
      <c r="I33" s="22"/>
      <c r="J33" s="23">
        <v>1</v>
      </c>
      <c r="K33" s="24">
        <v>46286</v>
      </c>
      <c r="L33" s="24">
        <v>46286</v>
      </c>
      <c r="M33" s="24">
        <v>46286</v>
      </c>
      <c r="N33" s="21" t="s">
        <v>174</v>
      </c>
      <c r="O33" s="21" t="s">
        <v>166</v>
      </c>
      <c r="P33" s="21"/>
      <c r="Q33" s="21"/>
      <c r="R33" s="21"/>
      <c r="S33" s="21" t="s">
        <v>175</v>
      </c>
      <c r="T33" s="21" t="s">
        <v>167</v>
      </c>
      <c r="U33" s="21"/>
      <c r="V33" s="21"/>
      <c r="W33" s="38"/>
    </row>
    <row r="34" spans="1:24" ht="90" x14ac:dyDescent="0.2">
      <c r="A34" s="20">
        <v>33</v>
      </c>
      <c r="B34" s="21" t="s">
        <v>170</v>
      </c>
      <c r="C34" s="22"/>
      <c r="D34" s="21" t="s">
        <v>543</v>
      </c>
      <c r="E34" s="22" t="s">
        <v>109</v>
      </c>
      <c r="F34" s="22" t="s">
        <v>172</v>
      </c>
      <c r="G34" s="22" t="s">
        <v>179</v>
      </c>
      <c r="H34" s="22" t="s">
        <v>173</v>
      </c>
      <c r="I34" s="22"/>
      <c r="J34" s="23">
        <v>1</v>
      </c>
      <c r="K34" s="24">
        <v>46287</v>
      </c>
      <c r="L34" s="24">
        <v>46287</v>
      </c>
      <c r="M34" s="24">
        <v>46287</v>
      </c>
      <c r="N34" s="21" t="s">
        <v>174</v>
      </c>
      <c r="O34" s="21" t="s">
        <v>166</v>
      </c>
      <c r="P34" s="21"/>
      <c r="Q34" s="21"/>
      <c r="R34" s="21"/>
      <c r="S34" s="21" t="s">
        <v>175</v>
      </c>
      <c r="T34" s="21" t="s">
        <v>167</v>
      </c>
      <c r="U34" s="21"/>
      <c r="V34" s="21"/>
      <c r="W34" s="21" t="s">
        <v>544</v>
      </c>
    </row>
    <row r="35" spans="1:24" ht="90" x14ac:dyDescent="0.2">
      <c r="A35" s="20">
        <v>34</v>
      </c>
      <c r="B35" s="37" t="s">
        <v>170</v>
      </c>
      <c r="C35" s="71"/>
      <c r="D35" s="37" t="s">
        <v>545</v>
      </c>
      <c r="E35" s="71" t="s">
        <v>109</v>
      </c>
      <c r="F35" s="71" t="s">
        <v>172</v>
      </c>
      <c r="G35" s="71" t="s">
        <v>179</v>
      </c>
      <c r="H35" s="71" t="s">
        <v>173</v>
      </c>
      <c r="I35" s="71"/>
      <c r="J35" s="72">
        <v>1</v>
      </c>
      <c r="K35" s="24">
        <v>46288</v>
      </c>
      <c r="L35" s="24">
        <v>46288</v>
      </c>
      <c r="M35" s="24">
        <v>46288</v>
      </c>
      <c r="N35" s="21" t="s">
        <v>174</v>
      </c>
      <c r="O35" s="21" t="s">
        <v>166</v>
      </c>
      <c r="P35" s="21"/>
      <c r="Q35" s="21"/>
      <c r="R35" s="21"/>
      <c r="S35" s="21" t="s">
        <v>175</v>
      </c>
      <c r="T35" s="21" t="s">
        <v>167</v>
      </c>
      <c r="U35" s="21"/>
      <c r="V35" s="21"/>
      <c r="W35" s="21" t="s">
        <v>546</v>
      </c>
    </row>
    <row r="36" spans="1:24" ht="32" x14ac:dyDescent="0.2">
      <c r="A36" s="41">
        <f>IF(OR(Syafix!D75&lt;&gt;"", Syafix!B75&lt;&gt;""), ROW()-1, "")</f>
        <v>35</v>
      </c>
      <c r="B36" s="37" t="s">
        <v>170</v>
      </c>
      <c r="C36" s="48"/>
      <c r="D36" s="34" t="s">
        <v>547</v>
      </c>
      <c r="E36" s="71" t="s">
        <v>109</v>
      </c>
      <c r="F36" s="71" t="s">
        <v>172</v>
      </c>
      <c r="G36" s="71" t="s">
        <v>179</v>
      </c>
      <c r="H36" s="71" t="s">
        <v>173</v>
      </c>
      <c r="I36" s="48"/>
      <c r="J36" s="72">
        <v>1</v>
      </c>
      <c r="K36" s="74">
        <v>46289</v>
      </c>
      <c r="L36" s="24">
        <v>46289</v>
      </c>
      <c r="M36" s="24">
        <v>46289</v>
      </c>
      <c r="N36" s="21" t="s">
        <v>174</v>
      </c>
      <c r="O36" s="21" t="s">
        <v>166</v>
      </c>
      <c r="P36" s="21"/>
      <c r="Q36" s="21"/>
      <c r="R36" s="21"/>
      <c r="S36" s="21" t="s">
        <v>175</v>
      </c>
      <c r="T36" s="21" t="s">
        <v>167</v>
      </c>
      <c r="U36" s="21"/>
      <c r="V36" s="21"/>
      <c r="W36" s="21"/>
    </row>
    <row r="37" spans="1:24" ht="75" x14ac:dyDescent="0.2">
      <c r="A37" s="41">
        <f>IF(OR(Syafix!D76&lt;&gt;"", Syafix!B76&lt;&gt;""), ROW()-1, "")</f>
        <v>36</v>
      </c>
      <c r="B37" s="21" t="s">
        <v>170</v>
      </c>
      <c r="C37" s="76"/>
      <c r="D37" s="34" t="s">
        <v>548</v>
      </c>
      <c r="E37" s="22" t="s">
        <v>109</v>
      </c>
      <c r="F37" s="22" t="s">
        <v>172</v>
      </c>
      <c r="G37" s="22" t="s">
        <v>179</v>
      </c>
      <c r="H37" s="22" t="s">
        <v>173</v>
      </c>
      <c r="I37" s="77"/>
      <c r="J37" s="23">
        <v>1</v>
      </c>
      <c r="K37" s="74">
        <v>46290</v>
      </c>
      <c r="L37" s="24">
        <v>46290</v>
      </c>
      <c r="M37" s="24">
        <v>46290</v>
      </c>
      <c r="N37" s="21" t="s">
        <v>174</v>
      </c>
      <c r="O37" s="21" t="s">
        <v>166</v>
      </c>
      <c r="P37" s="21"/>
      <c r="Q37" s="21"/>
      <c r="R37" s="21"/>
      <c r="S37" s="21" t="s">
        <v>175</v>
      </c>
      <c r="T37" s="21" t="s">
        <v>167</v>
      </c>
      <c r="U37" s="21"/>
      <c r="V37" s="21"/>
      <c r="W37" s="21" t="s">
        <v>549</v>
      </c>
    </row>
    <row r="38" spans="1:24" ht="96" x14ac:dyDescent="0.2">
      <c r="A38" s="20">
        <v>37</v>
      </c>
      <c r="B38" s="21" t="s">
        <v>170</v>
      </c>
      <c r="C38" s="73"/>
      <c r="D38" s="38" t="s">
        <v>550</v>
      </c>
      <c r="E38" s="73" t="s">
        <v>109</v>
      </c>
      <c r="F38" s="73" t="s">
        <v>172</v>
      </c>
      <c r="G38" s="73" t="s">
        <v>179</v>
      </c>
      <c r="H38" s="22" t="s">
        <v>173</v>
      </c>
      <c r="I38" s="73"/>
      <c r="J38" s="23">
        <v>1</v>
      </c>
      <c r="K38" s="24">
        <v>46293</v>
      </c>
      <c r="L38" s="24">
        <v>46294</v>
      </c>
      <c r="M38" s="24">
        <v>46294</v>
      </c>
      <c r="N38" s="21" t="s">
        <v>174</v>
      </c>
      <c r="O38" s="21" t="s">
        <v>166</v>
      </c>
      <c r="P38" s="21"/>
      <c r="Q38" s="21"/>
      <c r="R38" s="21"/>
      <c r="S38" s="21" t="s">
        <v>175</v>
      </c>
      <c r="T38" s="21" t="s">
        <v>167</v>
      </c>
      <c r="U38" s="21"/>
      <c r="V38" s="21"/>
      <c r="W38" s="82" t="s">
        <v>551</v>
      </c>
    </row>
    <row r="39" spans="1:24" ht="96" x14ac:dyDescent="0.2">
      <c r="A39" s="20">
        <v>38</v>
      </c>
      <c r="B39" s="21" t="s">
        <v>170</v>
      </c>
      <c r="C39" s="22"/>
      <c r="D39" s="21" t="s">
        <v>458</v>
      </c>
      <c r="E39" s="22" t="s">
        <v>109</v>
      </c>
      <c r="F39" s="22" t="s">
        <v>172</v>
      </c>
      <c r="G39" s="22" t="s">
        <v>179</v>
      </c>
      <c r="H39" s="22" t="s">
        <v>173</v>
      </c>
      <c r="I39" s="22"/>
      <c r="J39" s="23">
        <v>1</v>
      </c>
      <c r="K39" s="24">
        <v>46293</v>
      </c>
      <c r="L39" s="24">
        <v>46293</v>
      </c>
      <c r="M39" s="24">
        <v>46293</v>
      </c>
      <c r="N39" s="21" t="s">
        <v>174</v>
      </c>
      <c r="O39" s="21" t="s">
        <v>166</v>
      </c>
      <c r="P39" s="21"/>
      <c r="Q39" s="21"/>
      <c r="R39" s="21"/>
      <c r="S39" s="21" t="s">
        <v>175</v>
      </c>
      <c r="T39" s="21" t="s">
        <v>167</v>
      </c>
      <c r="U39" s="21"/>
      <c r="V39" s="21"/>
      <c r="W39" s="82" t="s">
        <v>551</v>
      </c>
    </row>
    <row r="40" spans="1:24" ht="96" x14ac:dyDescent="0.2">
      <c r="A40" s="20">
        <v>39</v>
      </c>
      <c r="B40" s="21" t="s">
        <v>170</v>
      </c>
      <c r="C40" s="22"/>
      <c r="D40" s="21" t="s">
        <v>552</v>
      </c>
      <c r="E40" s="22" t="s">
        <v>109</v>
      </c>
      <c r="F40" s="22" t="s">
        <v>172</v>
      </c>
      <c r="G40" s="22" t="s">
        <v>179</v>
      </c>
      <c r="H40" s="22" t="s">
        <v>173</v>
      </c>
      <c r="I40" s="22"/>
      <c r="J40" s="23">
        <v>1</v>
      </c>
      <c r="K40" s="24">
        <v>46295</v>
      </c>
      <c r="L40" s="24">
        <v>46295</v>
      </c>
      <c r="M40" s="24">
        <v>46295</v>
      </c>
      <c r="N40" s="21" t="s">
        <v>174</v>
      </c>
      <c r="O40" s="21" t="s">
        <v>166</v>
      </c>
      <c r="P40" s="21"/>
      <c r="Q40" s="21"/>
      <c r="R40" s="21"/>
      <c r="S40" s="21" t="s">
        <v>175</v>
      </c>
      <c r="T40" s="21" t="s">
        <v>167</v>
      </c>
      <c r="U40" s="21"/>
      <c r="V40" s="21"/>
      <c r="W40" s="82" t="s">
        <v>551</v>
      </c>
    </row>
    <row r="41" spans="1:24" x14ac:dyDescent="0.2">
      <c r="A41" s="20">
        <v>40</v>
      </c>
      <c r="B41" s="21" t="s">
        <v>170</v>
      </c>
      <c r="C41" s="22"/>
      <c r="D41" s="21" t="s">
        <v>553</v>
      </c>
      <c r="E41" s="22" t="s">
        <v>109</v>
      </c>
      <c r="F41" s="22" t="s">
        <v>172</v>
      </c>
      <c r="G41" s="22" t="s">
        <v>179</v>
      </c>
      <c r="H41" s="22" t="s">
        <v>173</v>
      </c>
      <c r="I41" s="22"/>
      <c r="J41" s="23">
        <v>1</v>
      </c>
      <c r="K41" s="24">
        <v>46296</v>
      </c>
      <c r="L41" s="24">
        <v>46296</v>
      </c>
      <c r="M41" s="24">
        <v>46296</v>
      </c>
      <c r="N41" s="21" t="s">
        <v>174</v>
      </c>
      <c r="O41" s="21" t="s">
        <v>166</v>
      </c>
      <c r="P41" s="21"/>
      <c r="Q41" s="21"/>
      <c r="R41" s="21"/>
      <c r="S41" s="21" t="s">
        <v>175</v>
      </c>
      <c r="T41" s="21" t="s">
        <v>167</v>
      </c>
      <c r="U41" s="21"/>
      <c r="V41" s="21"/>
      <c r="W41" s="21"/>
    </row>
    <row r="42" spans="1:24" ht="30" x14ac:dyDescent="0.2">
      <c r="A42" s="20">
        <f>IF(OR(D42&lt;&gt;"", B42&lt;&gt;""), ROW()-1, "")</f>
        <v>41</v>
      </c>
      <c r="B42" s="21" t="s">
        <v>170</v>
      </c>
      <c r="C42" s="22"/>
      <c r="D42" s="21" t="s">
        <v>554</v>
      </c>
      <c r="E42" s="22" t="s">
        <v>109</v>
      </c>
      <c r="F42" s="22" t="s">
        <v>172</v>
      </c>
      <c r="G42" s="22" t="s">
        <v>179</v>
      </c>
      <c r="H42" s="22" t="s">
        <v>173</v>
      </c>
      <c r="I42" s="22"/>
      <c r="J42" s="23">
        <v>1</v>
      </c>
      <c r="K42" s="24">
        <v>46297</v>
      </c>
      <c r="L42" s="24">
        <v>46297</v>
      </c>
      <c r="M42" s="24">
        <v>46297</v>
      </c>
      <c r="N42" s="21" t="s">
        <v>174</v>
      </c>
      <c r="O42" s="21" t="s">
        <v>166</v>
      </c>
      <c r="P42" s="21"/>
      <c r="Q42" s="21"/>
      <c r="R42" s="21"/>
      <c r="S42" s="21" t="s">
        <v>175</v>
      </c>
      <c r="T42" s="21" t="s">
        <v>167</v>
      </c>
      <c r="U42" s="21"/>
      <c r="V42" s="21"/>
      <c r="W42" s="21"/>
    </row>
    <row r="43" spans="1:24" ht="64" x14ac:dyDescent="0.2">
      <c r="A43" s="20">
        <v>42</v>
      </c>
      <c r="B43" s="21" t="s">
        <v>170</v>
      </c>
      <c r="C43" s="22"/>
      <c r="D43" s="21" t="s">
        <v>555</v>
      </c>
      <c r="E43" s="22" t="s">
        <v>109</v>
      </c>
      <c r="F43" s="22" t="s">
        <v>172</v>
      </c>
      <c r="G43" s="22" t="s">
        <v>179</v>
      </c>
      <c r="H43" s="22" t="s">
        <v>173</v>
      </c>
      <c r="I43" s="22"/>
      <c r="J43" s="23">
        <v>1</v>
      </c>
      <c r="K43" s="24">
        <v>46300</v>
      </c>
      <c r="L43" s="24">
        <v>46300</v>
      </c>
      <c r="M43" s="24">
        <v>46300</v>
      </c>
      <c r="N43" s="21" t="s">
        <v>174</v>
      </c>
      <c r="O43" s="21" t="s">
        <v>166</v>
      </c>
      <c r="P43" s="21"/>
      <c r="Q43" s="21"/>
      <c r="R43" s="21"/>
      <c r="S43" s="21" t="s">
        <v>175</v>
      </c>
      <c r="T43" s="21" t="s">
        <v>167</v>
      </c>
      <c r="U43" s="21"/>
      <c r="V43" s="21" t="s">
        <v>556</v>
      </c>
      <c r="W43" s="21" t="s">
        <v>557</v>
      </c>
      <c r="X43" s="88" t="s">
        <v>558</v>
      </c>
    </row>
    <row r="44" spans="1:24" ht="30" x14ac:dyDescent="0.2">
      <c r="A44" s="20">
        <v>43</v>
      </c>
      <c r="B44" s="21" t="s">
        <v>170</v>
      </c>
      <c r="C44" s="22"/>
      <c r="D44" s="21" t="s">
        <v>559</v>
      </c>
      <c r="E44" s="22" t="s">
        <v>109</v>
      </c>
      <c r="F44" s="22" t="s">
        <v>172</v>
      </c>
      <c r="G44" s="22" t="s">
        <v>179</v>
      </c>
      <c r="H44" s="22" t="s">
        <v>173</v>
      </c>
      <c r="I44" s="22"/>
      <c r="J44" s="23">
        <v>1</v>
      </c>
      <c r="K44" s="24">
        <v>46301</v>
      </c>
      <c r="L44" s="24">
        <v>46301</v>
      </c>
      <c r="M44" s="24">
        <v>46301</v>
      </c>
      <c r="N44" s="21" t="s">
        <v>174</v>
      </c>
      <c r="O44" s="21" t="s">
        <v>166</v>
      </c>
      <c r="P44" s="21"/>
      <c r="Q44" s="21"/>
      <c r="R44" s="21"/>
      <c r="S44" s="21" t="s">
        <v>175</v>
      </c>
      <c r="T44" s="21" t="s">
        <v>167</v>
      </c>
      <c r="U44" s="21"/>
      <c r="V44" s="21"/>
      <c r="W44" s="21"/>
    </row>
    <row r="45" spans="1:24" ht="60" x14ac:dyDescent="0.2">
      <c r="A45" s="20">
        <v>44</v>
      </c>
      <c r="B45" s="21" t="s">
        <v>170</v>
      </c>
      <c r="C45" s="22"/>
      <c r="D45" s="21" t="s">
        <v>560</v>
      </c>
      <c r="E45" s="22" t="s">
        <v>109</v>
      </c>
      <c r="F45" s="22" t="s">
        <v>172</v>
      </c>
      <c r="G45" s="22" t="s">
        <v>179</v>
      </c>
      <c r="H45" s="22" t="s">
        <v>173</v>
      </c>
      <c r="I45" s="22"/>
      <c r="J45" s="23">
        <v>1</v>
      </c>
      <c r="K45" s="24">
        <v>46301</v>
      </c>
      <c r="L45" s="24">
        <v>46301</v>
      </c>
      <c r="M45" s="24">
        <v>46301</v>
      </c>
      <c r="N45" s="21" t="s">
        <v>174</v>
      </c>
      <c r="O45" s="21" t="s">
        <v>166</v>
      </c>
      <c r="P45" s="21"/>
      <c r="Q45" s="21"/>
      <c r="R45" s="21"/>
      <c r="S45" s="21" t="s">
        <v>175</v>
      </c>
      <c r="T45" s="21" t="s">
        <v>167</v>
      </c>
      <c r="U45" s="21"/>
      <c r="V45" s="21" t="s">
        <v>561</v>
      </c>
      <c r="W45" s="21" t="s">
        <v>557</v>
      </c>
    </row>
    <row r="46" spans="1:24" ht="30" x14ac:dyDescent="0.2">
      <c r="A46" s="20">
        <v>45</v>
      </c>
      <c r="B46" s="21" t="s">
        <v>170</v>
      </c>
      <c r="C46" s="22"/>
      <c r="D46" s="21" t="s">
        <v>562</v>
      </c>
      <c r="E46" s="22" t="s">
        <v>109</v>
      </c>
      <c r="F46" s="22" t="s">
        <v>172</v>
      </c>
      <c r="G46" s="22" t="s">
        <v>179</v>
      </c>
      <c r="H46" s="22" t="s">
        <v>173</v>
      </c>
      <c r="I46" s="22"/>
      <c r="J46" s="23">
        <v>1</v>
      </c>
      <c r="K46" s="24">
        <v>46302</v>
      </c>
      <c r="L46" s="24">
        <v>46302</v>
      </c>
      <c r="M46" s="24">
        <v>46302</v>
      </c>
      <c r="N46" s="21" t="s">
        <v>174</v>
      </c>
      <c r="O46" s="21" t="s">
        <v>166</v>
      </c>
      <c r="P46" s="21"/>
      <c r="Q46" s="21"/>
      <c r="R46" s="21"/>
      <c r="S46" s="21" t="s">
        <v>175</v>
      </c>
      <c r="T46" s="21" t="s">
        <v>167</v>
      </c>
      <c r="U46" s="21"/>
      <c r="V46" s="21"/>
      <c r="W46" s="21"/>
    </row>
    <row r="47" spans="1:24" ht="30" x14ac:dyDescent="0.2">
      <c r="A47" s="20">
        <v>46</v>
      </c>
      <c r="B47" s="21" t="s">
        <v>170</v>
      </c>
      <c r="C47" s="22"/>
      <c r="D47" s="21" t="s">
        <v>563</v>
      </c>
      <c r="E47" s="22" t="s">
        <v>109</v>
      </c>
      <c r="F47" s="22" t="s">
        <v>172</v>
      </c>
      <c r="G47" s="22" t="s">
        <v>179</v>
      </c>
      <c r="H47" s="22" t="s">
        <v>173</v>
      </c>
      <c r="I47" s="22"/>
      <c r="J47" s="23">
        <v>1</v>
      </c>
      <c r="K47" s="24">
        <v>46303</v>
      </c>
      <c r="L47" s="24">
        <v>46303</v>
      </c>
      <c r="M47" s="24">
        <v>46303</v>
      </c>
      <c r="N47" s="21" t="s">
        <v>174</v>
      </c>
      <c r="O47" s="21" t="s">
        <v>166</v>
      </c>
      <c r="P47" s="21"/>
      <c r="Q47" s="21"/>
      <c r="R47" s="21"/>
      <c r="S47" s="21" t="s">
        <v>175</v>
      </c>
      <c r="T47" s="21" t="s">
        <v>167</v>
      </c>
      <c r="U47" s="21"/>
      <c r="V47" s="21"/>
      <c r="W47" s="21"/>
    </row>
    <row r="48" spans="1:24" x14ac:dyDescent="0.2">
      <c r="A48" s="20">
        <v>47</v>
      </c>
      <c r="B48" s="21" t="s">
        <v>170</v>
      </c>
      <c r="C48" s="22"/>
      <c r="D48" s="21" t="s">
        <v>564</v>
      </c>
      <c r="E48" s="22" t="s">
        <v>109</v>
      </c>
      <c r="F48" s="22" t="s">
        <v>172</v>
      </c>
      <c r="G48" s="22" t="s">
        <v>179</v>
      </c>
      <c r="H48" s="22" t="s">
        <v>173</v>
      </c>
      <c r="I48" s="22"/>
      <c r="J48" s="23">
        <v>1</v>
      </c>
      <c r="K48" s="24">
        <v>46304</v>
      </c>
      <c r="L48" s="24">
        <v>46304</v>
      </c>
      <c r="M48" s="24">
        <v>46304</v>
      </c>
      <c r="N48" s="21" t="s">
        <v>174</v>
      </c>
      <c r="O48" s="21" t="s">
        <v>166</v>
      </c>
      <c r="P48" s="21"/>
      <c r="Q48" s="21"/>
      <c r="R48" s="21"/>
      <c r="S48" s="21" t="s">
        <v>175</v>
      </c>
      <c r="T48" s="21" t="s">
        <v>167</v>
      </c>
      <c r="U48" s="21"/>
      <c r="V48" s="21"/>
      <c r="W48" s="21"/>
    </row>
    <row r="49" spans="1:23" x14ac:dyDescent="0.2">
      <c r="A49" s="20" t="str">
        <f t="shared" ref="A49:A80" si="1">IF(OR(D49&lt;&gt;"", B49&lt;&gt;""), ROW()-1, "")</f>
        <v/>
      </c>
      <c r="B49" s="21"/>
      <c r="C49" s="22"/>
      <c r="D49" s="21"/>
      <c r="E49" s="22"/>
      <c r="F49" s="22"/>
      <c r="G49" s="22"/>
      <c r="H49" s="22"/>
      <c r="I49" s="22"/>
      <c r="J49" s="22"/>
      <c r="K49" s="22"/>
      <c r="L49" s="22"/>
      <c r="M49" s="22"/>
      <c r="N49" s="21"/>
      <c r="O49" s="21"/>
      <c r="P49" s="21"/>
      <c r="Q49" s="21"/>
      <c r="R49" s="21"/>
      <c r="S49" s="21"/>
      <c r="T49" s="21"/>
      <c r="U49" s="21"/>
      <c r="V49" s="21"/>
      <c r="W49" s="21"/>
    </row>
    <row r="50" spans="1:23" x14ac:dyDescent="0.2">
      <c r="A50" s="20" t="str">
        <f t="shared" si="1"/>
        <v/>
      </c>
      <c r="B50" s="21"/>
      <c r="C50" s="22"/>
      <c r="D50" s="21"/>
      <c r="E50" s="22"/>
      <c r="F50" s="22"/>
      <c r="G50" s="22"/>
      <c r="H50" s="22"/>
      <c r="I50" s="22"/>
      <c r="J50" s="22"/>
      <c r="K50" s="22"/>
      <c r="L50" s="22"/>
      <c r="M50" s="22"/>
      <c r="N50" s="21"/>
      <c r="O50" s="21"/>
      <c r="P50" s="21"/>
      <c r="Q50" s="21"/>
      <c r="R50" s="21"/>
      <c r="S50" s="21"/>
      <c r="T50" s="21"/>
      <c r="U50" s="21"/>
      <c r="V50" s="21"/>
      <c r="W50" s="21"/>
    </row>
    <row r="51" spans="1:23" x14ac:dyDescent="0.2">
      <c r="A51" s="20" t="str">
        <f t="shared" si="1"/>
        <v/>
      </c>
      <c r="B51" s="21"/>
      <c r="C51" s="22"/>
      <c r="D51" s="21"/>
      <c r="E51" s="22"/>
      <c r="F51" s="22"/>
      <c r="G51" s="22"/>
      <c r="H51" s="22"/>
      <c r="I51" s="22"/>
      <c r="J51" s="22"/>
      <c r="K51" s="22"/>
      <c r="L51" s="22"/>
      <c r="M51" s="22"/>
      <c r="N51" s="21"/>
      <c r="O51" s="21"/>
      <c r="P51" s="21"/>
      <c r="Q51" s="21"/>
      <c r="R51" s="21"/>
      <c r="S51" s="21"/>
      <c r="T51" s="21"/>
      <c r="U51" s="21"/>
      <c r="V51" s="21"/>
      <c r="W51" s="21"/>
    </row>
    <row r="52" spans="1:23" x14ac:dyDescent="0.2">
      <c r="A52" s="20" t="str">
        <f t="shared" si="1"/>
        <v/>
      </c>
      <c r="B52" s="21"/>
      <c r="C52" s="22"/>
      <c r="D52" s="21"/>
      <c r="E52" s="22"/>
      <c r="F52" s="22"/>
      <c r="G52" s="22"/>
      <c r="H52" s="22"/>
      <c r="I52" s="22"/>
      <c r="J52" s="22"/>
      <c r="K52" s="22"/>
      <c r="L52" s="22"/>
      <c r="M52" s="22"/>
      <c r="N52" s="21"/>
      <c r="O52" s="21"/>
      <c r="P52" s="21"/>
      <c r="Q52" s="21"/>
      <c r="R52" s="21"/>
      <c r="S52" s="21"/>
      <c r="T52" s="21"/>
      <c r="U52" s="21"/>
      <c r="V52" s="21"/>
      <c r="W52" s="21"/>
    </row>
    <row r="53" spans="1:23" x14ac:dyDescent="0.2">
      <c r="A53" s="20" t="str">
        <f t="shared" si="1"/>
        <v/>
      </c>
      <c r="B53" s="21"/>
      <c r="C53" s="22"/>
      <c r="D53" s="21"/>
      <c r="E53" s="22"/>
      <c r="F53" s="22"/>
      <c r="G53" s="22"/>
      <c r="H53" s="22"/>
      <c r="I53" s="22"/>
      <c r="J53" s="22"/>
      <c r="K53" s="22"/>
      <c r="L53" s="22"/>
      <c r="M53" s="22"/>
      <c r="N53" s="21"/>
      <c r="O53" s="21"/>
      <c r="P53" s="21"/>
      <c r="Q53" s="21"/>
      <c r="R53" s="21"/>
      <c r="S53" s="21"/>
      <c r="T53" s="21"/>
      <c r="U53" s="21"/>
      <c r="V53" s="21"/>
      <c r="W53" s="21"/>
    </row>
    <row r="54" spans="1:23" x14ac:dyDescent="0.2">
      <c r="A54" s="20" t="str">
        <f t="shared" si="1"/>
        <v/>
      </c>
      <c r="B54" s="21"/>
      <c r="C54" s="22"/>
      <c r="D54" s="21"/>
      <c r="E54" s="22"/>
      <c r="F54" s="22"/>
      <c r="G54" s="22"/>
      <c r="H54" s="22"/>
      <c r="I54" s="22"/>
      <c r="J54" s="22"/>
      <c r="K54" s="22"/>
      <c r="L54" s="22"/>
      <c r="M54" s="22"/>
      <c r="N54" s="21"/>
      <c r="O54" s="21"/>
      <c r="P54" s="21"/>
      <c r="Q54" s="21"/>
      <c r="R54" s="21"/>
      <c r="S54" s="21"/>
      <c r="T54" s="21"/>
      <c r="U54" s="21"/>
      <c r="V54" s="21"/>
      <c r="W54" s="21"/>
    </row>
    <row r="55" spans="1:23" x14ac:dyDescent="0.2">
      <c r="A55" s="20" t="str">
        <f t="shared" si="1"/>
        <v/>
      </c>
      <c r="B55" s="21"/>
      <c r="C55" s="22"/>
      <c r="D55" s="21"/>
      <c r="E55" s="22"/>
      <c r="F55" s="22"/>
      <c r="G55" s="22"/>
      <c r="H55" s="22"/>
      <c r="I55" s="22"/>
      <c r="J55" s="22"/>
      <c r="K55" s="22"/>
      <c r="L55" s="22"/>
      <c r="M55" s="22"/>
      <c r="N55" s="21"/>
      <c r="O55" s="21"/>
      <c r="P55" s="21"/>
      <c r="Q55" s="21"/>
      <c r="R55" s="21"/>
      <c r="S55" s="21"/>
      <c r="T55" s="21"/>
      <c r="U55" s="21"/>
      <c r="V55" s="21"/>
      <c r="W55" s="21"/>
    </row>
    <row r="56" spans="1:23" x14ac:dyDescent="0.2">
      <c r="A56" s="20" t="str">
        <f t="shared" si="1"/>
        <v/>
      </c>
      <c r="B56" s="21"/>
      <c r="C56" s="22"/>
      <c r="D56" s="21"/>
      <c r="E56" s="22"/>
      <c r="F56" s="22"/>
      <c r="G56" s="22"/>
      <c r="H56" s="22"/>
      <c r="I56" s="22"/>
      <c r="J56" s="22"/>
      <c r="K56" s="22"/>
      <c r="L56" s="22"/>
      <c r="M56" s="22"/>
      <c r="N56" s="21"/>
      <c r="O56" s="21"/>
      <c r="P56" s="21"/>
      <c r="Q56" s="21"/>
      <c r="R56" s="21"/>
      <c r="S56" s="21"/>
      <c r="T56" s="21"/>
      <c r="U56" s="21"/>
      <c r="V56" s="21"/>
      <c r="W56" s="21"/>
    </row>
    <row r="57" spans="1:23" x14ac:dyDescent="0.2">
      <c r="A57" s="20" t="str">
        <f t="shared" si="1"/>
        <v/>
      </c>
      <c r="B57" s="21"/>
      <c r="C57" s="22"/>
      <c r="D57" s="21"/>
      <c r="E57" s="22"/>
      <c r="F57" s="22"/>
      <c r="G57" s="22"/>
      <c r="H57" s="22"/>
      <c r="I57" s="22"/>
      <c r="J57" s="22"/>
      <c r="K57" s="22"/>
      <c r="L57" s="22"/>
      <c r="M57" s="22"/>
      <c r="N57" s="21"/>
      <c r="O57" s="21"/>
      <c r="P57" s="21"/>
      <c r="Q57" s="21"/>
      <c r="R57" s="21"/>
      <c r="S57" s="21"/>
      <c r="T57" s="21"/>
      <c r="U57" s="21"/>
      <c r="V57" s="21"/>
      <c r="W57" s="21"/>
    </row>
    <row r="58" spans="1:23" x14ac:dyDescent="0.2">
      <c r="A58" s="20" t="str">
        <f t="shared" si="1"/>
        <v/>
      </c>
      <c r="B58" s="21"/>
      <c r="C58" s="22"/>
      <c r="D58" s="21"/>
      <c r="E58" s="22"/>
      <c r="F58" s="22"/>
      <c r="G58" s="22"/>
      <c r="H58" s="22"/>
      <c r="I58" s="22"/>
      <c r="J58" s="22"/>
      <c r="K58" s="22"/>
      <c r="L58" s="22"/>
      <c r="M58" s="22"/>
      <c r="N58" s="21"/>
      <c r="O58" s="21"/>
      <c r="P58" s="21"/>
      <c r="Q58" s="21"/>
      <c r="R58" s="21"/>
      <c r="S58" s="21"/>
      <c r="T58" s="21"/>
      <c r="U58" s="21"/>
      <c r="V58" s="21"/>
      <c r="W58" s="21"/>
    </row>
    <row r="59" spans="1:23" x14ac:dyDescent="0.2">
      <c r="A59" s="20" t="str">
        <f t="shared" si="1"/>
        <v/>
      </c>
      <c r="B59" s="21"/>
      <c r="C59" s="22"/>
      <c r="D59" s="21"/>
      <c r="E59" s="22"/>
      <c r="F59" s="22"/>
      <c r="G59" s="22"/>
      <c r="H59" s="22"/>
      <c r="I59" s="22"/>
      <c r="J59" s="22"/>
      <c r="K59" s="22"/>
      <c r="L59" s="22"/>
      <c r="M59" s="22"/>
      <c r="N59" s="21"/>
      <c r="O59" s="21"/>
      <c r="P59" s="21"/>
      <c r="Q59" s="21"/>
      <c r="R59" s="21"/>
      <c r="S59" s="21"/>
      <c r="T59" s="21"/>
      <c r="U59" s="21"/>
      <c r="V59" s="21"/>
      <c r="W59" s="21"/>
    </row>
    <row r="60" spans="1:23" x14ac:dyDescent="0.2">
      <c r="A60" s="20" t="str">
        <f t="shared" si="1"/>
        <v/>
      </c>
      <c r="B60" s="21"/>
      <c r="C60" s="22"/>
      <c r="D60" s="21"/>
      <c r="E60" s="22"/>
      <c r="F60" s="22"/>
      <c r="G60" s="22"/>
      <c r="H60" s="22"/>
      <c r="I60" s="22"/>
      <c r="J60" s="22"/>
      <c r="K60" s="22"/>
      <c r="L60" s="22"/>
      <c r="M60" s="22"/>
      <c r="N60" s="21"/>
      <c r="O60" s="21"/>
      <c r="P60" s="21"/>
      <c r="Q60" s="21"/>
      <c r="R60" s="21"/>
      <c r="S60" s="21"/>
      <c r="T60" s="21"/>
      <c r="U60" s="21"/>
      <c r="V60" s="21"/>
      <c r="W60" s="21"/>
    </row>
    <row r="61" spans="1:23" x14ac:dyDescent="0.2">
      <c r="A61" s="20" t="str">
        <f t="shared" si="1"/>
        <v/>
      </c>
      <c r="B61" s="21"/>
      <c r="C61" s="22"/>
      <c r="D61" s="21"/>
      <c r="E61" s="22"/>
      <c r="F61" s="22"/>
      <c r="G61" s="22"/>
      <c r="H61" s="22"/>
      <c r="I61" s="22"/>
      <c r="J61" s="22"/>
      <c r="K61" s="22"/>
      <c r="L61" s="22"/>
      <c r="M61" s="22"/>
      <c r="N61" s="21"/>
      <c r="O61" s="21"/>
      <c r="P61" s="21"/>
      <c r="Q61" s="21"/>
      <c r="R61" s="21"/>
      <c r="S61" s="21"/>
      <c r="T61" s="21"/>
      <c r="U61" s="21"/>
      <c r="V61" s="21"/>
      <c r="W61" s="21"/>
    </row>
    <row r="62" spans="1:23" x14ac:dyDescent="0.2">
      <c r="A62" s="20" t="str">
        <f t="shared" si="1"/>
        <v/>
      </c>
      <c r="B62" s="21"/>
      <c r="C62" s="22"/>
      <c r="D62" s="21"/>
      <c r="E62" s="22"/>
      <c r="F62" s="22"/>
      <c r="G62" s="22"/>
      <c r="H62" s="22"/>
      <c r="I62" s="22"/>
      <c r="J62" s="22"/>
      <c r="K62" s="22"/>
      <c r="L62" s="22"/>
      <c r="M62" s="22"/>
      <c r="N62" s="21"/>
      <c r="O62" s="21"/>
      <c r="P62" s="21"/>
      <c r="Q62" s="21"/>
      <c r="R62" s="21"/>
      <c r="S62" s="21"/>
      <c r="T62" s="21"/>
      <c r="U62" s="21"/>
      <c r="V62" s="21"/>
      <c r="W62" s="21"/>
    </row>
    <row r="63" spans="1:23" x14ac:dyDescent="0.2">
      <c r="A63" s="20" t="str">
        <f t="shared" si="1"/>
        <v/>
      </c>
      <c r="B63" s="21"/>
      <c r="C63" s="22"/>
      <c r="D63" s="21"/>
      <c r="E63" s="22"/>
      <c r="F63" s="22"/>
      <c r="G63" s="22"/>
      <c r="H63" s="22"/>
      <c r="I63" s="22"/>
      <c r="J63" s="22"/>
      <c r="K63" s="22"/>
      <c r="L63" s="22"/>
      <c r="M63" s="22"/>
      <c r="N63" s="21"/>
      <c r="O63" s="21"/>
      <c r="P63" s="21"/>
      <c r="Q63" s="21"/>
      <c r="R63" s="21"/>
      <c r="S63" s="21"/>
      <c r="T63" s="21"/>
      <c r="U63" s="21"/>
      <c r="V63" s="21"/>
      <c r="W63" s="21"/>
    </row>
    <row r="64" spans="1:23" x14ac:dyDescent="0.2">
      <c r="A64" s="20" t="str">
        <f t="shared" si="1"/>
        <v/>
      </c>
      <c r="B64" s="21"/>
      <c r="C64" s="22"/>
      <c r="D64" s="21"/>
      <c r="E64" s="22"/>
      <c r="F64" s="22"/>
      <c r="G64" s="22"/>
      <c r="H64" s="22"/>
      <c r="I64" s="22"/>
      <c r="J64" s="22"/>
      <c r="K64" s="22"/>
      <c r="L64" s="22"/>
      <c r="M64" s="22"/>
      <c r="N64" s="21"/>
      <c r="O64" s="21"/>
      <c r="P64" s="21"/>
      <c r="Q64" s="21"/>
      <c r="R64" s="21"/>
      <c r="S64" s="21"/>
      <c r="T64" s="21"/>
      <c r="U64" s="21"/>
      <c r="V64" s="21"/>
      <c r="W64" s="21"/>
    </row>
    <row r="65" spans="1:23" x14ac:dyDescent="0.2">
      <c r="A65" s="20" t="str">
        <f t="shared" si="1"/>
        <v/>
      </c>
      <c r="B65" s="21"/>
      <c r="C65" s="22"/>
      <c r="D65" s="21"/>
      <c r="E65" s="22"/>
      <c r="F65" s="22"/>
      <c r="G65" s="22"/>
      <c r="H65" s="22"/>
      <c r="I65" s="22"/>
      <c r="J65" s="22"/>
      <c r="K65" s="22"/>
      <c r="L65" s="22"/>
      <c r="M65" s="22"/>
      <c r="N65" s="21"/>
      <c r="O65" s="21"/>
      <c r="P65" s="21"/>
      <c r="Q65" s="21"/>
      <c r="R65" s="21"/>
      <c r="S65" s="21"/>
      <c r="T65" s="21"/>
      <c r="U65" s="21"/>
      <c r="V65" s="21"/>
      <c r="W65" s="21"/>
    </row>
    <row r="66" spans="1:23" x14ac:dyDescent="0.2">
      <c r="A66" s="20" t="str">
        <f t="shared" si="1"/>
        <v/>
      </c>
      <c r="B66" s="21"/>
      <c r="C66" s="22"/>
      <c r="D66" s="21"/>
      <c r="E66" s="22"/>
      <c r="F66" s="22"/>
      <c r="G66" s="22"/>
      <c r="H66" s="22"/>
      <c r="I66" s="22"/>
      <c r="J66" s="22"/>
      <c r="K66" s="22"/>
      <c r="L66" s="22"/>
      <c r="M66" s="22"/>
      <c r="N66" s="21"/>
      <c r="O66" s="21"/>
      <c r="P66" s="21"/>
      <c r="Q66" s="21"/>
      <c r="R66" s="21"/>
      <c r="S66" s="21"/>
      <c r="T66" s="21"/>
      <c r="U66" s="21"/>
      <c r="V66" s="21"/>
      <c r="W66" s="21"/>
    </row>
    <row r="67" spans="1:23" x14ac:dyDescent="0.2">
      <c r="A67" s="20" t="str">
        <f t="shared" si="1"/>
        <v/>
      </c>
      <c r="B67" s="21"/>
      <c r="C67" s="22"/>
      <c r="D67" s="21"/>
      <c r="E67" s="22"/>
      <c r="F67" s="22"/>
      <c r="G67" s="22"/>
      <c r="H67" s="22"/>
      <c r="I67" s="22"/>
      <c r="J67" s="22"/>
      <c r="K67" s="22"/>
      <c r="L67" s="22"/>
      <c r="M67" s="22"/>
      <c r="N67" s="21"/>
      <c r="O67" s="21"/>
      <c r="P67" s="21"/>
      <c r="Q67" s="21"/>
      <c r="R67" s="21"/>
      <c r="S67" s="21"/>
      <c r="T67" s="21"/>
      <c r="U67" s="21"/>
      <c r="V67" s="21"/>
      <c r="W67" s="21"/>
    </row>
    <row r="68" spans="1:23" x14ac:dyDescent="0.2">
      <c r="A68" s="20" t="str">
        <f t="shared" si="1"/>
        <v/>
      </c>
      <c r="B68" s="21"/>
      <c r="C68" s="22"/>
      <c r="D68" s="21"/>
      <c r="E68" s="22"/>
      <c r="F68" s="22"/>
      <c r="G68" s="22"/>
      <c r="H68" s="22"/>
      <c r="I68" s="22"/>
      <c r="J68" s="22"/>
      <c r="K68" s="22"/>
      <c r="L68" s="22"/>
      <c r="M68" s="22"/>
      <c r="N68" s="21"/>
      <c r="O68" s="21"/>
      <c r="P68" s="21"/>
      <c r="Q68" s="21"/>
      <c r="R68" s="21"/>
      <c r="S68" s="21"/>
      <c r="T68" s="21"/>
      <c r="U68" s="21"/>
      <c r="V68" s="21"/>
      <c r="W68" s="21"/>
    </row>
    <row r="69" spans="1:23" x14ac:dyDescent="0.2">
      <c r="A69" s="20" t="str">
        <f t="shared" si="1"/>
        <v/>
      </c>
      <c r="B69" s="21"/>
      <c r="C69" s="22"/>
      <c r="D69" s="21"/>
      <c r="E69" s="22"/>
      <c r="F69" s="22"/>
      <c r="G69" s="22"/>
      <c r="H69" s="22"/>
      <c r="I69" s="22"/>
      <c r="J69" s="22"/>
      <c r="K69" s="22"/>
      <c r="L69" s="22"/>
      <c r="M69" s="22"/>
      <c r="N69" s="21"/>
      <c r="O69" s="21"/>
      <c r="P69" s="21"/>
      <c r="Q69" s="21"/>
      <c r="R69" s="21"/>
      <c r="S69" s="21"/>
      <c r="T69" s="21"/>
      <c r="U69" s="21"/>
      <c r="V69" s="21"/>
      <c r="W69" s="21"/>
    </row>
    <row r="70" spans="1:23" x14ac:dyDescent="0.2">
      <c r="A70" s="20" t="str">
        <f t="shared" si="1"/>
        <v/>
      </c>
      <c r="B70" s="21"/>
      <c r="C70" s="22"/>
      <c r="D70" s="21"/>
      <c r="E70" s="22"/>
      <c r="F70" s="22"/>
      <c r="G70" s="22"/>
      <c r="H70" s="22"/>
      <c r="I70" s="22"/>
      <c r="J70" s="22"/>
      <c r="K70" s="22"/>
      <c r="L70" s="22"/>
      <c r="M70" s="22"/>
      <c r="N70" s="21"/>
      <c r="O70" s="21"/>
      <c r="P70" s="21"/>
      <c r="Q70" s="21"/>
      <c r="R70" s="21"/>
      <c r="S70" s="21"/>
      <c r="T70" s="21"/>
      <c r="U70" s="21"/>
      <c r="V70" s="21"/>
      <c r="W70" s="21"/>
    </row>
    <row r="71" spans="1:23" x14ac:dyDescent="0.2">
      <c r="A71" s="20" t="str">
        <f t="shared" si="1"/>
        <v/>
      </c>
      <c r="B71" s="21"/>
      <c r="C71" s="22"/>
      <c r="D71" s="21"/>
      <c r="E71" s="22"/>
      <c r="F71" s="22"/>
      <c r="G71" s="22"/>
      <c r="H71" s="22"/>
      <c r="I71" s="22"/>
      <c r="J71" s="22"/>
      <c r="K71" s="22"/>
      <c r="L71" s="22"/>
      <c r="M71" s="22"/>
      <c r="N71" s="21"/>
      <c r="O71" s="21"/>
      <c r="P71" s="21"/>
      <c r="Q71" s="21"/>
      <c r="R71" s="21"/>
      <c r="S71" s="21"/>
      <c r="T71" s="21"/>
      <c r="U71" s="21"/>
      <c r="V71" s="21"/>
      <c r="W71" s="21"/>
    </row>
    <row r="72" spans="1:23" x14ac:dyDescent="0.2">
      <c r="A72" s="20" t="str">
        <f t="shared" si="1"/>
        <v/>
      </c>
      <c r="B72" s="21"/>
      <c r="C72" s="22"/>
      <c r="D72" s="21"/>
      <c r="E72" s="22"/>
      <c r="F72" s="22"/>
      <c r="G72" s="22"/>
      <c r="H72" s="22"/>
      <c r="I72" s="22"/>
      <c r="J72" s="22"/>
      <c r="K72" s="22"/>
      <c r="L72" s="22"/>
      <c r="M72" s="22"/>
      <c r="N72" s="21"/>
      <c r="O72" s="21"/>
      <c r="P72" s="21"/>
      <c r="Q72" s="21"/>
      <c r="R72" s="21"/>
      <c r="S72" s="21"/>
      <c r="T72" s="21"/>
      <c r="U72" s="21"/>
      <c r="V72" s="21"/>
      <c r="W72" s="21"/>
    </row>
    <row r="73" spans="1:23" x14ac:dyDescent="0.2">
      <c r="A73" s="20" t="str">
        <f t="shared" si="1"/>
        <v/>
      </c>
      <c r="B73" s="21"/>
      <c r="C73" s="22"/>
      <c r="D73" s="21"/>
      <c r="E73" s="22"/>
      <c r="F73" s="22"/>
      <c r="G73" s="22"/>
      <c r="H73" s="22"/>
      <c r="I73" s="22"/>
      <c r="J73" s="22"/>
      <c r="K73" s="22"/>
      <c r="L73" s="22"/>
      <c r="M73" s="22"/>
      <c r="N73" s="21"/>
      <c r="O73" s="21"/>
      <c r="P73" s="21"/>
      <c r="Q73" s="21"/>
      <c r="R73" s="21"/>
      <c r="S73" s="21"/>
      <c r="T73" s="21"/>
      <c r="U73" s="21"/>
      <c r="V73" s="21"/>
      <c r="W73" s="21"/>
    </row>
    <row r="74" spans="1:23" x14ac:dyDescent="0.2">
      <c r="A74" s="20" t="str">
        <f t="shared" si="1"/>
        <v/>
      </c>
      <c r="B74" s="21"/>
      <c r="C74" s="22"/>
      <c r="D74" s="21"/>
      <c r="E74" s="22"/>
      <c r="F74" s="22"/>
      <c r="G74" s="22"/>
      <c r="H74" s="22"/>
      <c r="I74" s="22"/>
      <c r="J74" s="22"/>
      <c r="K74" s="22"/>
      <c r="L74" s="22"/>
      <c r="M74" s="22"/>
      <c r="N74" s="21"/>
      <c r="O74" s="21"/>
      <c r="P74" s="21"/>
      <c r="Q74" s="21"/>
      <c r="R74" s="21"/>
      <c r="S74" s="21"/>
      <c r="T74" s="21"/>
      <c r="U74" s="21"/>
      <c r="V74" s="21"/>
      <c r="W74" s="21"/>
    </row>
    <row r="75" spans="1:23" x14ac:dyDescent="0.2">
      <c r="A75" s="20" t="str">
        <f t="shared" si="1"/>
        <v/>
      </c>
      <c r="B75" s="21"/>
      <c r="C75" s="22"/>
      <c r="D75" s="21"/>
      <c r="E75" s="22"/>
      <c r="F75" s="22"/>
      <c r="G75" s="22"/>
      <c r="H75" s="22"/>
      <c r="I75" s="22"/>
      <c r="J75" s="22"/>
      <c r="K75" s="22"/>
      <c r="L75" s="22"/>
      <c r="M75" s="22"/>
      <c r="N75" s="21"/>
      <c r="O75" s="21"/>
      <c r="P75" s="21"/>
      <c r="Q75" s="21"/>
      <c r="R75" s="21"/>
      <c r="S75" s="21"/>
      <c r="T75" s="21"/>
      <c r="U75" s="21"/>
      <c r="V75" s="21"/>
      <c r="W75" s="21"/>
    </row>
    <row r="76" spans="1:23" x14ac:dyDescent="0.2">
      <c r="A76" s="20" t="str">
        <f t="shared" si="1"/>
        <v/>
      </c>
      <c r="B76" s="21"/>
      <c r="C76" s="22"/>
      <c r="D76" s="21"/>
      <c r="E76" s="22"/>
      <c r="F76" s="22"/>
      <c r="G76" s="22"/>
      <c r="H76" s="22"/>
      <c r="I76" s="22"/>
      <c r="J76" s="22"/>
      <c r="K76" s="22"/>
      <c r="L76" s="22"/>
      <c r="M76" s="22"/>
      <c r="N76" s="21"/>
      <c r="O76" s="21"/>
      <c r="P76" s="21"/>
      <c r="Q76" s="21"/>
      <c r="R76" s="21"/>
      <c r="S76" s="21"/>
      <c r="T76" s="21"/>
      <c r="U76" s="21"/>
      <c r="V76" s="21"/>
      <c r="W76" s="21"/>
    </row>
    <row r="77" spans="1:23" x14ac:dyDescent="0.2">
      <c r="A77" s="20" t="str">
        <f t="shared" si="1"/>
        <v/>
      </c>
      <c r="B77" s="21"/>
      <c r="C77" s="22"/>
      <c r="D77" s="21"/>
      <c r="E77" s="22"/>
      <c r="F77" s="22"/>
      <c r="G77" s="22"/>
      <c r="H77" s="22"/>
      <c r="I77" s="22"/>
      <c r="J77" s="22"/>
      <c r="K77" s="22"/>
      <c r="L77" s="22"/>
      <c r="M77" s="22"/>
      <c r="N77" s="21"/>
      <c r="O77" s="21"/>
      <c r="P77" s="21"/>
      <c r="Q77" s="21"/>
      <c r="R77" s="21"/>
      <c r="S77" s="21"/>
      <c r="T77" s="21"/>
      <c r="U77" s="21"/>
      <c r="V77" s="21"/>
      <c r="W77" s="21"/>
    </row>
    <row r="78" spans="1:23" x14ac:dyDescent="0.2">
      <c r="A78" s="20" t="str">
        <f t="shared" si="1"/>
        <v/>
      </c>
      <c r="B78" s="21"/>
      <c r="C78" s="22"/>
      <c r="D78" s="21"/>
      <c r="E78" s="22"/>
      <c r="F78" s="22"/>
      <c r="G78" s="22"/>
      <c r="H78" s="22"/>
      <c r="I78" s="22"/>
      <c r="J78" s="22"/>
      <c r="K78" s="22"/>
      <c r="L78" s="22"/>
      <c r="M78" s="22"/>
      <c r="N78" s="21"/>
      <c r="O78" s="21"/>
      <c r="P78" s="21"/>
      <c r="Q78" s="21"/>
      <c r="R78" s="21"/>
      <c r="S78" s="21"/>
      <c r="T78" s="21"/>
      <c r="U78" s="21"/>
      <c r="V78" s="21"/>
      <c r="W78" s="21"/>
    </row>
    <row r="79" spans="1:23" x14ac:dyDescent="0.2">
      <c r="A79" s="20" t="str">
        <f t="shared" si="1"/>
        <v/>
      </c>
      <c r="B79" s="21"/>
      <c r="C79" s="22"/>
      <c r="D79" s="21"/>
      <c r="E79" s="22"/>
      <c r="F79" s="22"/>
      <c r="G79" s="22"/>
      <c r="H79" s="22"/>
      <c r="I79" s="22"/>
      <c r="J79" s="22"/>
      <c r="K79" s="22"/>
      <c r="L79" s="22"/>
      <c r="M79" s="22"/>
      <c r="N79" s="21"/>
      <c r="O79" s="21"/>
      <c r="P79" s="21"/>
      <c r="Q79" s="21"/>
      <c r="R79" s="21"/>
      <c r="S79" s="21"/>
      <c r="T79" s="21"/>
      <c r="U79" s="21"/>
      <c r="V79" s="21"/>
      <c r="W79" s="21"/>
    </row>
    <row r="80" spans="1:23" x14ac:dyDescent="0.2">
      <c r="A80" s="20" t="str">
        <f t="shared" si="1"/>
        <v/>
      </c>
      <c r="B80" s="21"/>
      <c r="C80" s="22"/>
      <c r="D80" s="21"/>
      <c r="E80" s="22"/>
      <c r="F80" s="22"/>
      <c r="G80" s="22"/>
      <c r="H80" s="22"/>
      <c r="I80" s="22"/>
      <c r="J80" s="22"/>
      <c r="K80" s="22"/>
      <c r="L80" s="22"/>
      <c r="M80" s="22"/>
      <c r="N80" s="21"/>
      <c r="O80" s="21"/>
      <c r="P80" s="21"/>
      <c r="Q80" s="21"/>
      <c r="R80" s="21"/>
      <c r="S80" s="21"/>
      <c r="T80" s="21"/>
      <c r="U80" s="21"/>
      <c r="V80" s="21"/>
      <c r="W80" s="21"/>
    </row>
    <row r="81" spans="1:23" x14ac:dyDescent="0.2">
      <c r="A81" s="20" t="str">
        <f t="shared" ref="A81:A112" si="2">IF(OR(D81&lt;&gt;"", B81&lt;&gt;""), ROW()-1, "")</f>
        <v/>
      </c>
      <c r="B81" s="21"/>
      <c r="C81" s="22"/>
      <c r="D81" s="21"/>
      <c r="E81" s="22"/>
      <c r="F81" s="22"/>
      <c r="G81" s="22"/>
      <c r="H81" s="22"/>
      <c r="I81" s="22"/>
      <c r="J81" s="22"/>
      <c r="K81" s="22"/>
      <c r="L81" s="22"/>
      <c r="M81" s="22"/>
      <c r="N81" s="21"/>
      <c r="O81" s="21"/>
      <c r="P81" s="21"/>
      <c r="Q81" s="21"/>
      <c r="R81" s="21"/>
      <c r="S81" s="21"/>
      <c r="T81" s="21"/>
      <c r="U81" s="21"/>
      <c r="V81" s="21"/>
      <c r="W81" s="21"/>
    </row>
    <row r="82" spans="1:23"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21"/>
    </row>
    <row r="83" spans="1:23"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21"/>
    </row>
    <row r="84" spans="1:23"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21"/>
    </row>
    <row r="85" spans="1:23"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21"/>
    </row>
    <row r="86" spans="1:23"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21"/>
    </row>
    <row r="87" spans="1:23"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21"/>
    </row>
    <row r="88" spans="1:23"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21"/>
    </row>
    <row r="89" spans="1:23"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21"/>
    </row>
    <row r="90" spans="1:23"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21"/>
    </row>
    <row r="91" spans="1:23"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21"/>
    </row>
    <row r="92" spans="1:23"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21"/>
    </row>
    <row r="93" spans="1:23"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21"/>
    </row>
    <row r="94" spans="1:23"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21"/>
    </row>
    <row r="95" spans="1:23"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21"/>
    </row>
    <row r="96" spans="1:23"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21"/>
    </row>
    <row r="97" spans="1:23"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21"/>
    </row>
    <row r="98" spans="1:23" x14ac:dyDescent="0.2">
      <c r="A98" s="20" t="str">
        <f t="shared" si="2"/>
        <v/>
      </c>
      <c r="B98" s="21"/>
      <c r="C98" s="22"/>
      <c r="D98" s="21"/>
      <c r="E98" s="22"/>
      <c r="F98" s="22"/>
      <c r="G98" s="22"/>
      <c r="H98" s="22"/>
      <c r="I98" s="22"/>
      <c r="J98" s="22"/>
      <c r="K98" s="22"/>
      <c r="L98" s="22"/>
      <c r="M98" s="22"/>
      <c r="N98" s="21"/>
      <c r="O98" s="21"/>
      <c r="P98" s="21"/>
      <c r="Q98" s="21"/>
      <c r="R98" s="21"/>
      <c r="S98" s="21"/>
      <c r="T98" s="21"/>
      <c r="U98" s="21"/>
      <c r="V98" s="21"/>
      <c r="W98" s="21"/>
    </row>
    <row r="99" spans="1:23" x14ac:dyDescent="0.2">
      <c r="A99" s="20" t="str">
        <f t="shared" si="2"/>
        <v/>
      </c>
      <c r="B99" s="21"/>
      <c r="C99" s="22"/>
      <c r="D99" s="21"/>
      <c r="E99" s="22"/>
      <c r="F99" s="22"/>
      <c r="G99" s="22"/>
      <c r="H99" s="22"/>
      <c r="I99" s="22"/>
      <c r="J99" s="22"/>
      <c r="K99" s="22"/>
      <c r="L99" s="22"/>
      <c r="M99" s="22"/>
      <c r="N99" s="21"/>
      <c r="O99" s="21"/>
      <c r="P99" s="21"/>
      <c r="Q99" s="21"/>
      <c r="R99" s="21"/>
      <c r="S99" s="21"/>
      <c r="T99" s="21"/>
      <c r="U99" s="21"/>
      <c r="V99" s="21"/>
      <c r="W99" s="21"/>
    </row>
    <row r="100" spans="1:23" x14ac:dyDescent="0.2">
      <c r="A100" s="20" t="str">
        <f t="shared" si="2"/>
        <v/>
      </c>
      <c r="B100" s="21"/>
      <c r="C100" s="22"/>
      <c r="D100" s="21"/>
      <c r="E100" s="22"/>
      <c r="F100" s="22"/>
      <c r="G100" s="22"/>
      <c r="H100" s="22"/>
      <c r="I100" s="22"/>
      <c r="J100" s="22"/>
      <c r="K100" s="22"/>
      <c r="L100" s="22"/>
      <c r="M100" s="22"/>
      <c r="N100" s="21"/>
      <c r="O100" s="21"/>
      <c r="P100" s="21"/>
      <c r="Q100" s="21"/>
      <c r="R100" s="21"/>
      <c r="S100" s="21"/>
      <c r="T100" s="21"/>
      <c r="U100" s="21"/>
      <c r="V100" s="21"/>
      <c r="W100" s="21"/>
    </row>
    <row r="101" spans="1:23" x14ac:dyDescent="0.2">
      <c r="A101" s="20" t="str">
        <f t="shared" si="2"/>
        <v/>
      </c>
      <c r="B101" s="21"/>
      <c r="C101" s="22"/>
      <c r="D101" s="21"/>
      <c r="E101" s="22"/>
      <c r="F101" s="22"/>
      <c r="G101" s="22"/>
      <c r="H101" s="22"/>
      <c r="I101" s="22"/>
      <c r="J101" s="22"/>
      <c r="K101" s="22"/>
      <c r="L101" s="22"/>
      <c r="M101" s="22"/>
      <c r="N101" s="21"/>
      <c r="O101" s="21"/>
      <c r="P101" s="21"/>
      <c r="Q101" s="21"/>
      <c r="R101" s="21"/>
      <c r="S101" s="21"/>
      <c r="T101" s="21"/>
      <c r="U101" s="21"/>
      <c r="V101" s="21"/>
      <c r="W101" s="21"/>
    </row>
    <row r="102" spans="1:23" x14ac:dyDescent="0.2">
      <c r="A102" s="20" t="str">
        <f t="shared" si="2"/>
        <v/>
      </c>
      <c r="B102" s="21"/>
      <c r="C102" s="22"/>
      <c r="D102" s="21"/>
      <c r="E102" s="22"/>
      <c r="F102" s="22"/>
      <c r="G102" s="22"/>
      <c r="H102" s="22"/>
      <c r="I102" s="22"/>
      <c r="J102" s="22"/>
      <c r="K102" s="22"/>
      <c r="L102" s="22"/>
      <c r="M102" s="22"/>
      <c r="N102" s="21"/>
      <c r="O102" s="21"/>
      <c r="P102" s="21"/>
      <c r="Q102" s="21"/>
      <c r="R102" s="21"/>
      <c r="S102" s="21"/>
      <c r="T102" s="21"/>
      <c r="U102" s="21"/>
      <c r="V102" s="21"/>
      <c r="W102" s="21"/>
    </row>
    <row r="103" spans="1:23" x14ac:dyDescent="0.2">
      <c r="A103" s="20" t="str">
        <f t="shared" si="2"/>
        <v/>
      </c>
      <c r="B103" s="21"/>
      <c r="C103" s="22"/>
      <c r="D103" s="21"/>
      <c r="E103" s="22"/>
      <c r="F103" s="22"/>
      <c r="G103" s="22"/>
      <c r="H103" s="22"/>
      <c r="I103" s="22"/>
      <c r="J103" s="22"/>
      <c r="K103" s="22"/>
      <c r="L103" s="22"/>
      <c r="M103" s="22"/>
      <c r="N103" s="21"/>
      <c r="O103" s="21"/>
      <c r="P103" s="21"/>
      <c r="Q103" s="21"/>
      <c r="R103" s="21"/>
      <c r="S103" s="21"/>
      <c r="T103" s="21"/>
      <c r="U103" s="21"/>
      <c r="V103" s="21"/>
      <c r="W103" s="21"/>
    </row>
    <row r="104" spans="1:23" x14ac:dyDescent="0.2">
      <c r="A104" s="20" t="str">
        <f t="shared" si="2"/>
        <v/>
      </c>
      <c r="B104" s="21"/>
      <c r="C104" s="22"/>
      <c r="D104" s="21"/>
      <c r="E104" s="22"/>
      <c r="F104" s="22"/>
      <c r="G104" s="22"/>
      <c r="H104" s="22"/>
      <c r="I104" s="22"/>
      <c r="J104" s="22"/>
      <c r="K104" s="22"/>
      <c r="L104" s="22"/>
      <c r="M104" s="22"/>
      <c r="N104" s="21"/>
      <c r="O104" s="21"/>
      <c r="P104" s="21"/>
      <c r="Q104" s="21"/>
      <c r="R104" s="21"/>
      <c r="S104" s="21"/>
      <c r="T104" s="21"/>
      <c r="U104" s="21"/>
      <c r="V104" s="21"/>
      <c r="W104" s="21"/>
    </row>
    <row r="105" spans="1:23" x14ac:dyDescent="0.2">
      <c r="A105" s="20" t="str">
        <f t="shared" si="2"/>
        <v/>
      </c>
      <c r="B105" s="21"/>
      <c r="C105" s="22"/>
      <c r="D105" s="21"/>
      <c r="E105" s="22"/>
      <c r="F105" s="22"/>
      <c r="G105" s="22"/>
      <c r="H105" s="22"/>
      <c r="I105" s="22"/>
      <c r="J105" s="22"/>
      <c r="K105" s="22"/>
      <c r="L105" s="22"/>
      <c r="M105" s="22"/>
      <c r="N105" s="21"/>
      <c r="O105" s="21"/>
      <c r="P105" s="21"/>
      <c r="Q105" s="21"/>
      <c r="R105" s="21"/>
      <c r="S105" s="21"/>
      <c r="T105" s="21"/>
      <c r="U105" s="21"/>
      <c r="V105" s="21"/>
      <c r="W105" s="21"/>
    </row>
    <row r="106" spans="1:23" x14ac:dyDescent="0.2">
      <c r="A106" s="20" t="str">
        <f t="shared" si="2"/>
        <v/>
      </c>
      <c r="B106" s="21"/>
      <c r="C106" s="22"/>
      <c r="D106" s="21"/>
      <c r="E106" s="22"/>
      <c r="F106" s="22"/>
      <c r="G106" s="22"/>
      <c r="H106" s="22"/>
      <c r="I106" s="22"/>
      <c r="J106" s="22"/>
      <c r="K106" s="22"/>
      <c r="L106" s="22"/>
      <c r="M106" s="22"/>
      <c r="N106" s="21"/>
      <c r="O106" s="21"/>
      <c r="P106" s="21"/>
      <c r="Q106" s="21"/>
      <c r="R106" s="21"/>
      <c r="S106" s="21"/>
      <c r="T106" s="21"/>
      <c r="U106" s="21"/>
      <c r="V106" s="21"/>
      <c r="W106" s="21"/>
    </row>
    <row r="107" spans="1:23" x14ac:dyDescent="0.2">
      <c r="A107" s="20" t="str">
        <f t="shared" si="2"/>
        <v/>
      </c>
      <c r="B107" s="21"/>
      <c r="C107" s="22"/>
      <c r="D107" s="21"/>
      <c r="E107" s="22"/>
      <c r="F107" s="22"/>
      <c r="G107" s="22"/>
      <c r="H107" s="22"/>
      <c r="I107" s="22"/>
      <c r="J107" s="22"/>
      <c r="K107" s="22"/>
      <c r="L107" s="22"/>
      <c r="M107" s="22"/>
      <c r="N107" s="21"/>
      <c r="O107" s="21"/>
      <c r="P107" s="21"/>
      <c r="Q107" s="21"/>
      <c r="R107" s="21"/>
      <c r="S107" s="21"/>
      <c r="T107" s="21"/>
      <c r="U107" s="21"/>
      <c r="V107" s="21"/>
      <c r="W107" s="21"/>
    </row>
    <row r="108" spans="1:23" x14ac:dyDescent="0.2">
      <c r="A108" s="20" t="str">
        <f t="shared" si="2"/>
        <v/>
      </c>
      <c r="B108" s="21"/>
      <c r="C108" s="22"/>
      <c r="D108" s="21"/>
      <c r="E108" s="22"/>
      <c r="F108" s="22"/>
      <c r="G108" s="22"/>
      <c r="H108" s="22"/>
      <c r="I108" s="22"/>
      <c r="J108" s="22"/>
      <c r="K108" s="22"/>
      <c r="L108" s="22"/>
      <c r="M108" s="22"/>
      <c r="N108" s="21"/>
      <c r="O108" s="21"/>
      <c r="P108" s="21"/>
      <c r="Q108" s="21"/>
      <c r="R108" s="21"/>
      <c r="S108" s="21"/>
      <c r="T108" s="21"/>
      <c r="U108" s="21"/>
      <c r="V108" s="21"/>
      <c r="W108" s="21"/>
    </row>
    <row r="109" spans="1:23" x14ac:dyDescent="0.2">
      <c r="A109" s="20" t="str">
        <f t="shared" si="2"/>
        <v/>
      </c>
      <c r="B109" s="21"/>
      <c r="C109" s="22"/>
      <c r="D109" s="21"/>
      <c r="E109" s="22"/>
      <c r="F109" s="22"/>
      <c r="G109" s="22"/>
      <c r="H109" s="22"/>
      <c r="I109" s="22"/>
      <c r="J109" s="22"/>
      <c r="K109" s="22"/>
      <c r="L109" s="22"/>
      <c r="M109" s="22"/>
      <c r="N109" s="21"/>
      <c r="O109" s="21"/>
      <c r="P109" s="21"/>
      <c r="Q109" s="21"/>
      <c r="R109" s="21"/>
      <c r="S109" s="21"/>
      <c r="T109" s="21"/>
      <c r="U109" s="21"/>
      <c r="V109" s="21"/>
      <c r="W109" s="21"/>
    </row>
    <row r="110" spans="1:23" x14ac:dyDescent="0.2">
      <c r="A110" s="20" t="str">
        <f t="shared" si="2"/>
        <v/>
      </c>
      <c r="B110" s="21"/>
      <c r="C110" s="22"/>
      <c r="D110" s="21"/>
      <c r="E110" s="22"/>
      <c r="F110" s="22"/>
      <c r="G110" s="22"/>
      <c r="H110" s="22"/>
      <c r="I110" s="22"/>
      <c r="J110" s="22"/>
      <c r="K110" s="22"/>
      <c r="L110" s="22"/>
      <c r="M110" s="22"/>
      <c r="N110" s="21"/>
      <c r="O110" s="21"/>
      <c r="P110" s="21"/>
      <c r="Q110" s="21"/>
      <c r="R110" s="21"/>
      <c r="S110" s="21"/>
      <c r="T110" s="21"/>
      <c r="U110" s="21"/>
      <c r="V110" s="21"/>
      <c r="W110" s="21"/>
    </row>
    <row r="111" spans="1:23" x14ac:dyDescent="0.2">
      <c r="A111" s="20" t="str">
        <f t="shared" si="2"/>
        <v/>
      </c>
      <c r="B111" s="21"/>
      <c r="C111" s="22"/>
      <c r="D111" s="21"/>
      <c r="E111" s="22"/>
      <c r="F111" s="22"/>
      <c r="G111" s="22"/>
      <c r="H111" s="22"/>
      <c r="I111" s="22"/>
      <c r="J111" s="22"/>
      <c r="K111" s="22"/>
      <c r="L111" s="22"/>
      <c r="M111" s="22"/>
      <c r="N111" s="21"/>
      <c r="O111" s="21"/>
      <c r="P111" s="21"/>
      <c r="Q111" s="21"/>
      <c r="R111" s="21"/>
      <c r="S111" s="21"/>
      <c r="T111" s="21"/>
      <c r="U111" s="21"/>
      <c r="V111" s="21"/>
      <c r="W111" s="21"/>
    </row>
    <row r="112" spans="1:23" x14ac:dyDescent="0.2">
      <c r="A112" s="20" t="str">
        <f t="shared" si="2"/>
        <v/>
      </c>
      <c r="B112" s="21"/>
      <c r="C112" s="22"/>
      <c r="D112" s="21"/>
      <c r="E112" s="22"/>
      <c r="F112" s="22"/>
      <c r="G112" s="22"/>
      <c r="H112" s="22"/>
      <c r="I112" s="22"/>
      <c r="J112" s="22"/>
      <c r="K112" s="22"/>
      <c r="L112" s="22"/>
      <c r="M112" s="22"/>
      <c r="N112" s="21"/>
      <c r="O112" s="21"/>
      <c r="P112" s="21"/>
      <c r="Q112" s="21"/>
      <c r="R112" s="21"/>
      <c r="S112" s="21"/>
      <c r="T112" s="21"/>
      <c r="U112" s="21"/>
      <c r="V112" s="21"/>
      <c r="W112" s="21"/>
    </row>
    <row r="113" spans="1:23" x14ac:dyDescent="0.2">
      <c r="A113" s="20" t="str">
        <f t="shared" ref="A113:A144" si="3">IF(OR(D113&lt;&gt;"", B113&lt;&gt;""), ROW()-1, "")</f>
        <v/>
      </c>
      <c r="B113" s="21"/>
      <c r="C113" s="22"/>
      <c r="D113" s="21"/>
      <c r="E113" s="22"/>
      <c r="F113" s="22"/>
      <c r="G113" s="22"/>
      <c r="H113" s="22"/>
      <c r="I113" s="22"/>
      <c r="J113" s="22"/>
      <c r="K113" s="22"/>
      <c r="L113" s="22"/>
      <c r="M113" s="22"/>
      <c r="N113" s="21"/>
      <c r="O113" s="21"/>
      <c r="P113" s="21"/>
      <c r="Q113" s="21"/>
      <c r="R113" s="21"/>
      <c r="S113" s="21"/>
      <c r="T113" s="21"/>
      <c r="U113" s="21"/>
      <c r="V113" s="21"/>
      <c r="W113" s="21"/>
    </row>
    <row r="114" spans="1:23" x14ac:dyDescent="0.2">
      <c r="A114" s="20" t="str">
        <f t="shared" si="3"/>
        <v/>
      </c>
      <c r="B114" s="21"/>
      <c r="C114" s="22"/>
      <c r="D114" s="21"/>
      <c r="E114" s="22"/>
      <c r="F114" s="22"/>
      <c r="G114" s="22"/>
      <c r="H114" s="22"/>
      <c r="I114" s="22"/>
      <c r="J114" s="22"/>
      <c r="K114" s="22"/>
      <c r="L114" s="22"/>
      <c r="M114" s="22"/>
      <c r="N114" s="21"/>
      <c r="O114" s="21"/>
      <c r="P114" s="21"/>
      <c r="Q114" s="21"/>
      <c r="R114" s="21"/>
      <c r="S114" s="21"/>
      <c r="T114" s="21"/>
      <c r="U114" s="21"/>
      <c r="V114" s="21"/>
      <c r="W114" s="21"/>
    </row>
    <row r="115" spans="1:23" x14ac:dyDescent="0.2">
      <c r="A115" s="20" t="str">
        <f t="shared" si="3"/>
        <v/>
      </c>
      <c r="B115" s="21"/>
      <c r="C115" s="22"/>
      <c r="D115" s="21"/>
      <c r="E115" s="22"/>
      <c r="F115" s="22"/>
      <c r="G115" s="22"/>
      <c r="H115" s="22"/>
      <c r="I115" s="22"/>
      <c r="J115" s="22"/>
      <c r="K115" s="22"/>
      <c r="L115" s="22"/>
      <c r="M115" s="22"/>
      <c r="N115" s="21"/>
      <c r="O115" s="21"/>
      <c r="P115" s="21"/>
      <c r="Q115" s="21"/>
      <c r="R115" s="21"/>
      <c r="S115" s="21"/>
      <c r="T115" s="21"/>
      <c r="U115" s="21"/>
      <c r="V115" s="21"/>
      <c r="W115" s="21"/>
    </row>
    <row r="116" spans="1:23" x14ac:dyDescent="0.2">
      <c r="A116" s="20" t="str">
        <f t="shared" si="3"/>
        <v/>
      </c>
      <c r="B116" s="21"/>
      <c r="C116" s="22"/>
      <c r="D116" s="21"/>
      <c r="E116" s="22"/>
      <c r="F116" s="22"/>
      <c r="G116" s="22"/>
      <c r="H116" s="22"/>
      <c r="I116" s="22"/>
      <c r="J116" s="22"/>
      <c r="K116" s="22"/>
      <c r="L116" s="22"/>
      <c r="M116" s="22"/>
      <c r="N116" s="21"/>
      <c r="O116" s="21"/>
      <c r="P116" s="21"/>
      <c r="Q116" s="21"/>
      <c r="R116" s="21"/>
      <c r="S116" s="21"/>
      <c r="T116" s="21"/>
      <c r="U116" s="21"/>
      <c r="V116" s="21"/>
      <c r="W116" s="21"/>
    </row>
    <row r="117" spans="1:23"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21"/>
    </row>
    <row r="118" spans="1:23"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21"/>
    </row>
    <row r="119" spans="1:23"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21"/>
    </row>
    <row r="120" spans="1:23"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21"/>
    </row>
    <row r="121" spans="1:23"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21"/>
    </row>
    <row r="122" spans="1:23"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21"/>
    </row>
    <row r="123" spans="1:23"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21"/>
    </row>
    <row r="124" spans="1:23"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21"/>
    </row>
    <row r="125" spans="1:23"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21"/>
    </row>
    <row r="126" spans="1:23" x14ac:dyDescent="0.2">
      <c r="A126" s="20" t="str">
        <f t="shared" si="3"/>
        <v/>
      </c>
      <c r="B126" s="21"/>
      <c r="C126" s="22"/>
      <c r="D126" s="21"/>
      <c r="E126" s="22"/>
      <c r="F126" s="22"/>
      <c r="G126" s="22"/>
      <c r="H126" s="22"/>
      <c r="I126" s="22"/>
      <c r="J126" s="22"/>
      <c r="K126" s="22"/>
      <c r="L126" s="22"/>
      <c r="M126" s="22"/>
      <c r="N126" s="21"/>
      <c r="O126" s="21"/>
      <c r="P126" s="21"/>
      <c r="Q126" s="21"/>
      <c r="R126" s="21"/>
      <c r="S126" s="21"/>
      <c r="T126" s="21"/>
      <c r="U126" s="21"/>
      <c r="V126" s="21"/>
      <c r="W126" s="21"/>
    </row>
    <row r="127" spans="1:23" x14ac:dyDescent="0.2">
      <c r="A127" s="20" t="str">
        <f t="shared" si="3"/>
        <v/>
      </c>
      <c r="B127" s="21"/>
      <c r="C127" s="22"/>
      <c r="D127" s="21"/>
      <c r="E127" s="22"/>
      <c r="F127" s="22"/>
      <c r="G127" s="22"/>
      <c r="H127" s="22"/>
      <c r="I127" s="22"/>
      <c r="J127" s="22"/>
      <c r="K127" s="22"/>
      <c r="L127" s="22"/>
      <c r="M127" s="22"/>
      <c r="N127" s="21"/>
      <c r="O127" s="21"/>
      <c r="P127" s="21"/>
      <c r="Q127" s="21"/>
      <c r="R127" s="21"/>
      <c r="S127" s="21"/>
      <c r="T127" s="21"/>
      <c r="U127" s="21"/>
      <c r="V127" s="21"/>
      <c r="W127" s="21"/>
    </row>
    <row r="128" spans="1:23" x14ac:dyDescent="0.2">
      <c r="A128" s="20" t="str">
        <f t="shared" si="3"/>
        <v/>
      </c>
      <c r="B128" s="21"/>
      <c r="C128" s="22"/>
      <c r="D128" s="21"/>
      <c r="E128" s="22"/>
      <c r="F128" s="22"/>
      <c r="G128" s="22"/>
      <c r="H128" s="22"/>
      <c r="I128" s="22"/>
      <c r="J128" s="22"/>
      <c r="K128" s="22"/>
      <c r="L128" s="22"/>
      <c r="M128" s="22"/>
      <c r="N128" s="21"/>
      <c r="O128" s="21"/>
      <c r="P128" s="21"/>
      <c r="Q128" s="21"/>
      <c r="R128" s="21"/>
      <c r="S128" s="21"/>
      <c r="T128" s="21"/>
      <c r="U128" s="21"/>
      <c r="V128" s="21"/>
      <c r="W128" s="21"/>
    </row>
    <row r="129" spans="1:23" x14ac:dyDescent="0.2">
      <c r="A129" s="20" t="str">
        <f t="shared" si="3"/>
        <v/>
      </c>
      <c r="B129" s="21"/>
      <c r="C129" s="22"/>
      <c r="D129" s="21"/>
      <c r="E129" s="22"/>
      <c r="F129" s="22"/>
      <c r="G129" s="22"/>
      <c r="H129" s="22"/>
      <c r="I129" s="22"/>
      <c r="J129" s="22"/>
      <c r="K129" s="22"/>
      <c r="L129" s="22"/>
      <c r="M129" s="22"/>
      <c r="N129" s="21"/>
      <c r="O129" s="21"/>
      <c r="P129" s="21"/>
      <c r="Q129" s="21"/>
      <c r="R129" s="21"/>
      <c r="S129" s="21"/>
      <c r="T129" s="21"/>
      <c r="U129" s="21"/>
      <c r="V129" s="21"/>
      <c r="W129" s="21"/>
    </row>
    <row r="130" spans="1:23" x14ac:dyDescent="0.2">
      <c r="A130" s="20" t="str">
        <f t="shared" si="3"/>
        <v/>
      </c>
      <c r="B130" s="21"/>
      <c r="C130" s="22"/>
      <c r="D130" s="21"/>
      <c r="E130" s="22"/>
      <c r="F130" s="22"/>
      <c r="G130" s="22"/>
      <c r="H130" s="22"/>
      <c r="I130" s="22"/>
      <c r="J130" s="22"/>
      <c r="K130" s="22"/>
      <c r="L130" s="22"/>
      <c r="M130" s="22"/>
      <c r="N130" s="21"/>
      <c r="O130" s="21"/>
      <c r="P130" s="21"/>
      <c r="Q130" s="21"/>
      <c r="R130" s="21"/>
      <c r="S130" s="21"/>
      <c r="T130" s="21"/>
      <c r="U130" s="21"/>
      <c r="V130" s="21"/>
      <c r="W130" s="21"/>
    </row>
    <row r="131" spans="1:23" x14ac:dyDescent="0.2">
      <c r="A131" s="20" t="str">
        <f t="shared" si="3"/>
        <v/>
      </c>
      <c r="B131" s="21"/>
      <c r="C131" s="22"/>
      <c r="D131" s="21"/>
      <c r="E131" s="22"/>
      <c r="F131" s="22"/>
      <c r="G131" s="22"/>
      <c r="H131" s="22"/>
      <c r="I131" s="22"/>
      <c r="J131" s="22"/>
      <c r="K131" s="22"/>
      <c r="L131" s="22"/>
      <c r="M131" s="22"/>
      <c r="N131" s="21"/>
      <c r="O131" s="21"/>
      <c r="P131" s="21"/>
      <c r="Q131" s="21"/>
      <c r="R131" s="21"/>
      <c r="S131" s="21"/>
      <c r="T131" s="21"/>
      <c r="U131" s="21"/>
      <c r="V131" s="21"/>
      <c r="W131" s="21"/>
    </row>
    <row r="132" spans="1:23" x14ac:dyDescent="0.2">
      <c r="A132" s="20" t="str">
        <f t="shared" si="3"/>
        <v/>
      </c>
      <c r="B132" s="21"/>
      <c r="C132" s="22"/>
      <c r="D132" s="21"/>
      <c r="E132" s="22"/>
      <c r="F132" s="22"/>
      <c r="G132" s="22"/>
      <c r="H132" s="22"/>
      <c r="I132" s="22"/>
      <c r="J132" s="22"/>
      <c r="K132" s="22"/>
      <c r="L132" s="22"/>
      <c r="M132" s="22"/>
      <c r="N132" s="21"/>
      <c r="O132" s="21"/>
      <c r="P132" s="21"/>
      <c r="Q132" s="21"/>
      <c r="R132" s="21"/>
      <c r="S132" s="21"/>
      <c r="T132" s="21"/>
      <c r="U132" s="21"/>
      <c r="V132" s="21"/>
      <c r="W132" s="21"/>
    </row>
    <row r="133" spans="1:23" x14ac:dyDescent="0.2">
      <c r="A133" s="20" t="str">
        <f t="shared" si="3"/>
        <v/>
      </c>
      <c r="B133" s="21"/>
      <c r="C133" s="22"/>
      <c r="D133" s="21"/>
      <c r="E133" s="22"/>
      <c r="F133" s="22"/>
      <c r="G133" s="22"/>
      <c r="H133" s="22"/>
      <c r="I133" s="22"/>
      <c r="J133" s="22"/>
      <c r="K133" s="22"/>
      <c r="L133" s="22"/>
      <c r="M133" s="22"/>
      <c r="N133" s="21"/>
      <c r="O133" s="21"/>
      <c r="P133" s="21"/>
      <c r="Q133" s="21"/>
      <c r="R133" s="21"/>
      <c r="S133" s="21"/>
      <c r="T133" s="21"/>
      <c r="U133" s="21"/>
      <c r="V133" s="21"/>
      <c r="W133" s="21"/>
    </row>
    <row r="134" spans="1:23" x14ac:dyDescent="0.2">
      <c r="A134" s="20" t="str">
        <f t="shared" si="3"/>
        <v/>
      </c>
      <c r="B134" s="21"/>
      <c r="C134" s="22"/>
      <c r="D134" s="21"/>
      <c r="E134" s="22"/>
      <c r="F134" s="22"/>
      <c r="G134" s="22"/>
      <c r="H134" s="22"/>
      <c r="I134" s="22"/>
      <c r="J134" s="22"/>
      <c r="K134" s="22"/>
      <c r="L134" s="22"/>
      <c r="M134" s="22"/>
      <c r="N134" s="21"/>
      <c r="O134" s="21"/>
      <c r="P134" s="21"/>
      <c r="Q134" s="21"/>
      <c r="R134" s="21"/>
      <c r="S134" s="21"/>
      <c r="T134" s="21"/>
      <c r="U134" s="21"/>
      <c r="V134" s="21"/>
      <c r="W134" s="21"/>
    </row>
    <row r="135" spans="1:23" x14ac:dyDescent="0.2">
      <c r="A135" s="20" t="str">
        <f t="shared" si="3"/>
        <v/>
      </c>
      <c r="B135" s="21"/>
      <c r="C135" s="22"/>
      <c r="D135" s="21"/>
      <c r="E135" s="22"/>
      <c r="F135" s="22"/>
      <c r="G135" s="22"/>
      <c r="H135" s="22"/>
      <c r="I135" s="22"/>
      <c r="J135" s="22"/>
      <c r="K135" s="22"/>
      <c r="L135" s="22"/>
      <c r="M135" s="22"/>
      <c r="N135" s="21"/>
      <c r="O135" s="21"/>
      <c r="P135" s="21"/>
      <c r="Q135" s="21"/>
      <c r="R135" s="21"/>
      <c r="S135" s="21"/>
      <c r="T135" s="21"/>
      <c r="U135" s="21"/>
      <c r="V135" s="21"/>
      <c r="W135" s="21"/>
    </row>
    <row r="136" spans="1:23" x14ac:dyDescent="0.2">
      <c r="A136" s="20" t="str">
        <f t="shared" si="3"/>
        <v/>
      </c>
      <c r="B136" s="21"/>
      <c r="C136" s="22"/>
      <c r="D136" s="21"/>
      <c r="E136" s="22"/>
      <c r="F136" s="22"/>
      <c r="G136" s="22"/>
      <c r="H136" s="22"/>
      <c r="I136" s="22"/>
      <c r="J136" s="22"/>
      <c r="K136" s="22"/>
      <c r="L136" s="22"/>
      <c r="M136" s="22"/>
      <c r="N136" s="21"/>
      <c r="O136" s="21"/>
      <c r="P136" s="21"/>
      <c r="Q136" s="21"/>
      <c r="R136" s="21"/>
      <c r="S136" s="21"/>
      <c r="T136" s="21"/>
      <c r="U136" s="21"/>
      <c r="V136" s="21"/>
      <c r="W136" s="21"/>
    </row>
    <row r="137" spans="1:23" x14ac:dyDescent="0.2">
      <c r="A137" s="20" t="str">
        <f t="shared" si="3"/>
        <v/>
      </c>
      <c r="B137" s="21"/>
      <c r="C137" s="22"/>
      <c r="D137" s="21"/>
      <c r="E137" s="22"/>
      <c r="F137" s="22"/>
      <c r="G137" s="22"/>
      <c r="H137" s="22"/>
      <c r="I137" s="22"/>
      <c r="J137" s="22"/>
      <c r="K137" s="22"/>
      <c r="L137" s="22"/>
      <c r="M137" s="22"/>
      <c r="N137" s="21"/>
      <c r="O137" s="21"/>
      <c r="P137" s="21"/>
      <c r="Q137" s="21"/>
      <c r="R137" s="21"/>
      <c r="S137" s="21"/>
      <c r="T137" s="21"/>
      <c r="U137" s="21"/>
      <c r="V137" s="21"/>
      <c r="W137" s="21"/>
    </row>
    <row r="138" spans="1:23" x14ac:dyDescent="0.2">
      <c r="A138" s="20" t="str">
        <f t="shared" si="3"/>
        <v/>
      </c>
      <c r="B138" s="21"/>
      <c r="C138" s="22"/>
      <c r="D138" s="21"/>
      <c r="E138" s="22"/>
      <c r="F138" s="22"/>
      <c r="G138" s="22"/>
      <c r="H138" s="22"/>
      <c r="I138" s="22"/>
      <c r="J138" s="22"/>
      <c r="K138" s="22"/>
      <c r="L138" s="22"/>
      <c r="M138" s="22"/>
      <c r="N138" s="21"/>
      <c r="O138" s="21"/>
      <c r="P138" s="21"/>
      <c r="Q138" s="21"/>
      <c r="R138" s="21"/>
      <c r="S138" s="21"/>
      <c r="T138" s="21"/>
      <c r="U138" s="21"/>
      <c r="V138" s="21"/>
      <c r="W138" s="21"/>
    </row>
    <row r="139" spans="1:23" x14ac:dyDescent="0.2">
      <c r="A139" s="20" t="str">
        <f t="shared" si="3"/>
        <v/>
      </c>
      <c r="B139" s="21"/>
      <c r="C139" s="22"/>
      <c r="D139" s="21"/>
      <c r="E139" s="22"/>
      <c r="F139" s="22"/>
      <c r="G139" s="22"/>
      <c r="H139" s="22"/>
      <c r="I139" s="22"/>
      <c r="J139" s="22"/>
      <c r="K139" s="22"/>
      <c r="L139" s="22"/>
      <c r="M139" s="22"/>
      <c r="N139" s="21"/>
      <c r="O139" s="21"/>
      <c r="P139" s="21"/>
      <c r="Q139" s="21"/>
      <c r="R139" s="21"/>
      <c r="S139" s="21"/>
      <c r="T139" s="21"/>
      <c r="U139" s="21"/>
      <c r="V139" s="21"/>
      <c r="W139" s="21"/>
    </row>
    <row r="140" spans="1:23" x14ac:dyDescent="0.2">
      <c r="A140" s="20" t="str">
        <f t="shared" si="3"/>
        <v/>
      </c>
      <c r="B140" s="21"/>
      <c r="C140" s="22"/>
      <c r="D140" s="21"/>
      <c r="E140" s="22"/>
      <c r="F140" s="22"/>
      <c r="G140" s="22"/>
      <c r="H140" s="22"/>
      <c r="I140" s="22"/>
      <c r="J140" s="22"/>
      <c r="K140" s="22"/>
      <c r="L140" s="22"/>
      <c r="M140" s="22"/>
      <c r="N140" s="21"/>
      <c r="O140" s="21"/>
      <c r="P140" s="21"/>
      <c r="Q140" s="21"/>
      <c r="R140" s="21"/>
      <c r="S140" s="21"/>
      <c r="T140" s="21"/>
      <c r="U140" s="21"/>
      <c r="V140" s="21"/>
      <c r="W140" s="21"/>
    </row>
    <row r="141" spans="1:23" x14ac:dyDescent="0.2">
      <c r="A141" s="20" t="str">
        <f t="shared" si="3"/>
        <v/>
      </c>
      <c r="B141" s="21"/>
      <c r="C141" s="22"/>
      <c r="D141" s="21"/>
      <c r="E141" s="22"/>
      <c r="F141" s="22"/>
      <c r="G141" s="22"/>
      <c r="H141" s="22"/>
      <c r="I141" s="22"/>
      <c r="J141" s="22"/>
      <c r="K141" s="22"/>
      <c r="L141" s="22"/>
      <c r="M141" s="22"/>
      <c r="N141" s="21"/>
      <c r="O141" s="21"/>
      <c r="P141" s="21"/>
      <c r="Q141" s="21"/>
      <c r="R141" s="21"/>
      <c r="S141" s="21"/>
      <c r="T141" s="21"/>
      <c r="U141" s="21"/>
      <c r="V141" s="21"/>
      <c r="W141" s="21"/>
    </row>
    <row r="142" spans="1:23" x14ac:dyDescent="0.2">
      <c r="A142" s="20" t="str">
        <f t="shared" si="3"/>
        <v/>
      </c>
      <c r="B142" s="21"/>
      <c r="C142" s="22"/>
      <c r="D142" s="21"/>
      <c r="E142" s="22"/>
      <c r="F142" s="22"/>
      <c r="G142" s="22"/>
      <c r="H142" s="22"/>
      <c r="I142" s="22"/>
      <c r="J142" s="22"/>
      <c r="K142" s="22"/>
      <c r="L142" s="22"/>
      <c r="M142" s="22"/>
      <c r="N142" s="21"/>
      <c r="O142" s="21"/>
      <c r="P142" s="21"/>
      <c r="Q142" s="21"/>
      <c r="R142" s="21"/>
      <c r="S142" s="21"/>
      <c r="T142" s="21"/>
      <c r="U142" s="21"/>
      <c r="V142" s="21"/>
      <c r="W142" s="21"/>
    </row>
    <row r="143" spans="1:23" x14ac:dyDescent="0.2">
      <c r="A143" s="20" t="str">
        <f t="shared" si="3"/>
        <v/>
      </c>
      <c r="B143" s="21"/>
      <c r="C143" s="22"/>
      <c r="D143" s="21"/>
      <c r="E143" s="22"/>
      <c r="F143" s="22"/>
      <c r="G143" s="22"/>
      <c r="H143" s="22"/>
      <c r="I143" s="22"/>
      <c r="J143" s="22"/>
      <c r="K143" s="22"/>
      <c r="L143" s="22"/>
      <c r="M143" s="22"/>
      <c r="N143" s="21"/>
      <c r="O143" s="21"/>
      <c r="P143" s="21"/>
      <c r="Q143" s="21"/>
      <c r="R143" s="21"/>
      <c r="S143" s="21"/>
      <c r="T143" s="21"/>
      <c r="U143" s="21"/>
      <c r="V143" s="21"/>
      <c r="W143" s="21"/>
    </row>
    <row r="144" spans="1:23" x14ac:dyDescent="0.2">
      <c r="A144" s="20" t="str">
        <f t="shared" si="3"/>
        <v/>
      </c>
      <c r="B144" s="21"/>
      <c r="C144" s="22"/>
      <c r="D144" s="21"/>
      <c r="E144" s="22"/>
      <c r="F144" s="22"/>
      <c r="G144" s="22"/>
      <c r="H144" s="22"/>
      <c r="I144" s="22"/>
      <c r="J144" s="22"/>
      <c r="K144" s="22"/>
      <c r="L144" s="22"/>
      <c r="M144" s="22"/>
      <c r="N144" s="21"/>
      <c r="O144" s="21"/>
      <c r="P144" s="21"/>
      <c r="Q144" s="21"/>
      <c r="R144" s="21"/>
      <c r="S144" s="21"/>
      <c r="T144" s="21"/>
      <c r="U144" s="21"/>
      <c r="V144" s="21"/>
      <c r="W144" s="21"/>
    </row>
    <row r="145" spans="1:23" x14ac:dyDescent="0.2">
      <c r="A145" s="20" t="str">
        <f t="shared" ref="A145:A150" si="4">IF(OR(D145&lt;&gt;"", B145&lt;&gt;""), ROW()-1, "")</f>
        <v/>
      </c>
      <c r="B145" s="21"/>
      <c r="C145" s="22"/>
      <c r="D145" s="21"/>
      <c r="E145" s="22"/>
      <c r="F145" s="22"/>
      <c r="G145" s="22"/>
      <c r="H145" s="22"/>
      <c r="I145" s="22"/>
      <c r="J145" s="22"/>
      <c r="K145" s="22"/>
      <c r="L145" s="22"/>
      <c r="M145" s="22"/>
      <c r="N145" s="21"/>
      <c r="O145" s="21"/>
      <c r="P145" s="21"/>
      <c r="Q145" s="21"/>
      <c r="R145" s="21"/>
      <c r="S145" s="21"/>
      <c r="T145" s="21"/>
      <c r="U145" s="21"/>
      <c r="V145" s="21"/>
      <c r="W145" s="21"/>
    </row>
    <row r="146" spans="1:23" x14ac:dyDescent="0.2">
      <c r="A146" s="20" t="str">
        <f t="shared" si="4"/>
        <v/>
      </c>
      <c r="B146" s="21"/>
      <c r="C146" s="22"/>
      <c r="D146" s="21"/>
      <c r="E146" s="22"/>
      <c r="F146" s="22"/>
      <c r="G146" s="22"/>
      <c r="H146" s="22"/>
      <c r="I146" s="22"/>
      <c r="J146" s="22"/>
      <c r="K146" s="22"/>
      <c r="L146" s="22"/>
      <c r="M146" s="22"/>
      <c r="N146" s="21"/>
      <c r="O146" s="21"/>
      <c r="P146" s="21"/>
      <c r="Q146" s="21"/>
      <c r="R146" s="21"/>
      <c r="S146" s="21"/>
      <c r="T146" s="21"/>
      <c r="U146" s="21"/>
      <c r="V146" s="21"/>
      <c r="W146" s="21"/>
    </row>
    <row r="147" spans="1:23" x14ac:dyDescent="0.2">
      <c r="A147" s="20" t="str">
        <f t="shared" si="4"/>
        <v/>
      </c>
      <c r="B147" s="21"/>
      <c r="C147" s="22"/>
      <c r="D147" s="21"/>
      <c r="E147" s="22"/>
      <c r="F147" s="22"/>
      <c r="G147" s="22"/>
      <c r="H147" s="22"/>
      <c r="I147" s="22"/>
      <c r="J147" s="22"/>
      <c r="K147" s="22"/>
      <c r="L147" s="22"/>
      <c r="M147" s="22"/>
      <c r="N147" s="21"/>
      <c r="O147" s="21"/>
      <c r="P147" s="21"/>
      <c r="Q147" s="21"/>
      <c r="R147" s="21"/>
      <c r="S147" s="21"/>
      <c r="T147" s="21"/>
      <c r="U147" s="21"/>
      <c r="V147" s="21"/>
      <c r="W147" s="21"/>
    </row>
    <row r="148" spans="1:23" x14ac:dyDescent="0.2">
      <c r="A148" s="20" t="str">
        <f t="shared" si="4"/>
        <v/>
      </c>
      <c r="B148" s="21"/>
      <c r="C148" s="22"/>
      <c r="D148" s="21"/>
      <c r="E148" s="22"/>
      <c r="F148" s="22"/>
      <c r="G148" s="22"/>
      <c r="H148" s="22"/>
      <c r="I148" s="22"/>
      <c r="J148" s="22"/>
      <c r="K148" s="22"/>
      <c r="L148" s="22"/>
      <c r="M148" s="22"/>
      <c r="N148" s="21"/>
      <c r="O148" s="21"/>
      <c r="P148" s="21"/>
      <c r="Q148" s="21"/>
      <c r="R148" s="21"/>
      <c r="S148" s="21"/>
      <c r="T148" s="21"/>
      <c r="U148" s="21"/>
      <c r="V148" s="21"/>
      <c r="W148" s="21"/>
    </row>
    <row r="149" spans="1:23" x14ac:dyDescent="0.2">
      <c r="A149" s="20" t="str">
        <f t="shared" si="4"/>
        <v/>
      </c>
      <c r="B149" s="21"/>
      <c r="C149" s="22"/>
      <c r="D149" s="21"/>
      <c r="E149" s="22"/>
      <c r="F149" s="22"/>
      <c r="G149" s="22"/>
      <c r="H149" s="22"/>
      <c r="I149" s="22"/>
      <c r="J149" s="22"/>
      <c r="K149" s="22"/>
      <c r="L149" s="22"/>
      <c r="M149" s="22"/>
      <c r="N149" s="21"/>
      <c r="O149" s="21"/>
      <c r="P149" s="21"/>
      <c r="Q149" s="21"/>
      <c r="R149" s="21"/>
      <c r="S149" s="21"/>
      <c r="T149" s="21"/>
      <c r="U149" s="21"/>
      <c r="V149" s="21"/>
      <c r="W149" s="21"/>
    </row>
    <row r="150" spans="1:23" x14ac:dyDescent="0.2">
      <c r="A150" s="20" t="str">
        <f t="shared" si="4"/>
        <v/>
      </c>
      <c r="B150" s="21"/>
      <c r="C150" s="22"/>
      <c r="D150" s="21"/>
      <c r="E150" s="22"/>
      <c r="F150" s="22"/>
      <c r="G150" s="22"/>
      <c r="H150" s="22"/>
      <c r="I150" s="22"/>
      <c r="J150" s="22"/>
      <c r="K150" s="22"/>
      <c r="L150" s="22"/>
      <c r="M150" s="22"/>
      <c r="N150" s="21"/>
      <c r="O150" s="21"/>
      <c r="P150" s="21"/>
      <c r="Q150" s="21"/>
      <c r="R150" s="21"/>
      <c r="S150" s="21"/>
      <c r="T150" s="21"/>
      <c r="U150" s="21"/>
      <c r="V150" s="21"/>
      <c r="W150" s="21"/>
    </row>
  </sheetData>
  <dataValidations count="6">
    <dataValidation type="list" allowBlank="1" sqref="E2:E500" xr:uid="{00000000-0002-0000-0500-000000000000}">
      <formula1>"TODO,IN_PROGRESS,IN_REVIEW,DONE"</formula1>
    </dataValidation>
    <dataValidation type="list" allowBlank="1" sqref="F2:F500" xr:uid="{00000000-0002-0000-0500-000001000000}">
      <formula1>"LOW,MEDIUM,HIGH,CRITICAL"</formula1>
    </dataValidation>
    <dataValidation type="list" allowBlank="1" sqref="G2:G500" xr:uid="{00000000-0002-0000-0500-000002000000}">
      <formula1>"NEW_APPLICATION,ENHANCEMENT,BUG,MAINTENANCE,MIGRATION"</formula1>
    </dataValidation>
    <dataValidation type="list" allowBlank="1" sqref="I2:I35 I38:I500" xr:uid="{00000000-0002-0000-0500-000004000000}">
      <formula1>"UI_BUG,FUNCTIONAL_BUG,INTEGRATION_BUG,DATA_BUG,PERFORMANCE_BUG,SECURITY_BUG,OTHER"</formula1>
    </dataValidation>
    <dataValidation type="list" allowBlank="1" sqref="H2:H500" xr:uid="{00000000-0002-0000-0500-000003000000}">
      <formula1>"Administration, Approval, BRD, Claim Management, Master Data, My Task, Policy Automation, Power Automate, Project, Reinsurance, Retail, SAP FI, SAP MM, SLA, TICS Reporting, TTS, Ticket Daily, Timeline Timesheet "</formula1>
    </dataValidation>
    <dataValidation type="list" allowBlank="1" showInputMessage="1" showErrorMessage="1" sqref="Z2:Z1048576" xr:uid="{ED614A64-58A7-49CA-A7CD-38DAB2E77F64}">
      <formula1>"Requirement,System Design,Implementation,Testing,Deployment,Maintenance"</formula1>
    </dataValidation>
  </dataValidations>
  <hyperlinks>
    <hyperlink ref="W29" r:id="rId1" xr:uid="{00E48CD2-5D3F-4EF4-B312-C16BD67F87E3}"/>
    <hyperlink ref="W32" r:id="rId2" xr:uid="{7AA77CFC-5BBA-45F4-BF98-FE550FB7A023}"/>
    <hyperlink ref="W38" r:id="rId3" xr:uid="{E9177585-3D33-4DC7-856F-7D30747F2A83}"/>
    <hyperlink ref="W39" r:id="rId4" xr:uid="{5C9F16DB-2432-4164-A262-FE5677358A39}"/>
    <hyperlink ref="W40" r:id="rId5" xr:uid="{CD92B413-98A9-441A-8630-F32AB38CC5E6}"/>
    <hyperlink ref="W22" r:id="rId6" xr:uid="{A921F59D-9EA2-4E52-A81E-B2539B91C03A}"/>
    <hyperlink ref="W21" r:id="rId7" xr:uid="{212564F0-7ED3-4452-9DB3-16DE208CFDF8}"/>
    <hyperlink ref="X43" r:id="rId8" xr:uid="{FEDDFF28-7692-4DC8-BDCD-4929993DA25F}"/>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49"/>
  <sheetViews>
    <sheetView zoomScale="158" workbookViewId="0">
      <pane ySplit="1" topLeftCell="A53" activePane="bottomLeft" state="frozen"/>
      <selection pane="bottomLeft" activeCell="D74" sqref="D74"/>
    </sheetView>
  </sheetViews>
  <sheetFormatPr baseColWidth="10" defaultColWidth="8.83203125" defaultRowHeight="15" x14ac:dyDescent="0.2"/>
  <cols>
    <col min="1" max="1" width="6" customWidth="1"/>
    <col min="2" max="2" width="28" customWidth="1"/>
    <col min="3" max="3" width="18" customWidth="1"/>
    <col min="4" max="4" width="43.8320312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2" width="30" customWidth="1"/>
    <col min="23" max="23" width="39" customWidth="1"/>
    <col min="24" max="24" width="15" customWidth="1"/>
    <col min="25" max="25" width="12.33203125" customWidth="1"/>
  </cols>
  <sheetData>
    <row r="1" spans="1:26" ht="28" customHeight="1" x14ac:dyDescent="0.2">
      <c r="A1" s="31" t="s">
        <v>138</v>
      </c>
      <c r="B1" s="31" t="s">
        <v>0</v>
      </c>
      <c r="C1" s="31" t="s">
        <v>1</v>
      </c>
      <c r="D1" s="31" t="s">
        <v>139</v>
      </c>
      <c r="E1" s="31" t="s">
        <v>140</v>
      </c>
      <c r="F1" s="31" t="s">
        <v>141</v>
      </c>
      <c r="G1" s="31" t="s">
        <v>142</v>
      </c>
      <c r="H1" s="31" t="s">
        <v>143</v>
      </c>
      <c r="I1" s="31" t="s">
        <v>144</v>
      </c>
      <c r="J1" s="31" t="s">
        <v>145</v>
      </c>
      <c r="K1" s="31" t="s">
        <v>146</v>
      </c>
      <c r="L1" s="31" t="s">
        <v>147</v>
      </c>
      <c r="M1" s="31" t="s">
        <v>148</v>
      </c>
      <c r="N1" s="31" t="s">
        <v>149</v>
      </c>
      <c r="O1" s="31" t="s">
        <v>150</v>
      </c>
      <c r="P1" s="31" t="s">
        <v>151</v>
      </c>
      <c r="Q1" s="31" t="s">
        <v>152</v>
      </c>
      <c r="R1" s="31" t="s">
        <v>153</v>
      </c>
      <c r="S1" s="31" t="s">
        <v>154</v>
      </c>
      <c r="T1" s="31" t="s">
        <v>155</v>
      </c>
      <c r="U1" s="31" t="s">
        <v>156</v>
      </c>
      <c r="V1" s="31" t="s">
        <v>157</v>
      </c>
      <c r="W1" s="31" t="s">
        <v>158</v>
      </c>
      <c r="X1" s="31" t="s">
        <v>159</v>
      </c>
      <c r="Y1" s="31" t="s">
        <v>160</v>
      </c>
      <c r="Z1" s="31" t="s">
        <v>161</v>
      </c>
    </row>
    <row r="2" spans="1:26" ht="60" x14ac:dyDescent="0.2">
      <c r="A2" s="20">
        <f t="shared" ref="A2:A33" si="0">IF(OR(D2&lt;&gt;"", B2&lt;&gt;""), ROW()-1, "")</f>
        <v>1</v>
      </c>
      <c r="B2" s="21" t="s">
        <v>170</v>
      </c>
      <c r="C2" s="22"/>
      <c r="D2" s="21" t="s">
        <v>565</v>
      </c>
      <c r="E2" s="22" t="s">
        <v>109</v>
      </c>
      <c r="F2" s="22" t="s">
        <v>172</v>
      </c>
      <c r="G2" s="22" t="s">
        <v>179</v>
      </c>
      <c r="H2" s="22" t="s">
        <v>173</v>
      </c>
      <c r="I2" s="22"/>
      <c r="J2" s="23">
        <v>1</v>
      </c>
      <c r="K2" s="24">
        <v>46239</v>
      </c>
      <c r="L2" s="24">
        <v>46239</v>
      </c>
      <c r="M2" s="24">
        <v>46239</v>
      </c>
      <c r="N2" s="21" t="s">
        <v>174</v>
      </c>
      <c r="O2" s="21" t="s">
        <v>166</v>
      </c>
      <c r="P2" s="21"/>
      <c r="Q2" s="21"/>
      <c r="R2" s="21"/>
      <c r="S2" s="21" t="s">
        <v>175</v>
      </c>
      <c r="T2" s="21" t="s">
        <v>167</v>
      </c>
      <c r="U2" s="21"/>
      <c r="V2" s="21"/>
      <c r="W2" s="21" t="s">
        <v>566</v>
      </c>
    </row>
    <row r="3" spans="1:26" x14ac:dyDescent="0.2">
      <c r="A3" s="20">
        <f t="shared" si="0"/>
        <v>2</v>
      </c>
      <c r="B3" s="21" t="s">
        <v>170</v>
      </c>
      <c r="C3" s="22"/>
      <c r="D3" s="21" t="s">
        <v>567</v>
      </c>
      <c r="E3" s="22" t="s">
        <v>109</v>
      </c>
      <c r="F3" s="22" t="s">
        <v>172</v>
      </c>
      <c r="G3" s="22" t="s">
        <v>179</v>
      </c>
      <c r="H3" s="22" t="s">
        <v>173</v>
      </c>
      <c r="I3" s="22"/>
      <c r="J3" s="23">
        <v>1</v>
      </c>
      <c r="K3" s="24">
        <v>46240</v>
      </c>
      <c r="L3" s="24">
        <v>46240</v>
      </c>
      <c r="M3" s="24">
        <v>46240</v>
      </c>
      <c r="N3" s="21" t="s">
        <v>174</v>
      </c>
      <c r="O3" s="21" t="s">
        <v>166</v>
      </c>
      <c r="P3" s="21"/>
      <c r="Q3" s="21"/>
      <c r="R3" s="21"/>
      <c r="S3" s="21" t="s">
        <v>175</v>
      </c>
      <c r="T3" s="21" t="s">
        <v>167</v>
      </c>
      <c r="U3" s="21"/>
      <c r="V3" s="21"/>
      <c r="W3" s="21"/>
    </row>
    <row r="4" spans="1:26" ht="60" x14ac:dyDescent="0.2">
      <c r="A4" s="20">
        <f t="shared" si="0"/>
        <v>3</v>
      </c>
      <c r="B4" s="21" t="s">
        <v>170</v>
      </c>
      <c r="C4" s="22"/>
      <c r="D4" s="21" t="s">
        <v>568</v>
      </c>
      <c r="E4" s="22" t="s">
        <v>109</v>
      </c>
      <c r="F4" s="22" t="s">
        <v>163</v>
      </c>
      <c r="G4" s="22" t="s">
        <v>179</v>
      </c>
      <c r="H4" s="22" t="s">
        <v>173</v>
      </c>
      <c r="I4" s="22"/>
      <c r="J4" s="23">
        <v>1</v>
      </c>
      <c r="K4" s="24">
        <v>46241</v>
      </c>
      <c r="L4" s="24">
        <v>46247</v>
      </c>
      <c r="M4" s="24">
        <v>46247</v>
      </c>
      <c r="N4" s="21" t="s">
        <v>174</v>
      </c>
      <c r="O4" s="21" t="s">
        <v>166</v>
      </c>
      <c r="P4" s="21"/>
      <c r="Q4" s="21"/>
      <c r="R4" s="21"/>
      <c r="S4" s="21" t="s">
        <v>175</v>
      </c>
      <c r="T4" s="21" t="s">
        <v>167</v>
      </c>
      <c r="U4" s="21"/>
      <c r="V4" s="21" t="s">
        <v>569</v>
      </c>
      <c r="W4" s="21" t="s">
        <v>570</v>
      </c>
    </row>
    <row r="5" spans="1:26" ht="30" x14ac:dyDescent="0.2">
      <c r="A5" s="20">
        <f t="shared" si="0"/>
        <v>4</v>
      </c>
      <c r="B5" s="21" t="s">
        <v>170</v>
      </c>
      <c r="C5" s="22"/>
      <c r="D5" s="21" t="s">
        <v>571</v>
      </c>
      <c r="E5" s="22" t="s">
        <v>109</v>
      </c>
      <c r="F5" s="22" t="s">
        <v>172</v>
      </c>
      <c r="G5" s="22" t="s">
        <v>179</v>
      </c>
      <c r="H5" s="22" t="s">
        <v>173</v>
      </c>
      <c r="I5" s="22"/>
      <c r="J5" s="23">
        <v>1</v>
      </c>
      <c r="K5" s="24">
        <v>46244</v>
      </c>
      <c r="L5" s="24">
        <v>46244</v>
      </c>
      <c r="M5" s="24">
        <v>46244</v>
      </c>
      <c r="N5" s="21" t="s">
        <v>174</v>
      </c>
      <c r="O5" s="21" t="s">
        <v>166</v>
      </c>
      <c r="P5" s="21"/>
      <c r="Q5" s="21"/>
      <c r="R5" s="21"/>
      <c r="S5" s="21" t="s">
        <v>175</v>
      </c>
      <c r="T5" s="21" t="s">
        <v>167</v>
      </c>
      <c r="U5" s="21"/>
      <c r="V5" s="21"/>
      <c r="W5" s="21"/>
    </row>
    <row r="6" spans="1:26" x14ac:dyDescent="0.2">
      <c r="A6" s="20">
        <f t="shared" si="0"/>
        <v>5</v>
      </c>
      <c r="B6" s="21" t="s">
        <v>170</v>
      </c>
      <c r="C6" s="22"/>
      <c r="D6" s="21" t="s">
        <v>572</v>
      </c>
      <c r="E6" s="22" t="s">
        <v>109</v>
      </c>
      <c r="F6" s="22" t="s">
        <v>163</v>
      </c>
      <c r="G6" s="22" t="s">
        <v>179</v>
      </c>
      <c r="H6" s="22" t="s">
        <v>173</v>
      </c>
      <c r="I6" s="22"/>
      <c r="J6" s="23">
        <v>1</v>
      </c>
      <c r="K6" s="24">
        <v>46244</v>
      </c>
      <c r="L6" s="24">
        <v>46248</v>
      </c>
      <c r="M6" s="24">
        <v>46248</v>
      </c>
      <c r="N6" s="21" t="s">
        <v>174</v>
      </c>
      <c r="O6" s="21" t="s">
        <v>166</v>
      </c>
      <c r="P6" s="21"/>
      <c r="Q6" s="21"/>
      <c r="R6" s="21"/>
      <c r="S6" s="21" t="s">
        <v>175</v>
      </c>
      <c r="T6" s="21" t="s">
        <v>167</v>
      </c>
      <c r="U6" s="21"/>
      <c r="V6" s="21"/>
      <c r="W6" s="21"/>
    </row>
    <row r="7" spans="1:26" x14ac:dyDescent="0.2">
      <c r="A7" s="20">
        <f t="shared" si="0"/>
        <v>6</v>
      </c>
      <c r="B7" s="21" t="s">
        <v>170</v>
      </c>
      <c r="C7" s="22"/>
      <c r="D7" s="21" t="s">
        <v>573</v>
      </c>
      <c r="E7" s="22" t="s">
        <v>109</v>
      </c>
      <c r="F7" s="22" t="s">
        <v>163</v>
      </c>
      <c r="G7" s="22" t="s">
        <v>179</v>
      </c>
      <c r="H7" s="22" t="s">
        <v>173</v>
      </c>
      <c r="I7" s="22"/>
      <c r="J7" s="23">
        <v>1</v>
      </c>
      <c r="K7" s="24">
        <v>46244</v>
      </c>
      <c r="L7" s="24">
        <v>46248</v>
      </c>
      <c r="M7" s="24">
        <v>46248</v>
      </c>
      <c r="N7" s="21" t="s">
        <v>174</v>
      </c>
      <c r="O7" s="21" t="s">
        <v>166</v>
      </c>
      <c r="P7" s="21"/>
      <c r="Q7" s="21"/>
      <c r="R7" s="21"/>
      <c r="S7" s="21" t="s">
        <v>175</v>
      </c>
      <c r="T7" s="21" t="s">
        <v>167</v>
      </c>
      <c r="U7" s="21"/>
      <c r="V7" s="21"/>
      <c r="W7" s="21"/>
    </row>
    <row r="8" spans="1:26" ht="30" x14ac:dyDescent="0.2">
      <c r="A8" s="20">
        <f t="shared" si="0"/>
        <v>7</v>
      </c>
      <c r="B8" s="21" t="s">
        <v>170</v>
      </c>
      <c r="C8" s="22"/>
      <c r="D8" s="21" t="s">
        <v>408</v>
      </c>
      <c r="E8" s="22" t="s">
        <v>109</v>
      </c>
      <c r="F8" s="22" t="s">
        <v>172</v>
      </c>
      <c r="G8" s="22" t="s">
        <v>179</v>
      </c>
      <c r="H8" s="22" t="s">
        <v>173</v>
      </c>
      <c r="I8" s="22"/>
      <c r="J8" s="23">
        <v>1</v>
      </c>
      <c r="K8" s="24">
        <v>46245</v>
      </c>
      <c r="L8" s="24">
        <v>46245</v>
      </c>
      <c r="M8" s="24">
        <v>46245</v>
      </c>
      <c r="N8" s="21" t="s">
        <v>174</v>
      </c>
      <c r="O8" s="21" t="s">
        <v>166</v>
      </c>
      <c r="P8" s="21"/>
      <c r="Q8" s="21"/>
      <c r="R8" s="21"/>
      <c r="S8" s="21" t="s">
        <v>175</v>
      </c>
      <c r="T8" s="21" t="s">
        <v>167</v>
      </c>
      <c r="U8" s="21"/>
      <c r="V8" s="21"/>
      <c r="W8" s="21"/>
    </row>
    <row r="9" spans="1:26" ht="60" x14ac:dyDescent="0.2">
      <c r="A9" s="20">
        <f t="shared" si="0"/>
        <v>8</v>
      </c>
      <c r="B9" s="21" t="s">
        <v>170</v>
      </c>
      <c r="C9" s="22"/>
      <c r="D9" s="21" t="s">
        <v>574</v>
      </c>
      <c r="E9" s="22" t="s">
        <v>109</v>
      </c>
      <c r="F9" s="22" t="s">
        <v>163</v>
      </c>
      <c r="G9" s="22" t="s">
        <v>179</v>
      </c>
      <c r="H9" s="22" t="s">
        <v>173</v>
      </c>
      <c r="I9" s="22"/>
      <c r="J9" s="23">
        <v>1</v>
      </c>
      <c r="K9" s="24">
        <v>46248</v>
      </c>
      <c r="L9" s="24">
        <v>46252</v>
      </c>
      <c r="M9" s="24">
        <v>46252</v>
      </c>
      <c r="N9" s="21" t="s">
        <v>174</v>
      </c>
      <c r="O9" s="21" t="s">
        <v>166</v>
      </c>
      <c r="P9" s="21"/>
      <c r="Q9" s="21"/>
      <c r="R9" s="21"/>
      <c r="S9" s="21" t="s">
        <v>175</v>
      </c>
      <c r="T9" s="21" t="s">
        <v>167</v>
      </c>
      <c r="U9" s="21"/>
      <c r="V9" s="21"/>
      <c r="W9" s="21" t="s">
        <v>575</v>
      </c>
    </row>
    <row r="10" spans="1:26" ht="60" x14ac:dyDescent="0.2">
      <c r="A10" s="20">
        <f t="shared" si="0"/>
        <v>9</v>
      </c>
      <c r="B10" s="21" t="s">
        <v>170</v>
      </c>
      <c r="C10" s="22"/>
      <c r="D10" s="21" t="s">
        <v>576</v>
      </c>
      <c r="E10" s="22" t="s">
        <v>109</v>
      </c>
      <c r="F10" s="22" t="s">
        <v>163</v>
      </c>
      <c r="G10" s="22" t="s">
        <v>179</v>
      </c>
      <c r="H10" s="22" t="s">
        <v>173</v>
      </c>
      <c r="I10" s="22"/>
      <c r="J10" s="23">
        <v>1</v>
      </c>
      <c r="K10" s="24">
        <v>46248</v>
      </c>
      <c r="L10" s="24">
        <v>46252</v>
      </c>
      <c r="M10" s="24">
        <v>46252</v>
      </c>
      <c r="N10" s="21" t="s">
        <v>174</v>
      </c>
      <c r="O10" s="21" t="s">
        <v>166</v>
      </c>
      <c r="P10" s="21"/>
      <c r="Q10" s="21"/>
      <c r="R10" s="21"/>
      <c r="S10" s="21" t="s">
        <v>175</v>
      </c>
      <c r="T10" s="21" t="s">
        <v>167</v>
      </c>
      <c r="U10" s="21"/>
      <c r="V10" s="21"/>
      <c r="W10" s="21" t="s">
        <v>577</v>
      </c>
    </row>
    <row r="11" spans="1:26" ht="75" x14ac:dyDescent="0.2">
      <c r="A11" s="20">
        <f t="shared" si="0"/>
        <v>10</v>
      </c>
      <c r="B11" s="21" t="s">
        <v>170</v>
      </c>
      <c r="C11" s="22"/>
      <c r="D11" s="21" t="s">
        <v>578</v>
      </c>
      <c r="E11" s="22" t="s">
        <v>109</v>
      </c>
      <c r="F11" s="22" t="s">
        <v>163</v>
      </c>
      <c r="G11" s="22" t="s">
        <v>179</v>
      </c>
      <c r="H11" s="22" t="s">
        <v>173</v>
      </c>
      <c r="I11" s="22"/>
      <c r="J11" s="23">
        <v>1</v>
      </c>
      <c r="K11" s="24">
        <v>46252</v>
      </c>
      <c r="L11" s="24">
        <v>46252</v>
      </c>
      <c r="M11" s="24">
        <v>46252</v>
      </c>
      <c r="N11" s="21" t="s">
        <v>174</v>
      </c>
      <c r="O11" s="21" t="s">
        <v>166</v>
      </c>
      <c r="P11" s="21"/>
      <c r="Q11" s="21"/>
      <c r="R11" s="21"/>
      <c r="S11" s="21" t="s">
        <v>175</v>
      </c>
      <c r="T11" s="21" t="s">
        <v>167</v>
      </c>
      <c r="U11" s="21"/>
      <c r="V11" s="21"/>
      <c r="W11" s="21" t="s">
        <v>579</v>
      </c>
    </row>
    <row r="12" spans="1:26" ht="60" x14ac:dyDescent="0.2">
      <c r="A12" s="20">
        <f t="shared" si="0"/>
        <v>11</v>
      </c>
      <c r="B12" s="21" t="s">
        <v>170</v>
      </c>
      <c r="C12" s="22"/>
      <c r="D12" s="21" t="s">
        <v>580</v>
      </c>
      <c r="E12" s="22" t="s">
        <v>109</v>
      </c>
      <c r="F12" s="22" t="s">
        <v>163</v>
      </c>
      <c r="G12" s="22" t="s">
        <v>179</v>
      </c>
      <c r="H12" s="22" t="s">
        <v>173</v>
      </c>
      <c r="I12" s="22"/>
      <c r="J12" s="23">
        <v>1</v>
      </c>
      <c r="K12" s="24">
        <v>46252</v>
      </c>
      <c r="L12" s="24">
        <v>46254</v>
      </c>
      <c r="M12" s="24">
        <v>46254</v>
      </c>
      <c r="N12" s="21" t="s">
        <v>174</v>
      </c>
      <c r="O12" s="21" t="s">
        <v>166</v>
      </c>
      <c r="P12" s="21"/>
      <c r="Q12" s="21"/>
      <c r="R12" s="21"/>
      <c r="S12" s="21" t="s">
        <v>175</v>
      </c>
      <c r="T12" s="21" t="s">
        <v>167</v>
      </c>
      <c r="U12" s="21"/>
      <c r="V12" s="21"/>
      <c r="W12" s="21" t="s">
        <v>581</v>
      </c>
    </row>
    <row r="13" spans="1:26" ht="45" x14ac:dyDescent="0.2">
      <c r="A13" s="20">
        <f t="shared" si="0"/>
        <v>12</v>
      </c>
      <c r="B13" s="21" t="s">
        <v>170</v>
      </c>
      <c r="C13" s="22"/>
      <c r="D13" s="21" t="s">
        <v>582</v>
      </c>
      <c r="E13" s="22" t="s">
        <v>109</v>
      </c>
      <c r="F13" s="22" t="s">
        <v>163</v>
      </c>
      <c r="G13" s="22" t="s">
        <v>179</v>
      </c>
      <c r="H13" s="22" t="s">
        <v>173</v>
      </c>
      <c r="I13" s="22"/>
      <c r="J13" s="23">
        <v>1</v>
      </c>
      <c r="K13" s="24">
        <v>46253</v>
      </c>
      <c r="L13" s="24">
        <v>46253</v>
      </c>
      <c r="M13" s="24">
        <v>46253</v>
      </c>
      <c r="N13" s="21" t="s">
        <v>174</v>
      </c>
      <c r="O13" s="21" t="s">
        <v>166</v>
      </c>
      <c r="P13" s="21"/>
      <c r="Q13" s="21"/>
      <c r="R13" s="21"/>
      <c r="S13" s="21" t="s">
        <v>175</v>
      </c>
      <c r="T13" s="21" t="s">
        <v>167</v>
      </c>
      <c r="U13" s="21"/>
      <c r="V13" s="21"/>
      <c r="W13" s="21" t="s">
        <v>583</v>
      </c>
    </row>
    <row r="14" spans="1:26" ht="45" x14ac:dyDescent="0.2">
      <c r="A14" s="20">
        <f t="shared" si="0"/>
        <v>13</v>
      </c>
      <c r="B14" s="21" t="s">
        <v>170</v>
      </c>
      <c r="C14" s="22"/>
      <c r="D14" s="21" t="s">
        <v>584</v>
      </c>
      <c r="E14" s="22" t="s">
        <v>109</v>
      </c>
      <c r="F14" s="22" t="s">
        <v>163</v>
      </c>
      <c r="G14" s="22" t="s">
        <v>179</v>
      </c>
      <c r="H14" s="22" t="s">
        <v>173</v>
      </c>
      <c r="I14" s="22"/>
      <c r="J14" s="23">
        <v>1</v>
      </c>
      <c r="K14" s="24">
        <v>46253</v>
      </c>
      <c r="L14" s="24">
        <v>46254</v>
      </c>
      <c r="M14" s="24">
        <v>46254</v>
      </c>
      <c r="N14" s="21" t="s">
        <v>174</v>
      </c>
      <c r="O14" s="21" t="s">
        <v>166</v>
      </c>
      <c r="P14" s="21"/>
      <c r="Q14" s="21"/>
      <c r="R14" s="21"/>
      <c r="S14" s="21" t="s">
        <v>175</v>
      </c>
      <c r="T14" s="21" t="s">
        <v>167</v>
      </c>
      <c r="U14" s="21"/>
      <c r="V14" s="21"/>
      <c r="W14" s="21" t="s">
        <v>585</v>
      </c>
    </row>
    <row r="15" spans="1:26" ht="30" x14ac:dyDescent="0.2">
      <c r="A15" s="20">
        <f t="shared" si="0"/>
        <v>14</v>
      </c>
      <c r="B15" s="21" t="s">
        <v>170</v>
      </c>
      <c r="C15" s="22"/>
      <c r="D15" s="21" t="s">
        <v>586</v>
      </c>
      <c r="E15" s="22" t="s">
        <v>109</v>
      </c>
      <c r="F15" s="22" t="s">
        <v>163</v>
      </c>
      <c r="G15" s="22" t="s">
        <v>179</v>
      </c>
      <c r="H15" s="22" t="s">
        <v>173</v>
      </c>
      <c r="I15" s="22"/>
      <c r="J15" s="23">
        <v>1</v>
      </c>
      <c r="K15" s="24">
        <v>46254</v>
      </c>
      <c r="L15" s="24">
        <v>46254</v>
      </c>
      <c r="M15" s="24">
        <v>46254</v>
      </c>
      <c r="N15" s="21" t="s">
        <v>174</v>
      </c>
      <c r="O15" s="21" t="s">
        <v>166</v>
      </c>
      <c r="P15" s="21"/>
      <c r="Q15" s="21"/>
      <c r="R15" s="21"/>
      <c r="S15" s="21" t="s">
        <v>175</v>
      </c>
      <c r="T15" s="21" t="s">
        <v>167</v>
      </c>
      <c r="U15" s="21"/>
      <c r="V15" s="21"/>
      <c r="W15" s="21"/>
    </row>
    <row r="16" spans="1:26" x14ac:dyDescent="0.2">
      <c r="A16" s="20">
        <f t="shared" si="0"/>
        <v>15</v>
      </c>
      <c r="B16" s="21" t="s">
        <v>170</v>
      </c>
      <c r="C16" s="22"/>
      <c r="D16" s="21" t="s">
        <v>587</v>
      </c>
      <c r="E16" s="22" t="s">
        <v>109</v>
      </c>
      <c r="F16" s="22" t="s">
        <v>203</v>
      </c>
      <c r="G16" s="22" t="s">
        <v>179</v>
      </c>
      <c r="H16" s="22" t="s">
        <v>173</v>
      </c>
      <c r="I16" s="22"/>
      <c r="J16" s="23">
        <v>1</v>
      </c>
      <c r="K16" s="24">
        <v>46254</v>
      </c>
      <c r="L16" s="24">
        <v>46254</v>
      </c>
      <c r="M16" s="24">
        <v>46254</v>
      </c>
      <c r="N16" s="21" t="s">
        <v>174</v>
      </c>
      <c r="O16" s="21" t="s">
        <v>166</v>
      </c>
      <c r="P16" s="21"/>
      <c r="Q16" s="21"/>
      <c r="R16" s="21"/>
      <c r="S16" s="21" t="s">
        <v>175</v>
      </c>
      <c r="T16" s="21" t="s">
        <v>167</v>
      </c>
      <c r="U16" s="21"/>
      <c r="V16" s="21"/>
      <c r="W16" s="21"/>
    </row>
    <row r="17" spans="1:23" ht="30" x14ac:dyDescent="0.2">
      <c r="A17" s="20">
        <f t="shared" si="0"/>
        <v>16</v>
      </c>
      <c r="B17" s="21" t="s">
        <v>170</v>
      </c>
      <c r="C17" s="22"/>
      <c r="D17" s="21" t="s">
        <v>588</v>
      </c>
      <c r="E17" s="22" t="s">
        <v>109</v>
      </c>
      <c r="F17" s="22" t="s">
        <v>163</v>
      </c>
      <c r="G17" s="22" t="s">
        <v>179</v>
      </c>
      <c r="H17" s="22" t="s">
        <v>173</v>
      </c>
      <c r="I17" s="22"/>
      <c r="J17" s="23">
        <v>1</v>
      </c>
      <c r="K17" s="24">
        <v>46254</v>
      </c>
      <c r="L17" s="24">
        <v>46255</v>
      </c>
      <c r="M17" s="24">
        <v>46255</v>
      </c>
      <c r="N17" s="21" t="s">
        <v>174</v>
      </c>
      <c r="O17" s="21" t="s">
        <v>166</v>
      </c>
      <c r="P17" s="21"/>
      <c r="Q17" s="21"/>
      <c r="R17" s="21"/>
      <c r="S17" s="21" t="s">
        <v>175</v>
      </c>
      <c r="T17" s="21" t="s">
        <v>167</v>
      </c>
      <c r="U17" s="21"/>
      <c r="V17" s="21"/>
      <c r="W17" s="21"/>
    </row>
    <row r="18" spans="1:23" ht="30" x14ac:dyDescent="0.2">
      <c r="A18" s="20">
        <f t="shared" si="0"/>
        <v>17</v>
      </c>
      <c r="B18" s="21" t="s">
        <v>170</v>
      </c>
      <c r="C18" s="22"/>
      <c r="D18" s="21" t="s">
        <v>589</v>
      </c>
      <c r="E18" s="22" t="s">
        <v>109</v>
      </c>
      <c r="F18" s="22" t="s">
        <v>163</v>
      </c>
      <c r="G18" s="22" t="s">
        <v>179</v>
      </c>
      <c r="H18" s="22" t="s">
        <v>173</v>
      </c>
      <c r="I18" s="22"/>
      <c r="J18" s="23">
        <v>1</v>
      </c>
      <c r="K18" s="24">
        <v>46255</v>
      </c>
      <c r="L18" s="24">
        <v>46258</v>
      </c>
      <c r="M18" s="24">
        <v>46258</v>
      </c>
      <c r="N18" s="21" t="s">
        <v>174</v>
      </c>
      <c r="O18" s="21" t="s">
        <v>166</v>
      </c>
      <c r="P18" s="21"/>
      <c r="Q18" s="21"/>
      <c r="R18" s="21"/>
      <c r="S18" s="21" t="s">
        <v>175</v>
      </c>
      <c r="T18" s="21" t="s">
        <v>167</v>
      </c>
      <c r="U18" s="21"/>
      <c r="V18" s="21"/>
      <c r="W18" s="21"/>
    </row>
    <row r="19" spans="1:23" ht="45" x14ac:dyDescent="0.2">
      <c r="A19" s="20">
        <f t="shared" si="0"/>
        <v>18</v>
      </c>
      <c r="B19" s="21" t="s">
        <v>170</v>
      </c>
      <c r="C19" s="22"/>
      <c r="D19" s="21" t="s">
        <v>590</v>
      </c>
      <c r="E19" s="22" t="s">
        <v>109</v>
      </c>
      <c r="F19" s="22" t="s">
        <v>163</v>
      </c>
      <c r="G19" s="22" t="s">
        <v>179</v>
      </c>
      <c r="H19" s="22" t="s">
        <v>173</v>
      </c>
      <c r="I19" s="22"/>
      <c r="J19" s="23">
        <v>1</v>
      </c>
      <c r="K19" s="24">
        <v>46258</v>
      </c>
      <c r="L19" s="24">
        <v>46258</v>
      </c>
      <c r="M19" s="24">
        <v>46258</v>
      </c>
      <c r="N19" s="21" t="s">
        <v>174</v>
      </c>
      <c r="O19" s="21" t="s">
        <v>166</v>
      </c>
      <c r="P19" s="21"/>
      <c r="Q19" s="21"/>
      <c r="R19" s="21"/>
      <c r="S19" s="21" t="s">
        <v>175</v>
      </c>
      <c r="T19" s="21" t="s">
        <v>167</v>
      </c>
      <c r="U19" s="21"/>
      <c r="V19" s="21"/>
      <c r="W19" s="21"/>
    </row>
    <row r="20" spans="1:23" ht="30" x14ac:dyDescent="0.2">
      <c r="A20" s="20">
        <f t="shared" si="0"/>
        <v>19</v>
      </c>
      <c r="B20" s="21" t="s">
        <v>170</v>
      </c>
      <c r="C20" s="22"/>
      <c r="D20" s="21" t="s">
        <v>236</v>
      </c>
      <c r="E20" s="22" t="s">
        <v>109</v>
      </c>
      <c r="F20" s="22" t="s">
        <v>172</v>
      </c>
      <c r="G20" s="22" t="s">
        <v>179</v>
      </c>
      <c r="H20" s="22" t="s">
        <v>173</v>
      </c>
      <c r="I20" s="22"/>
      <c r="J20" s="23">
        <v>1</v>
      </c>
      <c r="K20" s="24">
        <v>46258</v>
      </c>
      <c r="L20" s="24">
        <v>46258</v>
      </c>
      <c r="M20" s="24">
        <v>46258</v>
      </c>
      <c r="N20" s="21" t="s">
        <v>174</v>
      </c>
      <c r="O20" s="21" t="s">
        <v>166</v>
      </c>
      <c r="P20" s="21"/>
      <c r="Q20" s="21"/>
      <c r="R20" s="21"/>
      <c r="S20" s="21" t="s">
        <v>175</v>
      </c>
      <c r="T20" s="21" t="s">
        <v>167</v>
      </c>
      <c r="U20" s="21"/>
      <c r="V20" s="21"/>
      <c r="W20" s="21"/>
    </row>
    <row r="21" spans="1:23" ht="30" x14ac:dyDescent="0.2">
      <c r="A21" s="20">
        <f t="shared" si="0"/>
        <v>20</v>
      </c>
      <c r="B21" s="21" t="s">
        <v>170</v>
      </c>
      <c r="C21" s="22"/>
      <c r="D21" s="21" t="s">
        <v>591</v>
      </c>
      <c r="E21" s="22" t="s">
        <v>109</v>
      </c>
      <c r="F21" s="22" t="s">
        <v>172</v>
      </c>
      <c r="G21" s="22" t="s">
        <v>179</v>
      </c>
      <c r="H21" s="22" t="s">
        <v>173</v>
      </c>
      <c r="I21" s="22"/>
      <c r="J21" s="23">
        <v>1</v>
      </c>
      <c r="K21" s="24">
        <v>46260</v>
      </c>
      <c r="L21" s="24">
        <v>46260</v>
      </c>
      <c r="M21" s="24">
        <v>46260</v>
      </c>
      <c r="N21" s="21" t="s">
        <v>174</v>
      </c>
      <c r="O21" s="21" t="s">
        <v>166</v>
      </c>
      <c r="P21" s="21"/>
      <c r="Q21" s="21"/>
      <c r="R21" s="21"/>
      <c r="S21" s="21" t="s">
        <v>175</v>
      </c>
      <c r="T21" s="21" t="s">
        <v>167</v>
      </c>
      <c r="U21" s="21"/>
      <c r="V21" s="21"/>
      <c r="W21" s="21"/>
    </row>
    <row r="22" spans="1:23" ht="30" x14ac:dyDescent="0.2">
      <c r="A22" s="20">
        <f t="shared" si="0"/>
        <v>21</v>
      </c>
      <c r="B22" s="21" t="s">
        <v>170</v>
      </c>
      <c r="C22" s="22"/>
      <c r="D22" s="21" t="s">
        <v>592</v>
      </c>
      <c r="E22" s="22" t="s">
        <v>109</v>
      </c>
      <c r="F22" s="22" t="s">
        <v>172</v>
      </c>
      <c r="G22" s="22" t="s">
        <v>179</v>
      </c>
      <c r="H22" s="22" t="s">
        <v>173</v>
      </c>
      <c r="I22" s="22"/>
      <c r="J22" s="23">
        <v>1</v>
      </c>
      <c r="K22" s="24">
        <v>46260</v>
      </c>
      <c r="L22" s="24">
        <v>46261</v>
      </c>
      <c r="M22" s="24">
        <v>46261</v>
      </c>
      <c r="N22" s="21" t="s">
        <v>174</v>
      </c>
      <c r="O22" s="21" t="s">
        <v>166</v>
      </c>
      <c r="P22" s="21"/>
      <c r="Q22" s="21"/>
      <c r="R22" s="21"/>
      <c r="S22" s="21" t="s">
        <v>175</v>
      </c>
      <c r="T22" s="21" t="s">
        <v>167</v>
      </c>
      <c r="U22" s="21"/>
      <c r="V22" s="21"/>
      <c r="W22" s="21"/>
    </row>
    <row r="23" spans="1:23" ht="30" x14ac:dyDescent="0.2">
      <c r="A23" s="20">
        <f t="shared" si="0"/>
        <v>22</v>
      </c>
      <c r="B23" s="21" t="s">
        <v>170</v>
      </c>
      <c r="C23" s="22"/>
      <c r="D23" s="21" t="s">
        <v>593</v>
      </c>
      <c r="E23" s="22" t="s">
        <v>109</v>
      </c>
      <c r="F23" s="22" t="s">
        <v>172</v>
      </c>
      <c r="G23" s="22" t="s">
        <v>179</v>
      </c>
      <c r="H23" s="22" t="s">
        <v>173</v>
      </c>
      <c r="I23" s="22"/>
      <c r="J23" s="23">
        <v>1</v>
      </c>
      <c r="K23" s="24">
        <v>46260</v>
      </c>
      <c r="L23" s="24">
        <v>46265</v>
      </c>
      <c r="M23" s="24">
        <v>46265</v>
      </c>
      <c r="N23" s="21" t="s">
        <v>174</v>
      </c>
      <c r="O23" s="21" t="s">
        <v>166</v>
      </c>
      <c r="P23" s="21"/>
      <c r="Q23" s="21"/>
      <c r="R23" s="21"/>
      <c r="S23" s="21" t="s">
        <v>175</v>
      </c>
      <c r="T23" s="21" t="s">
        <v>167</v>
      </c>
      <c r="U23" s="21"/>
      <c r="V23" s="21"/>
      <c r="W23" s="21"/>
    </row>
    <row r="24" spans="1:23" ht="30" x14ac:dyDescent="0.2">
      <c r="A24" s="20">
        <f t="shared" si="0"/>
        <v>23</v>
      </c>
      <c r="B24" s="21" t="s">
        <v>170</v>
      </c>
      <c r="C24" s="22"/>
      <c r="D24" s="21" t="s">
        <v>594</v>
      </c>
      <c r="E24" s="22" t="s">
        <v>109</v>
      </c>
      <c r="F24" s="22" t="s">
        <v>172</v>
      </c>
      <c r="G24" s="22" t="s">
        <v>179</v>
      </c>
      <c r="H24" s="22" t="s">
        <v>173</v>
      </c>
      <c r="I24" s="22"/>
      <c r="J24" s="23">
        <v>1</v>
      </c>
      <c r="K24" s="24">
        <v>46261</v>
      </c>
      <c r="L24" s="24">
        <v>46261</v>
      </c>
      <c r="M24" s="24">
        <v>46261</v>
      </c>
      <c r="N24" s="21" t="s">
        <v>174</v>
      </c>
      <c r="O24" s="21" t="s">
        <v>166</v>
      </c>
      <c r="P24" s="21"/>
      <c r="Q24" s="21"/>
      <c r="R24" s="21"/>
      <c r="S24" s="21" t="s">
        <v>175</v>
      </c>
      <c r="T24" s="21" t="s">
        <v>167</v>
      </c>
      <c r="U24" s="21"/>
      <c r="V24" s="21"/>
      <c r="W24" s="21"/>
    </row>
    <row r="25" spans="1:23" ht="30" x14ac:dyDescent="0.2">
      <c r="A25" s="20">
        <f t="shared" si="0"/>
        <v>24</v>
      </c>
      <c r="B25" s="21" t="s">
        <v>170</v>
      </c>
      <c r="C25" s="22"/>
      <c r="D25" s="21" t="s">
        <v>595</v>
      </c>
      <c r="E25" s="22" t="s">
        <v>109</v>
      </c>
      <c r="F25" s="22" t="s">
        <v>172</v>
      </c>
      <c r="G25" s="22" t="s">
        <v>179</v>
      </c>
      <c r="H25" s="22" t="s">
        <v>173</v>
      </c>
      <c r="I25" s="22"/>
      <c r="J25" s="23">
        <v>1</v>
      </c>
      <c r="K25" s="24">
        <v>46261</v>
      </c>
      <c r="L25" s="24">
        <v>46265</v>
      </c>
      <c r="M25" s="24">
        <v>46265</v>
      </c>
      <c r="N25" s="21" t="s">
        <v>174</v>
      </c>
      <c r="O25" s="21" t="s">
        <v>166</v>
      </c>
      <c r="P25" s="21"/>
      <c r="Q25" s="21"/>
      <c r="R25" s="21"/>
      <c r="S25" s="21" t="s">
        <v>175</v>
      </c>
      <c r="T25" s="21" t="s">
        <v>167</v>
      </c>
      <c r="U25" s="21"/>
      <c r="V25" s="21"/>
      <c r="W25" s="21"/>
    </row>
    <row r="26" spans="1:23" ht="30" x14ac:dyDescent="0.2">
      <c r="A26" s="20">
        <f t="shared" si="0"/>
        <v>25</v>
      </c>
      <c r="B26" s="21" t="s">
        <v>170</v>
      </c>
      <c r="C26" s="22"/>
      <c r="D26" s="21" t="s">
        <v>596</v>
      </c>
      <c r="E26" s="22" t="s">
        <v>109</v>
      </c>
      <c r="F26" s="22" t="s">
        <v>163</v>
      </c>
      <c r="G26" s="22" t="s">
        <v>179</v>
      </c>
      <c r="H26" s="22" t="s">
        <v>173</v>
      </c>
      <c r="I26" s="22"/>
      <c r="J26" s="23">
        <v>1</v>
      </c>
      <c r="K26" s="24">
        <v>46266</v>
      </c>
      <c r="L26" s="24">
        <v>46266</v>
      </c>
      <c r="M26" s="24">
        <v>46267</v>
      </c>
      <c r="N26" s="21" t="s">
        <v>174</v>
      </c>
      <c r="O26" s="21" t="s">
        <v>166</v>
      </c>
      <c r="P26" s="21"/>
      <c r="Q26" s="21"/>
      <c r="R26" s="21"/>
      <c r="S26" s="21" t="s">
        <v>175</v>
      </c>
      <c r="T26" s="21" t="s">
        <v>167</v>
      </c>
      <c r="U26" s="21"/>
      <c r="V26" s="21"/>
      <c r="W26" s="21"/>
    </row>
    <row r="27" spans="1:23" x14ac:dyDescent="0.2">
      <c r="A27" s="20">
        <f t="shared" si="0"/>
        <v>26</v>
      </c>
      <c r="B27" s="21" t="s">
        <v>170</v>
      </c>
      <c r="C27" s="22"/>
      <c r="D27" s="21" t="s">
        <v>597</v>
      </c>
      <c r="E27" s="22" t="s">
        <v>109</v>
      </c>
      <c r="F27" s="22" t="s">
        <v>163</v>
      </c>
      <c r="G27" s="22" t="s">
        <v>179</v>
      </c>
      <c r="H27" s="22" t="s">
        <v>173</v>
      </c>
      <c r="I27" s="22"/>
      <c r="J27" s="23">
        <v>1</v>
      </c>
      <c r="K27" s="24">
        <v>46266</v>
      </c>
      <c r="L27" s="24">
        <v>46266</v>
      </c>
      <c r="M27" s="24">
        <v>46268</v>
      </c>
      <c r="N27" s="21" t="s">
        <v>174</v>
      </c>
      <c r="O27" s="21" t="s">
        <v>166</v>
      </c>
      <c r="P27" s="21"/>
      <c r="Q27" s="21"/>
      <c r="R27" s="21"/>
      <c r="S27" s="21" t="s">
        <v>175</v>
      </c>
      <c r="T27" s="21" t="s">
        <v>167</v>
      </c>
      <c r="U27" s="21"/>
      <c r="V27" s="21"/>
      <c r="W27" s="21"/>
    </row>
    <row r="28" spans="1:23" ht="30" x14ac:dyDescent="0.2">
      <c r="A28" s="20">
        <f t="shared" si="0"/>
        <v>27</v>
      </c>
      <c r="B28" s="21" t="s">
        <v>170</v>
      </c>
      <c r="C28" s="22"/>
      <c r="D28" s="21" t="s">
        <v>598</v>
      </c>
      <c r="E28" s="22" t="s">
        <v>109</v>
      </c>
      <c r="F28" s="22" t="s">
        <v>172</v>
      </c>
      <c r="G28" s="22" t="s">
        <v>179</v>
      </c>
      <c r="H28" s="22" t="s">
        <v>173</v>
      </c>
      <c r="I28" s="22"/>
      <c r="J28" s="23">
        <v>1</v>
      </c>
      <c r="K28" s="24">
        <v>46267</v>
      </c>
      <c r="L28" s="24">
        <v>46267</v>
      </c>
      <c r="M28" s="24">
        <v>46267</v>
      </c>
      <c r="N28" s="21" t="s">
        <v>174</v>
      </c>
      <c r="O28" s="21" t="s">
        <v>166</v>
      </c>
      <c r="P28" s="21"/>
      <c r="Q28" s="21"/>
      <c r="R28" s="21"/>
      <c r="S28" s="21" t="s">
        <v>175</v>
      </c>
      <c r="T28" s="21" t="s">
        <v>167</v>
      </c>
      <c r="U28" s="21"/>
      <c r="V28" s="21"/>
      <c r="W28" s="21"/>
    </row>
    <row r="29" spans="1:23" ht="30" x14ac:dyDescent="0.2">
      <c r="A29" s="20">
        <f t="shared" si="0"/>
        <v>28</v>
      </c>
      <c r="B29" s="21" t="s">
        <v>170</v>
      </c>
      <c r="C29" s="22"/>
      <c r="D29" s="21" t="s">
        <v>599</v>
      </c>
      <c r="E29" s="22" t="s">
        <v>109</v>
      </c>
      <c r="F29" s="22" t="s">
        <v>163</v>
      </c>
      <c r="G29" s="22" t="s">
        <v>179</v>
      </c>
      <c r="H29" s="22" t="s">
        <v>173</v>
      </c>
      <c r="I29" s="22"/>
      <c r="J29" s="23">
        <v>1</v>
      </c>
      <c r="K29" s="24">
        <v>46267</v>
      </c>
      <c r="L29" s="24">
        <v>46269</v>
      </c>
      <c r="M29" s="24">
        <v>46269</v>
      </c>
      <c r="N29" s="21" t="s">
        <v>174</v>
      </c>
      <c r="O29" s="21" t="s">
        <v>166</v>
      </c>
      <c r="P29" s="21"/>
      <c r="Q29" s="21"/>
      <c r="R29" s="21"/>
      <c r="S29" s="21" t="s">
        <v>175</v>
      </c>
      <c r="T29" s="21" t="s">
        <v>167</v>
      </c>
      <c r="U29" s="21"/>
      <c r="V29" s="21"/>
      <c r="W29" s="21"/>
    </row>
    <row r="30" spans="1:23" ht="30" x14ac:dyDescent="0.2">
      <c r="A30" s="20">
        <f t="shared" si="0"/>
        <v>29</v>
      </c>
      <c r="B30" s="21" t="s">
        <v>170</v>
      </c>
      <c r="C30" s="22"/>
      <c r="D30" s="21" t="s">
        <v>600</v>
      </c>
      <c r="E30" s="22" t="s">
        <v>109</v>
      </c>
      <c r="F30" s="22" t="s">
        <v>163</v>
      </c>
      <c r="G30" s="22" t="s">
        <v>179</v>
      </c>
      <c r="H30" s="22" t="s">
        <v>173</v>
      </c>
      <c r="I30" s="22"/>
      <c r="J30" s="23">
        <v>1</v>
      </c>
      <c r="K30" s="24">
        <v>46268</v>
      </c>
      <c r="L30" s="24">
        <v>46272</v>
      </c>
      <c r="M30" s="24">
        <v>46272</v>
      </c>
      <c r="N30" s="21" t="s">
        <v>174</v>
      </c>
      <c r="O30" s="21" t="s">
        <v>166</v>
      </c>
      <c r="P30" s="21"/>
      <c r="Q30" s="21"/>
      <c r="R30" s="21"/>
      <c r="S30" s="21" t="s">
        <v>175</v>
      </c>
      <c r="T30" s="21" t="s">
        <v>167</v>
      </c>
      <c r="U30" s="21"/>
      <c r="V30" s="21"/>
      <c r="W30" s="21"/>
    </row>
    <row r="31" spans="1:23" x14ac:dyDescent="0.2">
      <c r="A31" s="20">
        <f t="shared" si="0"/>
        <v>30</v>
      </c>
      <c r="B31" s="21" t="s">
        <v>170</v>
      </c>
      <c r="C31" s="22"/>
      <c r="D31" s="21" t="s">
        <v>601</v>
      </c>
      <c r="E31" s="22" t="s">
        <v>109</v>
      </c>
      <c r="F31" s="22" t="s">
        <v>163</v>
      </c>
      <c r="G31" s="22" t="s">
        <v>179</v>
      </c>
      <c r="H31" s="22" t="s">
        <v>173</v>
      </c>
      <c r="I31" s="22"/>
      <c r="J31" s="23">
        <v>1</v>
      </c>
      <c r="K31" s="24">
        <v>46269</v>
      </c>
      <c r="L31" s="24">
        <v>46269</v>
      </c>
      <c r="M31" s="24">
        <v>46269</v>
      </c>
      <c r="N31" s="21" t="s">
        <v>174</v>
      </c>
      <c r="O31" s="21" t="s">
        <v>166</v>
      </c>
      <c r="P31" s="21"/>
      <c r="Q31" s="21"/>
      <c r="R31" s="21"/>
      <c r="S31" s="21" t="s">
        <v>175</v>
      </c>
      <c r="T31" s="21" t="s">
        <v>167</v>
      </c>
      <c r="U31" s="21"/>
      <c r="V31" s="21"/>
      <c r="W31" s="21"/>
    </row>
    <row r="32" spans="1:23" x14ac:dyDescent="0.2">
      <c r="A32" s="20">
        <f t="shared" si="0"/>
        <v>31</v>
      </c>
      <c r="B32" s="21" t="s">
        <v>170</v>
      </c>
      <c r="C32" s="22"/>
      <c r="D32" s="21" t="s">
        <v>435</v>
      </c>
      <c r="E32" s="22" t="s">
        <v>109</v>
      </c>
      <c r="F32" s="22" t="s">
        <v>172</v>
      </c>
      <c r="G32" s="22" t="s">
        <v>179</v>
      </c>
      <c r="H32" s="22" t="s">
        <v>173</v>
      </c>
      <c r="I32" s="22"/>
      <c r="J32" s="23">
        <v>1</v>
      </c>
      <c r="K32" s="24">
        <v>46272</v>
      </c>
      <c r="L32" s="24">
        <v>46272</v>
      </c>
      <c r="M32" s="24">
        <v>46272</v>
      </c>
      <c r="N32" s="21" t="s">
        <v>174</v>
      </c>
      <c r="O32" s="21" t="s">
        <v>166</v>
      </c>
      <c r="P32" s="21"/>
      <c r="Q32" s="21"/>
      <c r="R32" s="21"/>
      <c r="S32" s="21" t="s">
        <v>175</v>
      </c>
      <c r="T32" s="21" t="s">
        <v>167</v>
      </c>
      <c r="U32" s="21"/>
      <c r="V32" s="21"/>
      <c r="W32" s="21"/>
    </row>
    <row r="33" spans="1:23" ht="30" x14ac:dyDescent="0.2">
      <c r="A33" s="20">
        <f t="shared" si="0"/>
        <v>32</v>
      </c>
      <c r="B33" s="21" t="s">
        <v>170</v>
      </c>
      <c r="C33" s="22"/>
      <c r="D33" s="21" t="s">
        <v>602</v>
      </c>
      <c r="E33" s="22" t="s">
        <v>109</v>
      </c>
      <c r="F33" s="22" t="s">
        <v>172</v>
      </c>
      <c r="G33" s="22" t="s">
        <v>179</v>
      </c>
      <c r="H33" s="22" t="s">
        <v>173</v>
      </c>
      <c r="I33" s="22"/>
      <c r="J33" s="23">
        <v>1</v>
      </c>
      <c r="K33" s="24">
        <v>46273</v>
      </c>
      <c r="L33" s="24">
        <v>46273</v>
      </c>
      <c r="M33" s="24">
        <v>46273</v>
      </c>
      <c r="N33" s="21" t="s">
        <v>174</v>
      </c>
      <c r="O33" s="21" t="s">
        <v>166</v>
      </c>
      <c r="P33" s="21"/>
      <c r="Q33" s="21"/>
      <c r="R33" s="21"/>
      <c r="S33" s="21" t="s">
        <v>175</v>
      </c>
      <c r="T33" s="21" t="s">
        <v>167</v>
      </c>
      <c r="U33" s="21"/>
      <c r="V33" s="21"/>
      <c r="W33" s="21"/>
    </row>
    <row r="34" spans="1:23" ht="30" x14ac:dyDescent="0.2">
      <c r="A34" s="20">
        <f t="shared" ref="A34:A65" si="1">IF(OR(D34&lt;&gt;"", B34&lt;&gt;""), ROW()-1, "")</f>
        <v>33</v>
      </c>
      <c r="B34" s="21" t="s">
        <v>170</v>
      </c>
      <c r="C34" s="22"/>
      <c r="D34" s="21" t="s">
        <v>603</v>
      </c>
      <c r="E34" s="22" t="s">
        <v>109</v>
      </c>
      <c r="F34" s="22" t="s">
        <v>172</v>
      </c>
      <c r="G34" s="22" t="s">
        <v>179</v>
      </c>
      <c r="H34" s="22" t="s">
        <v>173</v>
      </c>
      <c r="I34" s="22"/>
      <c r="J34" s="23">
        <v>1</v>
      </c>
      <c r="K34" s="24">
        <v>46273</v>
      </c>
      <c r="L34" s="24">
        <v>46273</v>
      </c>
      <c r="M34" s="24">
        <v>46273</v>
      </c>
      <c r="N34" s="21" t="s">
        <v>174</v>
      </c>
      <c r="O34" s="21" t="s">
        <v>166</v>
      </c>
      <c r="P34" s="21"/>
      <c r="Q34" s="21"/>
      <c r="R34" s="21"/>
      <c r="S34" s="21" t="s">
        <v>175</v>
      </c>
      <c r="T34" s="21" t="s">
        <v>167</v>
      </c>
      <c r="U34" s="21"/>
      <c r="V34" s="21"/>
      <c r="W34" s="21"/>
    </row>
    <row r="35" spans="1:23" ht="30" x14ac:dyDescent="0.2">
      <c r="A35" s="20">
        <f t="shared" si="1"/>
        <v>34</v>
      </c>
      <c r="B35" s="21" t="s">
        <v>170</v>
      </c>
      <c r="C35" s="22"/>
      <c r="D35" s="21" t="s">
        <v>604</v>
      </c>
      <c r="E35" s="22" t="s">
        <v>109</v>
      </c>
      <c r="F35" s="22" t="s">
        <v>172</v>
      </c>
      <c r="G35" s="22" t="s">
        <v>179</v>
      </c>
      <c r="H35" s="22" t="s">
        <v>173</v>
      </c>
      <c r="I35" s="22"/>
      <c r="J35" s="23">
        <v>1</v>
      </c>
      <c r="K35" s="24">
        <v>46273</v>
      </c>
      <c r="L35" s="24">
        <v>46273</v>
      </c>
      <c r="M35" s="24">
        <v>46273</v>
      </c>
      <c r="N35" s="21" t="s">
        <v>174</v>
      </c>
      <c r="O35" s="21" t="s">
        <v>166</v>
      </c>
      <c r="P35" s="21"/>
      <c r="Q35" s="21"/>
      <c r="R35" s="21"/>
      <c r="S35" s="21" t="s">
        <v>175</v>
      </c>
      <c r="T35" s="21" t="s">
        <v>167</v>
      </c>
      <c r="U35" s="21"/>
      <c r="V35" s="21"/>
      <c r="W35" s="21"/>
    </row>
    <row r="36" spans="1:23" ht="30" x14ac:dyDescent="0.2">
      <c r="A36" s="20">
        <f t="shared" si="1"/>
        <v>35</v>
      </c>
      <c r="B36" s="21" t="s">
        <v>170</v>
      </c>
      <c r="C36" s="22"/>
      <c r="D36" s="21" t="s">
        <v>605</v>
      </c>
      <c r="E36" s="22" t="s">
        <v>109</v>
      </c>
      <c r="F36" s="22" t="s">
        <v>172</v>
      </c>
      <c r="G36" s="22" t="s">
        <v>179</v>
      </c>
      <c r="H36" s="22" t="s">
        <v>173</v>
      </c>
      <c r="I36" s="22"/>
      <c r="J36" s="23">
        <v>1</v>
      </c>
      <c r="K36" s="24">
        <v>46274</v>
      </c>
      <c r="L36" s="24">
        <v>46275</v>
      </c>
      <c r="M36" s="24">
        <v>46275</v>
      </c>
      <c r="N36" s="21" t="s">
        <v>174</v>
      </c>
      <c r="O36" s="21" t="s">
        <v>166</v>
      </c>
      <c r="P36" s="21"/>
      <c r="Q36" s="21"/>
      <c r="R36" s="21"/>
      <c r="S36" s="21" t="s">
        <v>175</v>
      </c>
      <c r="T36" s="21" t="s">
        <v>167</v>
      </c>
      <c r="U36" s="21"/>
      <c r="V36" s="21"/>
      <c r="W36" s="21"/>
    </row>
    <row r="37" spans="1:23" ht="120" x14ac:dyDescent="0.2">
      <c r="A37" s="20">
        <f t="shared" si="1"/>
        <v>36</v>
      </c>
      <c r="B37" s="21" t="s">
        <v>170</v>
      </c>
      <c r="C37" s="22"/>
      <c r="D37" s="21" t="s">
        <v>606</v>
      </c>
      <c r="E37" s="22" t="s">
        <v>109</v>
      </c>
      <c r="F37" s="22" t="s">
        <v>172</v>
      </c>
      <c r="G37" s="22" t="s">
        <v>179</v>
      </c>
      <c r="H37" s="22" t="s">
        <v>173</v>
      </c>
      <c r="I37" s="22"/>
      <c r="J37" s="23">
        <v>1</v>
      </c>
      <c r="K37" s="24">
        <v>46275</v>
      </c>
      <c r="L37" s="24">
        <v>46275</v>
      </c>
      <c r="M37" s="24">
        <v>46275</v>
      </c>
      <c r="N37" s="21" t="s">
        <v>174</v>
      </c>
      <c r="O37" s="21" t="s">
        <v>166</v>
      </c>
      <c r="P37" s="21"/>
      <c r="Q37" s="21"/>
      <c r="R37" s="21"/>
      <c r="S37" s="21" t="s">
        <v>175</v>
      </c>
      <c r="T37" s="21" t="s">
        <v>167</v>
      </c>
      <c r="U37" s="21"/>
      <c r="V37" s="21"/>
      <c r="W37" s="21" t="s">
        <v>607</v>
      </c>
    </row>
    <row r="38" spans="1:23" x14ac:dyDescent="0.2">
      <c r="A38" s="20">
        <f t="shared" si="1"/>
        <v>37</v>
      </c>
      <c r="B38" s="21" t="s">
        <v>170</v>
      </c>
      <c r="C38" s="22"/>
      <c r="D38" s="21" t="s">
        <v>608</v>
      </c>
      <c r="E38" s="22" t="s">
        <v>109</v>
      </c>
      <c r="F38" s="22" t="s">
        <v>172</v>
      </c>
      <c r="G38" s="22" t="s">
        <v>179</v>
      </c>
      <c r="H38" s="22" t="s">
        <v>173</v>
      </c>
      <c r="I38" s="22"/>
      <c r="J38" s="23">
        <v>1</v>
      </c>
      <c r="K38" s="24">
        <v>46276</v>
      </c>
      <c r="L38" s="24">
        <v>46276</v>
      </c>
      <c r="M38" s="24">
        <v>46276</v>
      </c>
      <c r="N38" s="21" t="s">
        <v>174</v>
      </c>
      <c r="O38" s="21" t="s">
        <v>166</v>
      </c>
      <c r="P38" s="21"/>
      <c r="Q38" s="21"/>
      <c r="R38" s="21"/>
      <c r="S38" s="21" t="s">
        <v>175</v>
      </c>
      <c r="T38" s="21" t="s">
        <v>167</v>
      </c>
      <c r="U38" s="21"/>
      <c r="V38" s="21"/>
      <c r="W38" s="21" t="s">
        <v>609</v>
      </c>
    </row>
    <row r="39" spans="1:23" x14ac:dyDescent="0.2">
      <c r="A39" s="20">
        <f t="shared" si="1"/>
        <v>38</v>
      </c>
      <c r="B39" s="21" t="s">
        <v>170</v>
      </c>
      <c r="C39" s="22"/>
      <c r="D39" s="21" t="s">
        <v>610</v>
      </c>
      <c r="E39" s="22" t="s">
        <v>109</v>
      </c>
      <c r="F39" s="22" t="s">
        <v>172</v>
      </c>
      <c r="G39" s="22" t="s">
        <v>179</v>
      </c>
      <c r="H39" s="22" t="s">
        <v>173</v>
      </c>
      <c r="I39" s="22"/>
      <c r="J39" s="23">
        <v>1</v>
      </c>
      <c r="K39" s="24">
        <v>46279</v>
      </c>
      <c r="L39" s="24">
        <v>46279</v>
      </c>
      <c r="M39" s="24">
        <v>46279</v>
      </c>
      <c r="N39" s="21" t="s">
        <v>174</v>
      </c>
      <c r="O39" s="21" t="s">
        <v>166</v>
      </c>
      <c r="P39" s="21"/>
      <c r="Q39" s="21"/>
      <c r="R39" s="21"/>
      <c r="S39" s="21" t="s">
        <v>175</v>
      </c>
      <c r="T39" s="21" t="s">
        <v>167</v>
      </c>
      <c r="U39" s="21"/>
      <c r="V39" s="21"/>
      <c r="W39" s="21"/>
    </row>
    <row r="40" spans="1:23" x14ac:dyDescent="0.2">
      <c r="A40" s="20">
        <f t="shared" si="1"/>
        <v>39</v>
      </c>
      <c r="B40" s="21" t="s">
        <v>170</v>
      </c>
      <c r="C40" s="22"/>
      <c r="D40" s="21" t="s">
        <v>611</v>
      </c>
      <c r="E40" s="22" t="s">
        <v>109</v>
      </c>
      <c r="F40" s="22" t="s">
        <v>172</v>
      </c>
      <c r="G40" s="22" t="s">
        <v>179</v>
      </c>
      <c r="H40" s="22" t="s">
        <v>173</v>
      </c>
      <c r="I40" s="22"/>
      <c r="J40" s="23">
        <v>1</v>
      </c>
      <c r="K40" s="24">
        <v>46280</v>
      </c>
      <c r="L40" s="24">
        <v>46280</v>
      </c>
      <c r="M40" s="24">
        <v>46280</v>
      </c>
      <c r="N40" s="21" t="s">
        <v>174</v>
      </c>
      <c r="O40" s="21" t="s">
        <v>166</v>
      </c>
      <c r="P40" s="21"/>
      <c r="Q40" s="21"/>
      <c r="R40" s="21"/>
      <c r="S40" s="21" t="s">
        <v>175</v>
      </c>
      <c r="T40" s="21" t="s">
        <v>167</v>
      </c>
      <c r="U40" s="21"/>
      <c r="V40" s="21"/>
      <c r="W40" s="21"/>
    </row>
    <row r="41" spans="1:23" ht="30" x14ac:dyDescent="0.2">
      <c r="A41" s="20">
        <f t="shared" si="1"/>
        <v>40</v>
      </c>
      <c r="B41" s="19" t="s">
        <v>287</v>
      </c>
      <c r="C41" s="22"/>
      <c r="D41" s="21" t="s">
        <v>612</v>
      </c>
      <c r="E41" s="22" t="s">
        <v>109</v>
      </c>
      <c r="F41" s="22" t="s">
        <v>172</v>
      </c>
      <c r="G41" s="22" t="s">
        <v>179</v>
      </c>
      <c r="H41" s="22" t="s">
        <v>173</v>
      </c>
      <c r="I41" s="22"/>
      <c r="J41" s="23">
        <v>1</v>
      </c>
      <c r="K41" s="24">
        <v>46280</v>
      </c>
      <c r="L41" s="24">
        <v>46280</v>
      </c>
      <c r="M41" s="24">
        <v>46280</v>
      </c>
      <c r="N41" s="21" t="s">
        <v>174</v>
      </c>
      <c r="O41" s="21" t="s">
        <v>166</v>
      </c>
      <c r="P41" s="21"/>
      <c r="Q41" s="21"/>
      <c r="R41" s="21"/>
      <c r="S41" s="21" t="s">
        <v>175</v>
      </c>
      <c r="T41" s="21" t="s">
        <v>167</v>
      </c>
      <c r="U41" s="21"/>
      <c r="V41" s="21"/>
      <c r="W41" s="21"/>
    </row>
    <row r="42" spans="1:23" x14ac:dyDescent="0.2">
      <c r="A42" s="20">
        <f t="shared" si="1"/>
        <v>41</v>
      </c>
      <c r="B42" s="19" t="s">
        <v>287</v>
      </c>
      <c r="C42" s="22"/>
      <c r="D42" s="21" t="s">
        <v>613</v>
      </c>
      <c r="E42" s="22" t="s">
        <v>109</v>
      </c>
      <c r="F42" s="22" t="s">
        <v>172</v>
      </c>
      <c r="G42" s="22" t="s">
        <v>179</v>
      </c>
      <c r="H42" s="22" t="s">
        <v>173</v>
      </c>
      <c r="I42" s="22"/>
      <c r="J42" s="23">
        <v>1</v>
      </c>
      <c r="K42" s="24">
        <v>46281</v>
      </c>
      <c r="L42" s="24">
        <v>46281</v>
      </c>
      <c r="M42" s="24">
        <v>46281</v>
      </c>
      <c r="N42" s="21"/>
      <c r="O42" s="21"/>
      <c r="P42" s="21"/>
      <c r="Q42" s="21"/>
      <c r="R42" s="21"/>
      <c r="S42" s="21" t="s">
        <v>175</v>
      </c>
      <c r="T42" s="21"/>
      <c r="U42" s="21"/>
      <c r="V42" s="21"/>
      <c r="W42" s="21"/>
    </row>
    <row r="43" spans="1:23" x14ac:dyDescent="0.2">
      <c r="A43" s="20">
        <f t="shared" si="1"/>
        <v>42</v>
      </c>
      <c r="B43" s="19" t="s">
        <v>287</v>
      </c>
      <c r="C43" s="22"/>
      <c r="D43" s="21" t="s">
        <v>614</v>
      </c>
      <c r="E43" s="22" t="s">
        <v>109</v>
      </c>
      <c r="F43" s="22" t="s">
        <v>172</v>
      </c>
      <c r="G43" s="22" t="s">
        <v>179</v>
      </c>
      <c r="H43" s="22" t="s">
        <v>173</v>
      </c>
      <c r="I43" s="22"/>
      <c r="J43" s="23">
        <v>1</v>
      </c>
      <c r="K43" s="24">
        <v>46281</v>
      </c>
      <c r="L43" s="24">
        <v>46281</v>
      </c>
      <c r="M43" s="24">
        <v>46281</v>
      </c>
      <c r="N43" s="21"/>
      <c r="O43" s="21"/>
      <c r="P43" s="21"/>
      <c r="Q43" s="21"/>
      <c r="R43" s="21"/>
      <c r="S43" s="21" t="s">
        <v>175</v>
      </c>
      <c r="T43" s="21"/>
      <c r="U43" s="21"/>
      <c r="V43" s="21"/>
      <c r="W43" s="21"/>
    </row>
    <row r="44" spans="1:23" ht="30" x14ac:dyDescent="0.2">
      <c r="A44" s="20">
        <f t="shared" si="1"/>
        <v>43</v>
      </c>
      <c r="B44" s="21" t="s">
        <v>170</v>
      </c>
      <c r="C44" s="22"/>
      <c r="D44" s="21" t="s">
        <v>444</v>
      </c>
      <c r="E44" s="22" t="s">
        <v>109</v>
      </c>
      <c r="F44" s="22" t="s">
        <v>163</v>
      </c>
      <c r="G44" s="22" t="s">
        <v>179</v>
      </c>
      <c r="H44" s="22" t="s">
        <v>173</v>
      </c>
      <c r="I44" s="22"/>
      <c r="J44" s="23">
        <v>1</v>
      </c>
      <c r="K44" s="24">
        <v>46281</v>
      </c>
      <c r="L44" s="24">
        <v>46281</v>
      </c>
      <c r="M44" s="24">
        <v>46281</v>
      </c>
      <c r="N44" s="21"/>
      <c r="O44" s="21"/>
      <c r="P44" s="21"/>
      <c r="Q44" s="21"/>
      <c r="R44" s="21"/>
      <c r="S44" s="21" t="s">
        <v>175</v>
      </c>
      <c r="T44" s="21"/>
      <c r="U44" s="21"/>
      <c r="V44" s="21"/>
      <c r="W44" s="21"/>
    </row>
    <row r="45" spans="1:23" ht="30" x14ac:dyDescent="0.2">
      <c r="A45" s="20">
        <f t="shared" si="1"/>
        <v>44</v>
      </c>
      <c r="B45" s="21" t="s">
        <v>170</v>
      </c>
      <c r="C45" s="22"/>
      <c r="D45" s="21" t="s">
        <v>615</v>
      </c>
      <c r="E45" s="22" t="s">
        <v>109</v>
      </c>
      <c r="F45" s="22" t="s">
        <v>172</v>
      </c>
      <c r="G45" s="22" t="s">
        <v>179</v>
      </c>
      <c r="H45" s="22" t="s">
        <v>173</v>
      </c>
      <c r="I45" s="22"/>
      <c r="J45" s="23">
        <v>1</v>
      </c>
      <c r="K45" s="24">
        <v>46282</v>
      </c>
      <c r="L45" s="24">
        <v>46282</v>
      </c>
      <c r="M45" s="24">
        <v>46282</v>
      </c>
      <c r="N45" s="21" t="s">
        <v>174</v>
      </c>
      <c r="O45" s="21" t="s">
        <v>166</v>
      </c>
      <c r="P45" s="21"/>
      <c r="Q45" s="21"/>
      <c r="R45" s="21"/>
      <c r="S45" s="21" t="s">
        <v>175</v>
      </c>
      <c r="T45" s="21" t="s">
        <v>167</v>
      </c>
      <c r="U45" s="21"/>
      <c r="V45" s="21"/>
      <c r="W45" s="21"/>
    </row>
    <row r="46" spans="1:23" ht="30" x14ac:dyDescent="0.2">
      <c r="A46" s="20">
        <f t="shared" si="1"/>
        <v>45</v>
      </c>
      <c r="B46" s="21" t="s">
        <v>170</v>
      </c>
      <c r="C46" s="22"/>
      <c r="D46" s="21" t="s">
        <v>616</v>
      </c>
      <c r="E46" s="22" t="s">
        <v>109</v>
      </c>
      <c r="F46" s="22" t="s">
        <v>172</v>
      </c>
      <c r="G46" s="22" t="s">
        <v>179</v>
      </c>
      <c r="H46" s="22" t="s">
        <v>173</v>
      </c>
      <c r="I46" s="22"/>
      <c r="J46" s="23">
        <v>1</v>
      </c>
      <c r="K46" s="24">
        <v>46282</v>
      </c>
      <c r="L46" s="24">
        <v>46282</v>
      </c>
      <c r="M46" s="24">
        <v>46282</v>
      </c>
      <c r="N46" s="21" t="s">
        <v>174</v>
      </c>
      <c r="O46" s="21" t="s">
        <v>166</v>
      </c>
      <c r="P46" s="21"/>
      <c r="Q46" s="21"/>
      <c r="R46" s="21"/>
      <c r="S46" s="21" t="s">
        <v>175</v>
      </c>
      <c r="T46" s="21" t="s">
        <v>167</v>
      </c>
      <c r="U46" s="21"/>
      <c r="V46" s="21"/>
      <c r="W46" s="21"/>
    </row>
    <row r="47" spans="1:23" x14ac:dyDescent="0.2">
      <c r="A47" s="20">
        <f t="shared" si="1"/>
        <v>46</v>
      </c>
      <c r="B47" s="53" t="s">
        <v>170</v>
      </c>
      <c r="C47" s="21"/>
      <c r="D47" s="21" t="s">
        <v>299</v>
      </c>
      <c r="E47" s="22" t="s">
        <v>109</v>
      </c>
      <c r="F47" s="22" t="s">
        <v>172</v>
      </c>
      <c r="G47" s="22" t="s">
        <v>179</v>
      </c>
      <c r="H47" s="22" t="s">
        <v>173</v>
      </c>
      <c r="I47" s="21"/>
      <c r="J47" s="23">
        <v>1</v>
      </c>
      <c r="K47" s="24">
        <v>46283</v>
      </c>
      <c r="L47" s="24">
        <v>46283</v>
      </c>
      <c r="M47" s="24">
        <v>46283</v>
      </c>
      <c r="N47" s="37" t="s">
        <v>174</v>
      </c>
      <c r="O47" s="21" t="s">
        <v>166</v>
      </c>
      <c r="P47" s="21"/>
      <c r="Q47" s="21"/>
      <c r="R47" s="21"/>
      <c r="S47" s="21" t="s">
        <v>175</v>
      </c>
      <c r="T47" s="21" t="s">
        <v>167</v>
      </c>
      <c r="U47" s="21"/>
      <c r="V47" s="21"/>
      <c r="W47" s="21"/>
    </row>
    <row r="48" spans="1:23" ht="255" x14ac:dyDescent="0.2">
      <c r="A48" s="20">
        <f t="shared" si="1"/>
        <v>47</v>
      </c>
      <c r="B48" s="21" t="s">
        <v>287</v>
      </c>
      <c r="C48" s="21"/>
      <c r="D48" s="21" t="s">
        <v>617</v>
      </c>
      <c r="E48" s="22" t="s">
        <v>110</v>
      </c>
      <c r="F48" s="22" t="s">
        <v>172</v>
      </c>
      <c r="G48" s="22" t="s">
        <v>179</v>
      </c>
      <c r="H48" s="22" t="s">
        <v>173</v>
      </c>
      <c r="I48" s="21"/>
      <c r="J48" s="23">
        <v>1</v>
      </c>
      <c r="K48" s="24">
        <v>46283</v>
      </c>
      <c r="L48" s="24">
        <v>46300</v>
      </c>
      <c r="M48" s="61">
        <v>46297</v>
      </c>
      <c r="N48" s="63" t="s">
        <v>174</v>
      </c>
      <c r="O48" s="62" t="s">
        <v>166</v>
      </c>
      <c r="P48" s="21"/>
      <c r="Q48" s="21"/>
      <c r="R48" s="21"/>
      <c r="S48" s="21" t="s">
        <v>175</v>
      </c>
      <c r="T48" s="21" t="s">
        <v>167</v>
      </c>
      <c r="U48" s="21"/>
      <c r="V48" s="48"/>
      <c r="W48" s="21" t="s">
        <v>618</v>
      </c>
    </row>
    <row r="49" spans="1:23" ht="210" x14ac:dyDescent="0.2">
      <c r="A49" s="20">
        <f t="shared" si="1"/>
        <v>48</v>
      </c>
      <c r="B49" s="21" t="s">
        <v>287</v>
      </c>
      <c r="C49" s="21"/>
      <c r="D49" s="21" t="s">
        <v>302</v>
      </c>
      <c r="E49" s="22" t="s">
        <v>109</v>
      </c>
      <c r="F49" s="22" t="s">
        <v>172</v>
      </c>
      <c r="G49" s="22" t="s">
        <v>179</v>
      </c>
      <c r="H49" s="22" t="s">
        <v>173</v>
      </c>
      <c r="I49" s="21"/>
      <c r="J49" s="23">
        <v>1</v>
      </c>
      <c r="K49" s="24">
        <v>46283</v>
      </c>
      <c r="L49" s="24">
        <v>46300</v>
      </c>
      <c r="M49" s="61">
        <v>46297</v>
      </c>
      <c r="N49" s="63" t="s">
        <v>174</v>
      </c>
      <c r="O49" s="62" t="s">
        <v>166</v>
      </c>
      <c r="P49" s="21"/>
      <c r="Q49" s="21"/>
      <c r="R49" s="21"/>
      <c r="S49" s="21" t="s">
        <v>175</v>
      </c>
      <c r="T49" s="21" t="s">
        <v>167</v>
      </c>
      <c r="U49" s="21"/>
      <c r="V49" s="48"/>
      <c r="W49" s="21" t="s">
        <v>619</v>
      </c>
    </row>
    <row r="50" spans="1:23" ht="16" x14ac:dyDescent="0.2">
      <c r="A50" s="20">
        <f t="shared" si="1"/>
        <v>49</v>
      </c>
      <c r="B50" s="21" t="s">
        <v>287</v>
      </c>
      <c r="C50" s="22"/>
      <c r="D50" s="21" t="s">
        <v>620</v>
      </c>
      <c r="E50" s="22" t="s">
        <v>109</v>
      </c>
      <c r="F50" s="22" t="s">
        <v>163</v>
      </c>
      <c r="G50" s="22" t="s">
        <v>179</v>
      </c>
      <c r="H50" s="22" t="s">
        <v>173</v>
      </c>
      <c r="I50" s="22"/>
      <c r="J50" s="23">
        <v>1</v>
      </c>
      <c r="K50" s="24">
        <v>46283</v>
      </c>
      <c r="L50" s="24">
        <v>46286</v>
      </c>
      <c r="M50" s="61">
        <v>46286</v>
      </c>
      <c r="N50" s="63" t="s">
        <v>174</v>
      </c>
      <c r="O50" s="62" t="s">
        <v>166</v>
      </c>
      <c r="P50" s="21"/>
      <c r="Q50" s="21"/>
      <c r="R50" s="21"/>
      <c r="S50" s="21" t="s">
        <v>175</v>
      </c>
      <c r="T50" s="21" t="s">
        <v>167</v>
      </c>
      <c r="U50" s="21"/>
      <c r="V50" s="21"/>
      <c r="W50" s="21"/>
    </row>
    <row r="51" spans="1:23" ht="16" x14ac:dyDescent="0.2">
      <c r="A51" s="20">
        <f t="shared" si="1"/>
        <v>50</v>
      </c>
      <c r="B51" s="21" t="s">
        <v>287</v>
      </c>
      <c r="C51" s="22"/>
      <c r="D51" s="21" t="s">
        <v>621</v>
      </c>
      <c r="E51" s="22" t="s">
        <v>109</v>
      </c>
      <c r="F51" s="22" t="s">
        <v>163</v>
      </c>
      <c r="G51" s="22" t="s">
        <v>179</v>
      </c>
      <c r="H51" s="22" t="s">
        <v>173</v>
      </c>
      <c r="I51" s="22"/>
      <c r="J51" s="23">
        <v>1</v>
      </c>
      <c r="K51" s="24">
        <v>46286</v>
      </c>
      <c r="L51" s="24">
        <v>46286</v>
      </c>
      <c r="M51" s="24">
        <v>46286</v>
      </c>
      <c r="N51" s="63" t="s">
        <v>174</v>
      </c>
      <c r="O51" s="62" t="s">
        <v>166</v>
      </c>
      <c r="P51" s="21"/>
      <c r="Q51" s="21"/>
      <c r="R51" s="21"/>
      <c r="S51" s="21" t="s">
        <v>175</v>
      </c>
      <c r="T51" s="21" t="s">
        <v>167</v>
      </c>
      <c r="U51" s="21"/>
      <c r="V51" s="21"/>
      <c r="W51" s="21"/>
    </row>
    <row r="52" spans="1:23" ht="16" x14ac:dyDescent="0.2">
      <c r="A52" s="20">
        <f t="shared" si="1"/>
        <v>51</v>
      </c>
      <c r="B52" s="21" t="s">
        <v>287</v>
      </c>
      <c r="C52" s="22"/>
      <c r="D52" s="21" t="s">
        <v>458</v>
      </c>
      <c r="E52" s="22" t="s">
        <v>109</v>
      </c>
      <c r="F52" s="22" t="s">
        <v>172</v>
      </c>
      <c r="G52" s="22" t="s">
        <v>179</v>
      </c>
      <c r="H52" s="22" t="s">
        <v>173</v>
      </c>
      <c r="I52" s="22"/>
      <c r="J52" s="23">
        <v>1</v>
      </c>
      <c r="K52" s="24">
        <v>46293</v>
      </c>
      <c r="L52" s="24">
        <v>46293</v>
      </c>
      <c r="M52" s="24">
        <v>46293</v>
      </c>
      <c r="N52" s="63" t="s">
        <v>174</v>
      </c>
      <c r="O52" s="62" t="s">
        <v>166</v>
      </c>
      <c r="P52" s="21"/>
      <c r="Q52" s="21"/>
      <c r="R52" s="21"/>
      <c r="S52" s="21" t="s">
        <v>175</v>
      </c>
      <c r="T52" s="21" t="s">
        <v>167</v>
      </c>
      <c r="U52" s="21"/>
      <c r="V52" s="21"/>
      <c r="W52" s="21"/>
    </row>
    <row r="53" spans="1:23" ht="30" x14ac:dyDescent="0.2">
      <c r="A53" s="20">
        <f t="shared" si="1"/>
        <v>52</v>
      </c>
      <c r="B53" s="21" t="s">
        <v>287</v>
      </c>
      <c r="C53" s="22"/>
      <c r="D53" s="21" t="s">
        <v>622</v>
      </c>
      <c r="E53" s="22" t="s">
        <v>109</v>
      </c>
      <c r="F53" s="22" t="s">
        <v>163</v>
      </c>
      <c r="G53" s="22" t="s">
        <v>179</v>
      </c>
      <c r="H53" s="22" t="s">
        <v>173</v>
      </c>
      <c r="I53" s="22"/>
      <c r="J53" s="23">
        <v>1</v>
      </c>
      <c r="K53" s="24">
        <v>46300</v>
      </c>
      <c r="L53" s="24">
        <v>46302</v>
      </c>
      <c r="M53" s="24">
        <v>46302</v>
      </c>
      <c r="N53" s="63" t="s">
        <v>174</v>
      </c>
      <c r="O53" s="62" t="s">
        <v>166</v>
      </c>
      <c r="P53" s="21"/>
      <c r="Q53" s="21"/>
      <c r="R53" s="21"/>
      <c r="S53" s="21" t="s">
        <v>175</v>
      </c>
      <c r="T53" s="21" t="s">
        <v>167</v>
      </c>
      <c r="U53" s="21"/>
      <c r="V53" s="21"/>
      <c r="W53" s="21"/>
    </row>
    <row r="54" spans="1:23" ht="16" x14ac:dyDescent="0.2">
      <c r="A54" s="20">
        <f t="shared" si="1"/>
        <v>53</v>
      </c>
      <c r="B54" s="21" t="s">
        <v>287</v>
      </c>
      <c r="C54" s="22"/>
      <c r="D54" s="21" t="s">
        <v>623</v>
      </c>
      <c r="E54" s="22" t="s">
        <v>109</v>
      </c>
      <c r="F54" s="22" t="s">
        <v>163</v>
      </c>
      <c r="G54" s="22" t="s">
        <v>179</v>
      </c>
      <c r="H54" s="22" t="s">
        <v>173</v>
      </c>
      <c r="I54" s="22"/>
      <c r="J54" s="23">
        <v>1</v>
      </c>
      <c r="K54" s="24">
        <v>46300</v>
      </c>
      <c r="L54" s="24">
        <v>46302</v>
      </c>
      <c r="M54" s="24">
        <v>46302</v>
      </c>
      <c r="N54" s="63" t="s">
        <v>174</v>
      </c>
      <c r="O54" s="62" t="s">
        <v>166</v>
      </c>
      <c r="P54" s="21"/>
      <c r="Q54" s="21"/>
      <c r="R54" s="21"/>
      <c r="S54" s="21" t="s">
        <v>175</v>
      </c>
      <c r="T54" s="21" t="s">
        <v>167</v>
      </c>
      <c r="U54" s="21"/>
      <c r="V54" s="21"/>
      <c r="W54" s="21"/>
    </row>
    <row r="55" spans="1:23" ht="30" x14ac:dyDescent="0.2">
      <c r="A55" s="20">
        <f t="shared" si="1"/>
        <v>54</v>
      </c>
      <c r="B55" s="21" t="s">
        <v>389</v>
      </c>
      <c r="C55" s="22"/>
      <c r="D55" s="21" t="s">
        <v>559</v>
      </c>
      <c r="E55" s="22" t="s">
        <v>109</v>
      </c>
      <c r="F55" s="22" t="s">
        <v>163</v>
      </c>
      <c r="G55" s="22" t="s">
        <v>179</v>
      </c>
      <c r="H55" s="22" t="s">
        <v>173</v>
      </c>
      <c r="I55" s="22"/>
      <c r="J55" s="23">
        <v>1</v>
      </c>
      <c r="K55" s="24">
        <v>46301</v>
      </c>
      <c r="L55" s="24">
        <v>46301</v>
      </c>
      <c r="M55" s="24">
        <v>46301</v>
      </c>
      <c r="N55" s="63" t="s">
        <v>174</v>
      </c>
      <c r="O55" s="62" t="s">
        <v>166</v>
      </c>
      <c r="P55" s="21"/>
      <c r="Q55" s="21"/>
      <c r="R55" s="21"/>
      <c r="S55" s="21" t="s">
        <v>175</v>
      </c>
      <c r="T55" s="21" t="s">
        <v>167</v>
      </c>
      <c r="U55" s="21"/>
      <c r="V55" s="21"/>
      <c r="W55" s="21"/>
    </row>
    <row r="56" spans="1:23" ht="16" x14ac:dyDescent="0.2">
      <c r="A56" s="20">
        <f t="shared" si="1"/>
        <v>55</v>
      </c>
      <c r="B56" s="21" t="s">
        <v>287</v>
      </c>
      <c r="C56" s="22"/>
      <c r="D56" s="21" t="s">
        <v>624</v>
      </c>
      <c r="E56" s="22" t="s">
        <v>109</v>
      </c>
      <c r="F56" s="22" t="s">
        <v>163</v>
      </c>
      <c r="G56" s="22" t="s">
        <v>179</v>
      </c>
      <c r="H56" s="22" t="s">
        <v>173</v>
      </c>
      <c r="I56" s="22"/>
      <c r="J56" s="23">
        <v>1</v>
      </c>
      <c r="K56" s="24">
        <v>46302</v>
      </c>
      <c r="L56" s="24">
        <v>46302</v>
      </c>
      <c r="M56" s="24">
        <v>46302</v>
      </c>
      <c r="N56" s="63" t="s">
        <v>174</v>
      </c>
      <c r="O56" s="62" t="s">
        <v>166</v>
      </c>
      <c r="P56" s="21"/>
      <c r="Q56" s="21"/>
      <c r="R56" s="21"/>
      <c r="S56" s="21" t="s">
        <v>175</v>
      </c>
      <c r="T56" s="21" t="s">
        <v>167</v>
      </c>
      <c r="U56" s="21"/>
      <c r="V56" s="21"/>
      <c r="W56" s="21"/>
    </row>
    <row r="57" spans="1:23" ht="30" x14ac:dyDescent="0.2">
      <c r="A57" s="20">
        <f t="shared" si="1"/>
        <v>56</v>
      </c>
      <c r="B57" s="21" t="s">
        <v>389</v>
      </c>
      <c r="C57" s="22"/>
      <c r="D57" s="21" t="s">
        <v>625</v>
      </c>
      <c r="E57" s="22" t="s">
        <v>109</v>
      </c>
      <c r="F57" s="22" t="s">
        <v>163</v>
      </c>
      <c r="G57" s="22" t="s">
        <v>179</v>
      </c>
      <c r="H57" s="22" t="s">
        <v>173</v>
      </c>
      <c r="I57" s="22"/>
      <c r="J57" s="23">
        <v>1</v>
      </c>
      <c r="K57" s="24">
        <v>46302</v>
      </c>
      <c r="L57" s="24">
        <v>46302</v>
      </c>
      <c r="M57" s="24">
        <v>46302</v>
      </c>
      <c r="N57" s="63" t="s">
        <v>174</v>
      </c>
      <c r="O57" s="62" t="s">
        <v>166</v>
      </c>
      <c r="P57" s="21"/>
      <c r="Q57" s="21"/>
      <c r="R57" s="21"/>
      <c r="S57" s="21" t="s">
        <v>175</v>
      </c>
      <c r="T57" s="21" t="s">
        <v>167</v>
      </c>
      <c r="U57" s="21"/>
      <c r="V57" s="21"/>
      <c r="W57" s="21"/>
    </row>
    <row r="58" spans="1:23" ht="30" x14ac:dyDescent="0.2">
      <c r="A58" s="20">
        <f t="shared" si="1"/>
        <v>57</v>
      </c>
      <c r="B58" s="21" t="s">
        <v>287</v>
      </c>
      <c r="C58" s="22"/>
      <c r="D58" s="21" t="s">
        <v>626</v>
      </c>
      <c r="E58" s="22" t="s">
        <v>109</v>
      </c>
      <c r="F58" s="22" t="s">
        <v>163</v>
      </c>
      <c r="G58" s="22" t="s">
        <v>179</v>
      </c>
      <c r="H58" s="22" t="s">
        <v>173</v>
      </c>
      <c r="I58" s="22"/>
      <c r="J58" s="23">
        <v>1</v>
      </c>
      <c r="K58" s="24">
        <v>46302</v>
      </c>
      <c r="L58" s="24">
        <v>46302</v>
      </c>
      <c r="M58" s="24">
        <v>46302</v>
      </c>
      <c r="N58" s="63" t="s">
        <v>174</v>
      </c>
      <c r="O58" s="62" t="s">
        <v>166</v>
      </c>
      <c r="P58" s="21"/>
      <c r="Q58" s="21"/>
      <c r="R58" s="21"/>
      <c r="S58" s="21" t="s">
        <v>175</v>
      </c>
      <c r="T58" s="21" t="s">
        <v>167</v>
      </c>
      <c r="U58" s="21"/>
      <c r="V58" s="21"/>
      <c r="W58" s="21"/>
    </row>
    <row r="59" spans="1:23" ht="30" x14ac:dyDescent="0.2">
      <c r="A59" s="20">
        <f t="shared" si="1"/>
        <v>58</v>
      </c>
      <c r="B59" s="21" t="s">
        <v>287</v>
      </c>
      <c r="C59" s="22"/>
      <c r="D59" s="21" t="s">
        <v>627</v>
      </c>
      <c r="E59" s="22" t="s">
        <v>109</v>
      </c>
      <c r="F59" s="22" t="s">
        <v>163</v>
      </c>
      <c r="G59" s="22" t="s">
        <v>179</v>
      </c>
      <c r="H59" s="22" t="s">
        <v>173</v>
      </c>
      <c r="I59" s="22"/>
      <c r="J59" s="23">
        <v>1</v>
      </c>
      <c r="K59" s="24">
        <v>46303</v>
      </c>
      <c r="L59" s="24">
        <v>46303</v>
      </c>
      <c r="M59" s="24">
        <v>46303</v>
      </c>
      <c r="N59" s="63" t="s">
        <v>174</v>
      </c>
      <c r="O59" s="62" t="s">
        <v>166</v>
      </c>
      <c r="P59" s="21"/>
      <c r="Q59" s="21"/>
      <c r="R59" s="21"/>
      <c r="S59" s="21" t="s">
        <v>175</v>
      </c>
      <c r="T59" s="21" t="s">
        <v>167</v>
      </c>
      <c r="U59" s="21"/>
      <c r="V59" s="21"/>
      <c r="W59" s="21"/>
    </row>
    <row r="60" spans="1:23" ht="45" x14ac:dyDescent="0.2">
      <c r="A60" s="20">
        <f t="shared" si="1"/>
        <v>59</v>
      </c>
      <c r="B60" s="21" t="s">
        <v>287</v>
      </c>
      <c r="C60" s="22"/>
      <c r="D60" s="21" t="s">
        <v>628</v>
      </c>
      <c r="E60" s="22" t="s">
        <v>109</v>
      </c>
      <c r="F60" s="22" t="s">
        <v>163</v>
      </c>
      <c r="G60" s="22" t="s">
        <v>179</v>
      </c>
      <c r="H60" s="22" t="s">
        <v>173</v>
      </c>
      <c r="I60" s="22"/>
      <c r="J60" s="23">
        <v>1</v>
      </c>
      <c r="K60" s="24">
        <v>46304</v>
      </c>
      <c r="L60" s="24">
        <v>46308</v>
      </c>
      <c r="M60" s="24">
        <v>46308</v>
      </c>
      <c r="N60" s="63" t="s">
        <v>174</v>
      </c>
      <c r="O60" s="62" t="s">
        <v>166</v>
      </c>
      <c r="P60" s="21"/>
      <c r="Q60" s="21"/>
      <c r="R60" s="21"/>
      <c r="S60" s="21" t="s">
        <v>175</v>
      </c>
      <c r="T60" s="82" t="s">
        <v>476</v>
      </c>
      <c r="U60" s="21"/>
      <c r="V60" s="21"/>
      <c r="W60" s="21"/>
    </row>
    <row r="61" spans="1:23" ht="30" x14ac:dyDescent="0.2">
      <c r="A61" s="20">
        <f t="shared" si="1"/>
        <v>60</v>
      </c>
      <c r="B61" s="21" t="s">
        <v>170</v>
      </c>
      <c r="C61" s="22"/>
      <c r="D61" s="21" t="s">
        <v>629</v>
      </c>
      <c r="E61" s="22" t="s">
        <v>109</v>
      </c>
      <c r="F61" s="22" t="s">
        <v>163</v>
      </c>
      <c r="G61" s="22" t="s">
        <v>179</v>
      </c>
      <c r="H61" s="22" t="s">
        <v>173</v>
      </c>
      <c r="I61" s="22"/>
      <c r="J61" s="23">
        <v>1</v>
      </c>
      <c r="K61" s="24">
        <v>46307</v>
      </c>
      <c r="L61" s="24">
        <v>46307</v>
      </c>
      <c r="M61" s="24">
        <v>46307</v>
      </c>
      <c r="N61" s="63" t="s">
        <v>174</v>
      </c>
      <c r="O61" s="62" t="s">
        <v>166</v>
      </c>
      <c r="P61" s="21"/>
      <c r="Q61" s="21"/>
      <c r="R61" s="21"/>
      <c r="S61" s="21" t="s">
        <v>175</v>
      </c>
      <c r="T61" s="82" t="s">
        <v>476</v>
      </c>
      <c r="U61" s="21"/>
      <c r="V61" s="21"/>
      <c r="W61" s="21"/>
    </row>
    <row r="62" spans="1:23" ht="16" x14ac:dyDescent="0.2">
      <c r="A62" s="20">
        <f t="shared" si="1"/>
        <v>61</v>
      </c>
      <c r="B62" s="21" t="s">
        <v>170</v>
      </c>
      <c r="C62" s="22"/>
      <c r="D62" s="21" t="s">
        <v>630</v>
      </c>
      <c r="E62" s="22" t="s">
        <v>109</v>
      </c>
      <c r="F62" s="22" t="s">
        <v>163</v>
      </c>
      <c r="G62" s="22" t="s">
        <v>179</v>
      </c>
      <c r="H62" s="22" t="s">
        <v>173</v>
      </c>
      <c r="I62" s="22"/>
      <c r="J62" s="23">
        <v>1</v>
      </c>
      <c r="K62" s="24">
        <v>46308</v>
      </c>
      <c r="L62" s="24">
        <v>46308</v>
      </c>
      <c r="M62" s="24">
        <v>46308</v>
      </c>
      <c r="N62" s="63" t="s">
        <v>174</v>
      </c>
      <c r="O62" s="62" t="s">
        <v>166</v>
      </c>
      <c r="P62" s="21"/>
      <c r="Q62" s="21"/>
      <c r="R62" s="21"/>
      <c r="S62" s="21" t="s">
        <v>175</v>
      </c>
      <c r="T62" s="82" t="s">
        <v>476</v>
      </c>
      <c r="U62" s="21"/>
      <c r="V62" s="21"/>
      <c r="W62" s="21"/>
    </row>
    <row r="63" spans="1:23" ht="30" x14ac:dyDescent="0.2">
      <c r="A63" s="20">
        <f t="shared" si="1"/>
        <v>62</v>
      </c>
      <c r="B63" s="21" t="s">
        <v>170</v>
      </c>
      <c r="C63" s="22"/>
      <c r="D63" s="21" t="s">
        <v>631</v>
      </c>
      <c r="E63" s="22" t="s">
        <v>109</v>
      </c>
      <c r="F63" s="22" t="s">
        <v>163</v>
      </c>
      <c r="G63" s="22" t="s">
        <v>179</v>
      </c>
      <c r="H63" s="22" t="s">
        <v>632</v>
      </c>
      <c r="I63" s="22"/>
      <c r="J63" s="23">
        <v>1</v>
      </c>
      <c r="K63" s="24">
        <v>46309</v>
      </c>
      <c r="L63" s="24">
        <v>46309</v>
      </c>
      <c r="M63" s="24">
        <v>46309</v>
      </c>
      <c r="N63" s="63" t="s">
        <v>174</v>
      </c>
      <c r="O63" s="62" t="s">
        <v>166</v>
      </c>
      <c r="P63" s="21"/>
      <c r="Q63" s="21"/>
      <c r="R63" s="21"/>
      <c r="S63" s="21" t="s">
        <v>175</v>
      </c>
      <c r="T63" s="82" t="s">
        <v>476</v>
      </c>
      <c r="U63" s="21"/>
      <c r="V63" s="21"/>
      <c r="W63" s="21"/>
    </row>
    <row r="64" spans="1:23" ht="30" x14ac:dyDescent="0.2">
      <c r="A64" s="20">
        <f t="shared" si="1"/>
        <v>63</v>
      </c>
      <c r="B64" s="21" t="s">
        <v>170</v>
      </c>
      <c r="C64" s="22"/>
      <c r="D64" s="21" t="s">
        <v>633</v>
      </c>
      <c r="E64" s="22" t="s">
        <v>109</v>
      </c>
      <c r="F64" s="22" t="s">
        <v>163</v>
      </c>
      <c r="G64" s="22" t="s">
        <v>179</v>
      </c>
      <c r="H64" s="22" t="s">
        <v>173</v>
      </c>
      <c r="I64" s="22"/>
      <c r="J64" s="23">
        <v>1</v>
      </c>
      <c r="K64" s="24">
        <v>46309</v>
      </c>
      <c r="L64" s="24">
        <v>46311</v>
      </c>
      <c r="M64" s="24">
        <v>46311</v>
      </c>
      <c r="N64" s="63" t="s">
        <v>174</v>
      </c>
      <c r="O64" s="62" t="s">
        <v>166</v>
      </c>
      <c r="P64" s="21"/>
      <c r="Q64" s="21"/>
      <c r="R64" s="21"/>
      <c r="S64" s="21" t="s">
        <v>175</v>
      </c>
      <c r="T64" s="82" t="s">
        <v>476</v>
      </c>
      <c r="U64" s="21"/>
      <c r="V64" s="21"/>
      <c r="W64" s="21"/>
    </row>
    <row r="65" spans="1:23" ht="30" x14ac:dyDescent="0.2">
      <c r="A65" s="20">
        <f t="shared" si="1"/>
        <v>64</v>
      </c>
      <c r="B65" s="21" t="s">
        <v>170</v>
      </c>
      <c r="C65" s="22"/>
      <c r="D65" s="21" t="s">
        <v>634</v>
      </c>
      <c r="E65" s="22" t="s">
        <v>109</v>
      </c>
      <c r="F65" s="22" t="s">
        <v>163</v>
      </c>
      <c r="G65" s="22" t="s">
        <v>179</v>
      </c>
      <c r="H65" s="22" t="s">
        <v>173</v>
      </c>
      <c r="I65" s="22"/>
      <c r="J65" s="23">
        <v>1</v>
      </c>
      <c r="K65" s="24">
        <v>46310</v>
      </c>
      <c r="L65" s="24">
        <v>46310</v>
      </c>
      <c r="M65" s="24">
        <v>46310</v>
      </c>
      <c r="N65" s="63" t="s">
        <v>174</v>
      </c>
      <c r="O65" s="62" t="s">
        <v>166</v>
      </c>
      <c r="P65" s="21"/>
      <c r="Q65" s="21"/>
      <c r="R65" s="21"/>
      <c r="S65" s="21" t="s">
        <v>175</v>
      </c>
      <c r="T65" s="82" t="s">
        <v>476</v>
      </c>
      <c r="U65" s="21"/>
      <c r="V65" s="21"/>
      <c r="W65" s="21"/>
    </row>
    <row r="66" spans="1:23" ht="30" x14ac:dyDescent="0.2">
      <c r="A66" s="20">
        <f t="shared" ref="A66:A97" si="2">IF(OR(D66&lt;&gt;"", B66&lt;&gt;""), ROW()-1, "")</f>
        <v>65</v>
      </c>
      <c r="B66" s="21" t="s">
        <v>170</v>
      </c>
      <c r="C66" s="22"/>
      <c r="D66" s="21" t="s">
        <v>635</v>
      </c>
      <c r="E66" s="22" t="s">
        <v>109</v>
      </c>
      <c r="F66" s="22" t="s">
        <v>163</v>
      </c>
      <c r="G66" s="22" t="s">
        <v>179</v>
      </c>
      <c r="H66" s="22" t="s">
        <v>173</v>
      </c>
      <c r="I66" s="22"/>
      <c r="J66" s="23">
        <v>1</v>
      </c>
      <c r="K66" s="24">
        <v>46311</v>
      </c>
      <c r="L66" s="24">
        <v>46311</v>
      </c>
      <c r="M66" s="24">
        <v>46311</v>
      </c>
      <c r="N66" s="63" t="s">
        <v>174</v>
      </c>
      <c r="O66" s="62" t="s">
        <v>166</v>
      </c>
      <c r="P66" s="21"/>
      <c r="Q66" s="21"/>
      <c r="R66" s="21"/>
      <c r="S66" s="21" t="s">
        <v>175</v>
      </c>
      <c r="T66" s="82" t="s">
        <v>476</v>
      </c>
      <c r="U66" s="21"/>
      <c r="V66" s="21"/>
      <c r="W66" s="21"/>
    </row>
    <row r="67" spans="1:23" ht="45" x14ac:dyDescent="0.2">
      <c r="A67" s="20">
        <f t="shared" si="2"/>
        <v>66</v>
      </c>
      <c r="B67" s="21" t="s">
        <v>170</v>
      </c>
      <c r="C67" s="22"/>
      <c r="D67" s="21" t="s">
        <v>636</v>
      </c>
      <c r="E67" s="22" t="s">
        <v>109</v>
      </c>
      <c r="F67" s="22" t="s">
        <v>163</v>
      </c>
      <c r="G67" s="22" t="s">
        <v>179</v>
      </c>
      <c r="H67" s="22" t="s">
        <v>173</v>
      </c>
      <c r="I67" s="22"/>
      <c r="J67" s="23">
        <v>1</v>
      </c>
      <c r="K67" s="24">
        <v>46314</v>
      </c>
      <c r="L67" s="24">
        <v>46314</v>
      </c>
      <c r="M67" s="24">
        <v>46314</v>
      </c>
      <c r="N67" s="63" t="s">
        <v>174</v>
      </c>
      <c r="O67" s="62" t="s">
        <v>166</v>
      </c>
      <c r="P67" s="21"/>
      <c r="Q67" s="21"/>
      <c r="R67" s="21"/>
      <c r="S67" s="21" t="s">
        <v>175</v>
      </c>
      <c r="T67" s="82" t="s">
        <v>476</v>
      </c>
      <c r="U67" s="21"/>
      <c r="V67" s="21"/>
      <c r="W67" s="21"/>
    </row>
    <row r="68" spans="1:23" ht="30" x14ac:dyDescent="0.2">
      <c r="A68" s="20">
        <f t="shared" si="2"/>
        <v>67</v>
      </c>
      <c r="B68" s="21" t="s">
        <v>341</v>
      </c>
      <c r="C68" s="22"/>
      <c r="D68" s="21" t="s">
        <v>637</v>
      </c>
      <c r="E68" s="22" t="s">
        <v>109</v>
      </c>
      <c r="F68" s="22" t="s">
        <v>163</v>
      </c>
      <c r="G68" s="22" t="s">
        <v>179</v>
      </c>
      <c r="H68" s="22" t="s">
        <v>173</v>
      </c>
      <c r="I68" s="22"/>
      <c r="J68" s="23">
        <v>1</v>
      </c>
      <c r="K68" s="24">
        <v>46314</v>
      </c>
      <c r="L68" s="24">
        <v>46314</v>
      </c>
      <c r="M68" s="24">
        <v>46314</v>
      </c>
      <c r="N68" s="63" t="s">
        <v>344</v>
      </c>
      <c r="O68" s="62" t="s">
        <v>166</v>
      </c>
      <c r="P68" s="21"/>
      <c r="Q68" s="21"/>
      <c r="R68" s="21"/>
      <c r="S68" s="21" t="s">
        <v>175</v>
      </c>
      <c r="T68" s="82" t="s">
        <v>476</v>
      </c>
      <c r="U68" s="21"/>
      <c r="V68" s="21"/>
      <c r="W68" s="21"/>
    </row>
    <row r="69" spans="1:23" ht="30" x14ac:dyDescent="0.2">
      <c r="A69" s="20">
        <f t="shared" si="2"/>
        <v>68</v>
      </c>
      <c r="B69" s="21" t="s">
        <v>385</v>
      </c>
      <c r="C69" s="22"/>
      <c r="D69" s="21" t="s">
        <v>638</v>
      </c>
      <c r="E69" s="22" t="s">
        <v>109</v>
      </c>
      <c r="F69" s="22" t="s">
        <v>163</v>
      </c>
      <c r="G69" s="22" t="s">
        <v>179</v>
      </c>
      <c r="H69" s="22" t="s">
        <v>387</v>
      </c>
      <c r="I69" s="22"/>
      <c r="J69" s="23">
        <v>1</v>
      </c>
      <c r="K69" s="24">
        <v>46315</v>
      </c>
      <c r="L69" s="24">
        <v>46315</v>
      </c>
      <c r="M69" s="24">
        <v>46315</v>
      </c>
      <c r="N69" s="21"/>
      <c r="O69" s="62" t="s">
        <v>166</v>
      </c>
      <c r="P69" s="21"/>
      <c r="Q69" s="21"/>
      <c r="R69" s="21"/>
      <c r="S69" s="21" t="s">
        <v>175</v>
      </c>
      <c r="T69" s="82" t="s">
        <v>476</v>
      </c>
      <c r="U69" s="21"/>
      <c r="V69" s="21"/>
      <c r="W69" s="21"/>
    </row>
    <row r="70" spans="1:23" ht="30" x14ac:dyDescent="0.2">
      <c r="A70" s="20">
        <f t="shared" si="2"/>
        <v>69</v>
      </c>
      <c r="B70" s="21" t="s">
        <v>385</v>
      </c>
      <c r="C70" s="22"/>
      <c r="D70" s="21" t="s">
        <v>639</v>
      </c>
      <c r="E70" s="22" t="s">
        <v>109</v>
      </c>
      <c r="F70" s="22" t="s">
        <v>163</v>
      </c>
      <c r="G70" s="22" t="s">
        <v>179</v>
      </c>
      <c r="H70" s="22" t="s">
        <v>387</v>
      </c>
      <c r="I70" s="22"/>
      <c r="J70" s="23">
        <v>1</v>
      </c>
      <c r="K70" s="24">
        <v>46316</v>
      </c>
      <c r="L70" s="24">
        <v>46316</v>
      </c>
      <c r="M70" s="24">
        <v>46316</v>
      </c>
      <c r="N70" s="21"/>
      <c r="O70" s="62" t="s">
        <v>166</v>
      </c>
      <c r="P70" s="21"/>
      <c r="Q70" s="21"/>
      <c r="R70" s="21"/>
      <c r="S70" s="21" t="s">
        <v>175</v>
      </c>
      <c r="T70" s="82" t="s">
        <v>476</v>
      </c>
      <c r="U70" s="21"/>
      <c r="V70" s="21"/>
      <c r="W70" s="21"/>
    </row>
    <row r="71" spans="1:23" ht="30" x14ac:dyDescent="0.2">
      <c r="A71" s="20">
        <f t="shared" si="2"/>
        <v>70</v>
      </c>
      <c r="B71" s="21" t="s">
        <v>389</v>
      </c>
      <c r="C71" s="22"/>
      <c r="D71" s="21" t="s">
        <v>640</v>
      </c>
      <c r="E71" s="22" t="s">
        <v>109</v>
      </c>
      <c r="F71" s="22" t="s">
        <v>172</v>
      </c>
      <c r="G71" s="22" t="s">
        <v>179</v>
      </c>
      <c r="H71" s="22" t="s">
        <v>173</v>
      </c>
      <c r="I71" s="22"/>
      <c r="J71" s="23">
        <v>1</v>
      </c>
      <c r="K71" s="24">
        <v>46317</v>
      </c>
      <c r="L71" s="24">
        <v>46317</v>
      </c>
      <c r="M71" s="24">
        <v>46317</v>
      </c>
      <c r="N71" s="21"/>
      <c r="O71" s="62" t="s">
        <v>166</v>
      </c>
      <c r="P71" s="21"/>
      <c r="Q71" s="21"/>
      <c r="R71" s="21"/>
      <c r="S71" s="21" t="s">
        <v>175</v>
      </c>
      <c r="T71" s="82" t="s">
        <v>476</v>
      </c>
      <c r="U71" s="21"/>
      <c r="V71" s="21"/>
      <c r="W71" s="21"/>
    </row>
    <row r="72" spans="1:23" ht="30" x14ac:dyDescent="0.2">
      <c r="A72" s="20">
        <f t="shared" si="2"/>
        <v>71</v>
      </c>
      <c r="B72" s="21" t="s">
        <v>385</v>
      </c>
      <c r="C72" s="22"/>
      <c r="D72" s="21" t="s">
        <v>641</v>
      </c>
      <c r="E72" s="22" t="s">
        <v>110</v>
      </c>
      <c r="F72" s="22" t="s">
        <v>172</v>
      </c>
      <c r="G72" s="22" t="s">
        <v>179</v>
      </c>
      <c r="H72" s="22" t="s">
        <v>387</v>
      </c>
      <c r="I72" s="22"/>
      <c r="J72" s="23">
        <v>0.15</v>
      </c>
      <c r="K72" s="24">
        <v>46317</v>
      </c>
      <c r="L72" s="24">
        <v>46325</v>
      </c>
      <c r="M72" s="24">
        <v>46325</v>
      </c>
      <c r="N72" s="21"/>
      <c r="O72" s="62" t="s">
        <v>166</v>
      </c>
      <c r="P72" s="21"/>
      <c r="Q72" s="21"/>
      <c r="R72" s="21"/>
      <c r="S72" s="21" t="s">
        <v>175</v>
      </c>
      <c r="T72" s="82" t="s">
        <v>476</v>
      </c>
      <c r="U72" s="21"/>
      <c r="V72" s="21"/>
      <c r="W72" s="21"/>
    </row>
    <row r="73" spans="1:23" ht="16" x14ac:dyDescent="0.2">
      <c r="A73" s="20">
        <f t="shared" si="2"/>
        <v>72</v>
      </c>
      <c r="B73" s="21" t="s">
        <v>385</v>
      </c>
      <c r="C73" s="22"/>
      <c r="D73" s="21" t="s">
        <v>642</v>
      </c>
      <c r="E73" s="22" t="s">
        <v>109</v>
      </c>
      <c r="F73" s="22" t="s">
        <v>172</v>
      </c>
      <c r="G73" s="22" t="s">
        <v>179</v>
      </c>
      <c r="H73" s="22" t="s">
        <v>387</v>
      </c>
      <c r="I73" s="22"/>
      <c r="J73" s="23">
        <v>1</v>
      </c>
      <c r="K73" s="24">
        <v>46317</v>
      </c>
      <c r="L73" s="24">
        <v>46317</v>
      </c>
      <c r="M73" s="24">
        <v>46317</v>
      </c>
      <c r="N73" s="21"/>
      <c r="O73" s="62" t="s">
        <v>166</v>
      </c>
      <c r="P73" s="21"/>
      <c r="Q73" s="21"/>
      <c r="R73" s="21"/>
      <c r="S73" s="21" t="s">
        <v>175</v>
      </c>
      <c r="T73" s="82" t="s">
        <v>476</v>
      </c>
      <c r="U73" s="21"/>
      <c r="V73" s="21"/>
      <c r="W73" s="21"/>
    </row>
    <row r="74" spans="1:23" ht="30" x14ac:dyDescent="0.2">
      <c r="A74" s="20">
        <f t="shared" si="2"/>
        <v>73</v>
      </c>
      <c r="B74" s="21" t="s">
        <v>385</v>
      </c>
      <c r="C74" s="22"/>
      <c r="D74" s="21" t="s">
        <v>643</v>
      </c>
      <c r="E74" s="22" t="s">
        <v>109</v>
      </c>
      <c r="F74" s="22" t="s">
        <v>172</v>
      </c>
      <c r="G74" s="22" t="s">
        <v>179</v>
      </c>
      <c r="H74" s="22" t="s">
        <v>387</v>
      </c>
      <c r="I74" s="22"/>
      <c r="J74" s="23">
        <v>1</v>
      </c>
      <c r="K74" s="24">
        <v>46318</v>
      </c>
      <c r="L74" s="24">
        <v>46318</v>
      </c>
      <c r="M74" s="24">
        <v>46318</v>
      </c>
      <c r="N74" s="21"/>
      <c r="O74" s="62" t="s">
        <v>166</v>
      </c>
      <c r="P74" s="21"/>
      <c r="Q74" s="21"/>
      <c r="R74" s="21"/>
      <c r="S74" s="21" t="s">
        <v>175</v>
      </c>
      <c r="T74" s="82" t="s">
        <v>476</v>
      </c>
      <c r="U74" s="21"/>
      <c r="V74" s="21"/>
      <c r="W74" s="21"/>
    </row>
    <row r="75" spans="1:23" x14ac:dyDescent="0.2">
      <c r="A75" s="20" t="str">
        <f t="shared" si="2"/>
        <v/>
      </c>
      <c r="B75" s="21"/>
      <c r="C75" s="22"/>
      <c r="D75" s="21"/>
      <c r="E75" s="22"/>
      <c r="F75" s="22"/>
      <c r="G75" s="22"/>
      <c r="H75" s="22"/>
      <c r="I75" s="22"/>
      <c r="J75" s="22"/>
      <c r="K75" s="22"/>
      <c r="L75" s="22"/>
      <c r="M75" s="22"/>
      <c r="N75" s="21"/>
      <c r="O75" s="21"/>
      <c r="P75" s="21"/>
      <c r="Q75" s="21"/>
      <c r="R75" s="21"/>
      <c r="S75" s="21"/>
      <c r="T75" s="21"/>
      <c r="U75" s="21"/>
      <c r="V75" s="21"/>
      <c r="W75" s="21"/>
    </row>
    <row r="76" spans="1:23" x14ac:dyDescent="0.2">
      <c r="A76" s="20" t="str">
        <f t="shared" si="2"/>
        <v/>
      </c>
      <c r="B76" s="21"/>
      <c r="C76" s="22"/>
      <c r="D76" s="21"/>
      <c r="E76" s="22"/>
      <c r="F76" s="22"/>
      <c r="G76" s="22"/>
      <c r="H76" s="22"/>
      <c r="I76" s="22"/>
      <c r="J76" s="22"/>
      <c r="K76" s="22"/>
      <c r="L76" s="22"/>
      <c r="M76" s="22"/>
      <c r="N76" s="21"/>
      <c r="O76" s="21"/>
      <c r="P76" s="21"/>
      <c r="Q76" s="21"/>
      <c r="R76" s="21"/>
      <c r="S76" s="21"/>
      <c r="T76" s="21"/>
      <c r="U76" s="21"/>
      <c r="V76" s="21"/>
      <c r="W76" s="21"/>
    </row>
    <row r="77" spans="1:23" x14ac:dyDescent="0.2">
      <c r="A77" s="20" t="str">
        <f t="shared" si="2"/>
        <v/>
      </c>
      <c r="B77" s="21"/>
      <c r="C77" s="22"/>
      <c r="D77" s="21"/>
      <c r="E77" s="22"/>
      <c r="F77" s="22"/>
      <c r="G77" s="22"/>
      <c r="H77" s="22"/>
      <c r="I77" s="22"/>
      <c r="J77" s="22"/>
      <c r="K77" s="22"/>
      <c r="L77" s="22"/>
      <c r="M77" s="22"/>
      <c r="N77" s="21"/>
      <c r="O77" s="21"/>
      <c r="P77" s="21"/>
      <c r="Q77" s="21"/>
      <c r="R77" s="21"/>
      <c r="S77" s="21"/>
      <c r="T77" s="21"/>
      <c r="U77" s="21"/>
      <c r="V77" s="21"/>
      <c r="W77" s="21"/>
    </row>
    <row r="78" spans="1:23" x14ac:dyDescent="0.2">
      <c r="A78" s="20" t="str">
        <f t="shared" si="2"/>
        <v/>
      </c>
      <c r="B78" s="21"/>
      <c r="C78" s="22"/>
      <c r="D78" s="21"/>
      <c r="E78" s="22"/>
      <c r="F78" s="22"/>
      <c r="G78" s="22"/>
      <c r="H78" s="22"/>
      <c r="I78" s="22"/>
      <c r="J78" s="22"/>
      <c r="K78" s="22"/>
      <c r="L78" s="22"/>
      <c r="M78" s="22"/>
      <c r="N78" s="21"/>
      <c r="O78" s="21"/>
      <c r="P78" s="21"/>
      <c r="Q78" s="21"/>
      <c r="R78" s="21"/>
      <c r="S78" s="21"/>
      <c r="T78" s="21"/>
      <c r="U78" s="21"/>
      <c r="V78" s="21"/>
      <c r="W78" s="21"/>
    </row>
    <row r="79" spans="1:23" x14ac:dyDescent="0.2">
      <c r="A79" s="20" t="str">
        <f t="shared" si="2"/>
        <v/>
      </c>
      <c r="B79" s="21"/>
      <c r="C79" s="22"/>
      <c r="D79" s="21"/>
      <c r="E79" s="22"/>
      <c r="F79" s="22"/>
      <c r="G79" s="22"/>
      <c r="H79" s="22"/>
      <c r="I79" s="22"/>
      <c r="J79" s="22"/>
      <c r="K79" s="22"/>
      <c r="L79" s="22"/>
      <c r="M79" s="22"/>
      <c r="N79" s="21"/>
      <c r="O79" s="21"/>
      <c r="P79" s="21"/>
      <c r="Q79" s="21"/>
      <c r="R79" s="21"/>
      <c r="S79" s="21"/>
      <c r="T79" s="21"/>
      <c r="U79" s="21"/>
      <c r="V79" s="21"/>
      <c r="W79" s="21"/>
    </row>
    <row r="80" spans="1:23" x14ac:dyDescent="0.2">
      <c r="A80" s="20" t="str">
        <f t="shared" si="2"/>
        <v/>
      </c>
      <c r="B80" s="21"/>
      <c r="C80" s="22"/>
      <c r="D80" s="21"/>
      <c r="E80" s="22"/>
      <c r="F80" s="22"/>
      <c r="G80" s="22"/>
      <c r="H80" s="22"/>
      <c r="I80" s="22"/>
      <c r="J80" s="22"/>
      <c r="K80" s="22"/>
      <c r="L80" s="22"/>
      <c r="M80" s="22"/>
      <c r="N80" s="21"/>
      <c r="O80" s="21"/>
      <c r="P80" s="21"/>
      <c r="Q80" s="21"/>
      <c r="R80" s="21"/>
      <c r="S80" s="21"/>
      <c r="T80" s="21"/>
      <c r="U80" s="21"/>
      <c r="V80" s="21"/>
      <c r="W80" s="21"/>
    </row>
    <row r="81" spans="1:23" x14ac:dyDescent="0.2">
      <c r="A81" s="20" t="str">
        <f t="shared" si="2"/>
        <v/>
      </c>
      <c r="B81" s="21"/>
      <c r="C81" s="22"/>
      <c r="D81" s="21"/>
      <c r="E81" s="22"/>
      <c r="F81" s="22"/>
      <c r="G81" s="22"/>
      <c r="H81" s="22"/>
      <c r="I81" s="22"/>
      <c r="J81" s="22"/>
      <c r="K81" s="22"/>
      <c r="L81" s="22"/>
      <c r="M81" s="22"/>
      <c r="N81" s="21"/>
      <c r="O81" s="21"/>
      <c r="P81" s="21"/>
      <c r="Q81" s="21"/>
      <c r="R81" s="21"/>
      <c r="S81" s="21"/>
      <c r="T81" s="21"/>
      <c r="U81" s="21"/>
      <c r="V81" s="21"/>
      <c r="W81" s="21"/>
    </row>
    <row r="82" spans="1:23"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21"/>
    </row>
    <row r="83" spans="1:23"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21"/>
    </row>
    <row r="84" spans="1:23"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21"/>
    </row>
    <row r="85" spans="1:23"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21"/>
    </row>
    <row r="86" spans="1:23"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21"/>
    </row>
    <row r="87" spans="1:23"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21"/>
    </row>
    <row r="88" spans="1:23"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21"/>
    </row>
    <row r="89" spans="1:23"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21"/>
    </row>
    <row r="90" spans="1:23"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21"/>
    </row>
    <row r="91" spans="1:23"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21"/>
    </row>
    <row r="92" spans="1:23"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21"/>
    </row>
    <row r="93" spans="1:23"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21"/>
    </row>
    <row r="94" spans="1:23"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21"/>
    </row>
    <row r="95" spans="1:23"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21"/>
    </row>
    <row r="96" spans="1:23"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21"/>
    </row>
    <row r="97" spans="1:23"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21"/>
    </row>
    <row r="98" spans="1:23" x14ac:dyDescent="0.2">
      <c r="A98" s="20" t="str">
        <f t="shared" ref="A98:A129" si="3">IF(OR(D98&lt;&gt;"", B98&lt;&gt;""), ROW()-1, "")</f>
        <v/>
      </c>
      <c r="B98" s="21"/>
      <c r="C98" s="22"/>
      <c r="D98" s="21"/>
      <c r="E98" s="22"/>
      <c r="F98" s="22"/>
      <c r="G98" s="22"/>
      <c r="H98" s="22"/>
      <c r="I98" s="22"/>
      <c r="J98" s="22"/>
      <c r="K98" s="22"/>
      <c r="L98" s="22"/>
      <c r="M98" s="22"/>
      <c r="N98" s="21"/>
      <c r="O98" s="21"/>
      <c r="P98" s="21"/>
      <c r="Q98" s="21"/>
      <c r="R98" s="21"/>
      <c r="S98" s="21"/>
      <c r="T98" s="21"/>
      <c r="U98" s="21"/>
      <c r="V98" s="21"/>
      <c r="W98" s="21"/>
    </row>
    <row r="99" spans="1:23" x14ac:dyDescent="0.2">
      <c r="A99" s="20" t="str">
        <f t="shared" si="3"/>
        <v/>
      </c>
      <c r="B99" s="21"/>
      <c r="C99" s="22"/>
      <c r="D99" s="21"/>
      <c r="E99" s="22"/>
      <c r="F99" s="22"/>
      <c r="G99" s="22"/>
      <c r="H99" s="22"/>
      <c r="I99" s="22"/>
      <c r="J99" s="22"/>
      <c r="K99" s="22"/>
      <c r="L99" s="22"/>
      <c r="M99" s="22"/>
      <c r="N99" s="21"/>
      <c r="O99" s="21"/>
      <c r="P99" s="21"/>
      <c r="Q99" s="21"/>
      <c r="R99" s="21"/>
      <c r="S99" s="21"/>
      <c r="T99" s="21"/>
      <c r="U99" s="21"/>
      <c r="V99" s="21"/>
      <c r="W99" s="21"/>
    </row>
    <row r="100" spans="1:23" x14ac:dyDescent="0.2">
      <c r="A100" s="20" t="str">
        <f t="shared" si="3"/>
        <v/>
      </c>
      <c r="B100" s="21"/>
      <c r="C100" s="22"/>
      <c r="D100" s="21"/>
      <c r="E100" s="22"/>
      <c r="F100" s="22"/>
      <c r="G100" s="22"/>
      <c r="H100" s="22"/>
      <c r="I100" s="22"/>
      <c r="J100" s="22"/>
      <c r="K100" s="22"/>
      <c r="L100" s="22"/>
      <c r="M100" s="22"/>
      <c r="N100" s="21"/>
      <c r="O100" s="21"/>
      <c r="P100" s="21"/>
      <c r="Q100" s="21"/>
      <c r="R100" s="21"/>
      <c r="S100" s="21"/>
      <c r="T100" s="21"/>
      <c r="U100" s="21"/>
      <c r="V100" s="21"/>
      <c r="W100" s="21"/>
    </row>
    <row r="101" spans="1:23" x14ac:dyDescent="0.2">
      <c r="A101" s="20" t="str">
        <f t="shared" si="3"/>
        <v/>
      </c>
      <c r="B101" s="21"/>
      <c r="C101" s="22"/>
      <c r="D101" s="21"/>
      <c r="E101" s="22"/>
      <c r="F101" s="22"/>
      <c r="G101" s="22"/>
      <c r="H101" s="22"/>
      <c r="I101" s="22"/>
      <c r="J101" s="22"/>
      <c r="K101" s="22"/>
      <c r="L101" s="22"/>
      <c r="M101" s="22"/>
      <c r="N101" s="21"/>
      <c r="O101" s="21"/>
      <c r="P101" s="21"/>
      <c r="Q101" s="21"/>
      <c r="R101" s="21"/>
      <c r="S101" s="21"/>
      <c r="T101" s="21"/>
      <c r="U101" s="21"/>
      <c r="V101" s="21"/>
      <c r="W101" s="21"/>
    </row>
    <row r="102" spans="1:23" x14ac:dyDescent="0.2">
      <c r="A102" s="20" t="str">
        <f t="shared" si="3"/>
        <v/>
      </c>
      <c r="B102" s="21"/>
      <c r="C102" s="22"/>
      <c r="D102" s="21"/>
      <c r="E102" s="22"/>
      <c r="F102" s="22"/>
      <c r="G102" s="22"/>
      <c r="H102" s="22"/>
      <c r="I102" s="22"/>
      <c r="J102" s="22"/>
      <c r="K102" s="22"/>
      <c r="L102" s="22"/>
      <c r="M102" s="22"/>
      <c r="N102" s="21"/>
      <c r="O102" s="21"/>
      <c r="P102" s="21"/>
      <c r="Q102" s="21"/>
      <c r="R102" s="21"/>
      <c r="S102" s="21"/>
      <c r="T102" s="21"/>
      <c r="U102" s="21"/>
      <c r="V102" s="21"/>
      <c r="W102" s="21"/>
    </row>
    <row r="103" spans="1:23" x14ac:dyDescent="0.2">
      <c r="A103" s="20" t="str">
        <f t="shared" si="3"/>
        <v/>
      </c>
      <c r="B103" s="21"/>
      <c r="C103" s="22"/>
      <c r="D103" s="21"/>
      <c r="E103" s="22"/>
      <c r="F103" s="22"/>
      <c r="G103" s="22"/>
      <c r="H103" s="22"/>
      <c r="I103" s="22"/>
      <c r="J103" s="22"/>
      <c r="K103" s="22"/>
      <c r="L103" s="22"/>
      <c r="M103" s="22"/>
      <c r="N103" s="21"/>
      <c r="O103" s="21"/>
      <c r="P103" s="21"/>
      <c r="Q103" s="21"/>
      <c r="R103" s="21"/>
      <c r="S103" s="21"/>
      <c r="T103" s="21"/>
      <c r="U103" s="21"/>
      <c r="V103" s="21"/>
      <c r="W103" s="21"/>
    </row>
    <row r="104" spans="1:23" x14ac:dyDescent="0.2">
      <c r="A104" s="20" t="str">
        <f t="shared" si="3"/>
        <v/>
      </c>
      <c r="B104" s="21"/>
      <c r="C104" s="22"/>
      <c r="D104" s="21"/>
      <c r="E104" s="22"/>
      <c r="F104" s="22"/>
      <c r="G104" s="22"/>
      <c r="H104" s="22"/>
      <c r="I104" s="22"/>
      <c r="J104" s="22"/>
      <c r="K104" s="22"/>
      <c r="L104" s="22"/>
      <c r="M104" s="22"/>
      <c r="N104" s="21"/>
      <c r="O104" s="21"/>
      <c r="P104" s="21"/>
      <c r="Q104" s="21"/>
      <c r="R104" s="21"/>
      <c r="S104" s="21"/>
      <c r="T104" s="21"/>
      <c r="U104" s="21"/>
      <c r="V104" s="21"/>
      <c r="W104" s="21"/>
    </row>
    <row r="105" spans="1:23" x14ac:dyDescent="0.2">
      <c r="A105" s="20" t="str">
        <f t="shared" si="3"/>
        <v/>
      </c>
      <c r="B105" s="21"/>
      <c r="C105" s="22"/>
      <c r="D105" s="21"/>
      <c r="E105" s="22"/>
      <c r="F105" s="22"/>
      <c r="G105" s="22"/>
      <c r="H105" s="22"/>
      <c r="I105" s="22"/>
      <c r="J105" s="22"/>
      <c r="K105" s="22"/>
      <c r="L105" s="22"/>
      <c r="M105" s="22"/>
      <c r="N105" s="21"/>
      <c r="O105" s="21"/>
      <c r="P105" s="21"/>
      <c r="Q105" s="21"/>
      <c r="R105" s="21"/>
      <c r="S105" s="21"/>
      <c r="T105" s="21"/>
      <c r="U105" s="21"/>
      <c r="V105" s="21"/>
      <c r="W105" s="21"/>
    </row>
    <row r="106" spans="1:23" x14ac:dyDescent="0.2">
      <c r="A106" s="20" t="str">
        <f t="shared" si="3"/>
        <v/>
      </c>
      <c r="B106" s="21"/>
      <c r="C106" s="22"/>
      <c r="D106" s="21"/>
      <c r="E106" s="22"/>
      <c r="F106" s="22"/>
      <c r="G106" s="22"/>
      <c r="H106" s="22"/>
      <c r="I106" s="22"/>
      <c r="J106" s="22"/>
      <c r="K106" s="22"/>
      <c r="L106" s="22"/>
      <c r="M106" s="22"/>
      <c r="N106" s="21"/>
      <c r="O106" s="21"/>
      <c r="P106" s="21"/>
      <c r="Q106" s="21"/>
      <c r="R106" s="21"/>
      <c r="S106" s="21"/>
      <c r="T106" s="21"/>
      <c r="U106" s="21"/>
      <c r="V106" s="21"/>
      <c r="W106" s="21"/>
    </row>
    <row r="107" spans="1:23" x14ac:dyDescent="0.2">
      <c r="A107" s="20" t="str">
        <f t="shared" si="3"/>
        <v/>
      </c>
      <c r="B107" s="21"/>
      <c r="C107" s="22"/>
      <c r="D107" s="21"/>
      <c r="E107" s="22"/>
      <c r="F107" s="22"/>
      <c r="G107" s="22"/>
      <c r="H107" s="22"/>
      <c r="I107" s="22"/>
      <c r="J107" s="22"/>
      <c r="K107" s="22"/>
      <c r="L107" s="22"/>
      <c r="M107" s="22"/>
      <c r="N107" s="21"/>
      <c r="O107" s="21"/>
      <c r="P107" s="21"/>
      <c r="Q107" s="21"/>
      <c r="R107" s="21"/>
      <c r="S107" s="21"/>
      <c r="T107" s="21"/>
      <c r="U107" s="21"/>
      <c r="V107" s="21"/>
      <c r="W107" s="21"/>
    </row>
    <row r="108" spans="1:23" x14ac:dyDescent="0.2">
      <c r="A108" s="20" t="str">
        <f t="shared" si="3"/>
        <v/>
      </c>
      <c r="B108" s="21"/>
      <c r="C108" s="22"/>
      <c r="D108" s="21"/>
      <c r="E108" s="22"/>
      <c r="F108" s="22"/>
      <c r="G108" s="22"/>
      <c r="H108" s="22"/>
      <c r="I108" s="22"/>
      <c r="J108" s="22"/>
      <c r="K108" s="22"/>
      <c r="L108" s="22"/>
      <c r="M108" s="22"/>
      <c r="N108" s="21"/>
      <c r="O108" s="21"/>
      <c r="P108" s="21"/>
      <c r="Q108" s="21"/>
      <c r="R108" s="21"/>
      <c r="S108" s="21"/>
      <c r="T108" s="21"/>
      <c r="U108" s="21"/>
      <c r="V108" s="21"/>
      <c r="W108" s="21"/>
    </row>
    <row r="109" spans="1:23" x14ac:dyDescent="0.2">
      <c r="A109" s="20" t="str">
        <f t="shared" si="3"/>
        <v/>
      </c>
      <c r="B109" s="21"/>
      <c r="C109" s="22"/>
      <c r="D109" s="21"/>
      <c r="E109" s="22"/>
      <c r="F109" s="22"/>
      <c r="G109" s="22"/>
      <c r="H109" s="22"/>
      <c r="I109" s="22"/>
      <c r="J109" s="22"/>
      <c r="K109" s="22"/>
      <c r="L109" s="22"/>
      <c r="M109" s="22"/>
      <c r="N109" s="21"/>
      <c r="O109" s="21"/>
      <c r="P109" s="21"/>
      <c r="Q109" s="21"/>
      <c r="R109" s="21"/>
      <c r="S109" s="21"/>
      <c r="T109" s="21"/>
      <c r="U109" s="21"/>
      <c r="V109" s="21"/>
      <c r="W109" s="21"/>
    </row>
    <row r="110" spans="1:23" x14ac:dyDescent="0.2">
      <c r="A110" s="20" t="str">
        <f t="shared" si="3"/>
        <v/>
      </c>
      <c r="B110" s="21"/>
      <c r="C110" s="22"/>
      <c r="D110" s="21"/>
      <c r="E110" s="22"/>
      <c r="F110" s="22"/>
      <c r="G110" s="22"/>
      <c r="H110" s="22"/>
      <c r="I110" s="22"/>
      <c r="J110" s="22"/>
      <c r="K110" s="22"/>
      <c r="L110" s="22"/>
      <c r="M110" s="22"/>
      <c r="N110" s="21"/>
      <c r="O110" s="21"/>
      <c r="P110" s="21"/>
      <c r="Q110" s="21"/>
      <c r="R110" s="21"/>
      <c r="S110" s="21"/>
      <c r="T110" s="21"/>
      <c r="U110" s="21"/>
      <c r="V110" s="21"/>
      <c r="W110" s="21"/>
    </row>
    <row r="111" spans="1:23" x14ac:dyDescent="0.2">
      <c r="A111" s="20" t="str">
        <f t="shared" si="3"/>
        <v/>
      </c>
      <c r="B111" s="21"/>
      <c r="C111" s="22"/>
      <c r="D111" s="21"/>
      <c r="E111" s="22"/>
      <c r="F111" s="22"/>
      <c r="G111" s="22"/>
      <c r="H111" s="22"/>
      <c r="I111" s="22"/>
      <c r="J111" s="22"/>
      <c r="K111" s="22"/>
      <c r="L111" s="22"/>
      <c r="M111" s="22"/>
      <c r="N111" s="21"/>
      <c r="O111" s="21"/>
      <c r="P111" s="21"/>
      <c r="Q111" s="21"/>
      <c r="R111" s="21"/>
      <c r="S111" s="21"/>
      <c r="T111" s="21"/>
      <c r="U111" s="21"/>
      <c r="V111" s="21"/>
      <c r="W111" s="21"/>
    </row>
    <row r="112" spans="1:23" x14ac:dyDescent="0.2">
      <c r="A112" s="20" t="str">
        <f t="shared" si="3"/>
        <v/>
      </c>
      <c r="B112" s="21"/>
      <c r="C112" s="22"/>
      <c r="D112" s="21"/>
      <c r="E112" s="22"/>
      <c r="F112" s="22"/>
      <c r="G112" s="22"/>
      <c r="H112" s="22"/>
      <c r="I112" s="22"/>
      <c r="J112" s="22"/>
      <c r="K112" s="22"/>
      <c r="L112" s="22"/>
      <c r="M112" s="22"/>
      <c r="N112" s="21"/>
      <c r="O112" s="21"/>
      <c r="P112" s="21"/>
      <c r="Q112" s="21"/>
      <c r="R112" s="21"/>
      <c r="S112" s="21"/>
      <c r="T112" s="21"/>
      <c r="U112" s="21"/>
      <c r="V112" s="21"/>
      <c r="W112" s="21"/>
    </row>
    <row r="113" spans="1:23" x14ac:dyDescent="0.2">
      <c r="A113" s="20" t="str">
        <f t="shared" si="3"/>
        <v/>
      </c>
      <c r="B113" s="21"/>
      <c r="C113" s="22"/>
      <c r="D113" s="21"/>
      <c r="E113" s="22"/>
      <c r="F113" s="22"/>
      <c r="G113" s="22"/>
      <c r="H113" s="22"/>
      <c r="I113" s="22"/>
      <c r="J113" s="22"/>
      <c r="K113" s="22"/>
      <c r="L113" s="22"/>
      <c r="M113" s="22"/>
      <c r="N113" s="21"/>
      <c r="O113" s="21"/>
      <c r="P113" s="21"/>
      <c r="Q113" s="21"/>
      <c r="R113" s="21"/>
      <c r="S113" s="21"/>
      <c r="T113" s="21"/>
      <c r="U113" s="21"/>
      <c r="V113" s="21"/>
      <c r="W113" s="21"/>
    </row>
    <row r="114" spans="1:23" x14ac:dyDescent="0.2">
      <c r="A114" s="20" t="str">
        <f t="shared" si="3"/>
        <v/>
      </c>
      <c r="B114" s="21"/>
      <c r="C114" s="22"/>
      <c r="D114" s="21"/>
      <c r="E114" s="22"/>
      <c r="F114" s="22"/>
      <c r="G114" s="22"/>
      <c r="H114" s="22"/>
      <c r="I114" s="22"/>
      <c r="J114" s="22"/>
      <c r="K114" s="22"/>
      <c r="L114" s="22"/>
      <c r="M114" s="22"/>
      <c r="N114" s="21"/>
      <c r="O114" s="21"/>
      <c r="P114" s="21"/>
      <c r="Q114" s="21"/>
      <c r="R114" s="21"/>
      <c r="S114" s="21"/>
      <c r="T114" s="21"/>
      <c r="U114" s="21"/>
      <c r="V114" s="21"/>
      <c r="W114" s="21"/>
    </row>
    <row r="115" spans="1:23" x14ac:dyDescent="0.2">
      <c r="A115" s="20" t="str">
        <f t="shared" si="3"/>
        <v/>
      </c>
      <c r="B115" s="21"/>
      <c r="C115" s="22"/>
      <c r="D115" s="21"/>
      <c r="E115" s="22"/>
      <c r="F115" s="22"/>
      <c r="G115" s="22"/>
      <c r="H115" s="22"/>
      <c r="I115" s="22"/>
      <c r="J115" s="22"/>
      <c r="K115" s="22"/>
      <c r="L115" s="22"/>
      <c r="M115" s="22"/>
      <c r="N115" s="21"/>
      <c r="O115" s="21"/>
      <c r="P115" s="21"/>
      <c r="Q115" s="21"/>
      <c r="R115" s="21"/>
      <c r="S115" s="21"/>
      <c r="T115" s="21"/>
      <c r="U115" s="21"/>
      <c r="V115" s="21"/>
      <c r="W115" s="21"/>
    </row>
    <row r="116" spans="1:23" x14ac:dyDescent="0.2">
      <c r="A116" s="20" t="str">
        <f t="shared" si="3"/>
        <v/>
      </c>
      <c r="B116" s="21"/>
      <c r="C116" s="22"/>
      <c r="D116" s="21"/>
      <c r="E116" s="22"/>
      <c r="F116" s="22"/>
      <c r="G116" s="22"/>
      <c r="H116" s="22"/>
      <c r="I116" s="22"/>
      <c r="J116" s="22"/>
      <c r="K116" s="22"/>
      <c r="L116" s="22"/>
      <c r="M116" s="22"/>
      <c r="N116" s="21"/>
      <c r="O116" s="21"/>
      <c r="P116" s="21"/>
      <c r="Q116" s="21"/>
      <c r="R116" s="21"/>
      <c r="S116" s="21"/>
      <c r="T116" s="21"/>
      <c r="U116" s="21"/>
      <c r="V116" s="21"/>
      <c r="W116" s="21"/>
    </row>
    <row r="117" spans="1:23"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21"/>
    </row>
    <row r="118" spans="1:23"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21"/>
    </row>
    <row r="119" spans="1:23"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21"/>
    </row>
    <row r="120" spans="1:23"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21"/>
    </row>
    <row r="121" spans="1:23"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21"/>
    </row>
    <row r="122" spans="1:23"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21"/>
    </row>
    <row r="123" spans="1:23"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21"/>
    </row>
    <row r="124" spans="1:23"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21"/>
    </row>
    <row r="125" spans="1:23"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21"/>
    </row>
    <row r="126" spans="1:23" x14ac:dyDescent="0.2">
      <c r="A126" s="20" t="str">
        <f t="shared" si="3"/>
        <v/>
      </c>
      <c r="B126" s="21"/>
      <c r="C126" s="22"/>
      <c r="D126" s="21"/>
      <c r="E126" s="22"/>
      <c r="F126" s="22"/>
      <c r="G126" s="22"/>
      <c r="H126" s="22"/>
      <c r="I126" s="22"/>
      <c r="J126" s="22"/>
      <c r="K126" s="22"/>
      <c r="L126" s="22"/>
      <c r="M126" s="22"/>
      <c r="N126" s="21"/>
      <c r="O126" s="21"/>
      <c r="P126" s="21"/>
      <c r="Q126" s="21"/>
      <c r="R126" s="21"/>
      <c r="S126" s="21"/>
      <c r="T126" s="21"/>
      <c r="U126" s="21"/>
      <c r="V126" s="21"/>
      <c r="W126" s="21"/>
    </row>
    <row r="127" spans="1:23" x14ac:dyDescent="0.2">
      <c r="A127" s="20" t="str">
        <f t="shared" si="3"/>
        <v/>
      </c>
      <c r="B127" s="21"/>
      <c r="C127" s="22"/>
      <c r="D127" s="21"/>
      <c r="E127" s="22"/>
      <c r="F127" s="22"/>
      <c r="G127" s="22"/>
      <c r="H127" s="22"/>
      <c r="I127" s="22"/>
      <c r="J127" s="22"/>
      <c r="K127" s="22"/>
      <c r="L127" s="22"/>
      <c r="M127" s="22"/>
      <c r="N127" s="21"/>
      <c r="O127" s="21"/>
      <c r="P127" s="21"/>
      <c r="Q127" s="21"/>
      <c r="R127" s="21"/>
      <c r="S127" s="21"/>
      <c r="T127" s="21"/>
      <c r="U127" s="21"/>
      <c r="V127" s="21"/>
      <c r="W127" s="21"/>
    </row>
    <row r="128" spans="1:23" x14ac:dyDescent="0.2">
      <c r="A128" s="20" t="str">
        <f t="shared" si="3"/>
        <v/>
      </c>
      <c r="B128" s="21"/>
      <c r="C128" s="22"/>
      <c r="D128" s="21"/>
      <c r="E128" s="22"/>
      <c r="F128" s="22"/>
      <c r="G128" s="22"/>
      <c r="H128" s="22"/>
      <c r="I128" s="22"/>
      <c r="J128" s="22"/>
      <c r="K128" s="22"/>
      <c r="L128" s="22"/>
      <c r="M128" s="22"/>
      <c r="N128" s="21"/>
      <c r="O128" s="21"/>
      <c r="P128" s="21"/>
      <c r="Q128" s="21"/>
      <c r="R128" s="21"/>
      <c r="S128" s="21"/>
      <c r="T128" s="21"/>
      <c r="U128" s="21"/>
      <c r="V128" s="21"/>
      <c r="W128" s="21"/>
    </row>
    <row r="129" spans="1:23" x14ac:dyDescent="0.2">
      <c r="A129" s="20" t="str">
        <f t="shared" si="3"/>
        <v/>
      </c>
      <c r="B129" s="21"/>
      <c r="C129" s="22"/>
      <c r="D129" s="21"/>
      <c r="E129" s="22"/>
      <c r="F129" s="22"/>
      <c r="G129" s="22"/>
      <c r="H129" s="22"/>
      <c r="I129" s="22"/>
      <c r="J129" s="22"/>
      <c r="K129" s="22"/>
      <c r="L129" s="22"/>
      <c r="M129" s="22"/>
      <c r="N129" s="21"/>
      <c r="O129" s="21"/>
      <c r="P129" s="21"/>
      <c r="Q129" s="21"/>
      <c r="R129" s="21"/>
      <c r="S129" s="21"/>
      <c r="T129" s="21"/>
      <c r="U129" s="21"/>
      <c r="V129" s="21"/>
      <c r="W129" s="21"/>
    </row>
    <row r="130" spans="1:23" x14ac:dyDescent="0.2">
      <c r="A130" s="20" t="str">
        <f t="shared" ref="A130:A149" si="4">IF(OR(D130&lt;&gt;"", B130&lt;&gt;""), ROW()-1, "")</f>
        <v/>
      </c>
      <c r="B130" s="21"/>
      <c r="C130" s="22"/>
      <c r="D130" s="21"/>
      <c r="E130" s="22"/>
      <c r="F130" s="22"/>
      <c r="G130" s="22"/>
      <c r="H130" s="22"/>
      <c r="I130" s="22"/>
      <c r="J130" s="22"/>
      <c r="K130" s="22"/>
      <c r="L130" s="22"/>
      <c r="M130" s="22"/>
      <c r="N130" s="21"/>
      <c r="O130" s="21"/>
      <c r="P130" s="21"/>
      <c r="Q130" s="21"/>
      <c r="R130" s="21"/>
      <c r="S130" s="21"/>
      <c r="T130" s="21"/>
      <c r="U130" s="21"/>
      <c r="V130" s="21"/>
      <c r="W130" s="21"/>
    </row>
    <row r="131" spans="1:23" x14ac:dyDescent="0.2">
      <c r="A131" s="20" t="str">
        <f t="shared" si="4"/>
        <v/>
      </c>
      <c r="B131" s="21"/>
      <c r="C131" s="22"/>
      <c r="D131" s="21"/>
      <c r="E131" s="22"/>
      <c r="F131" s="22"/>
      <c r="G131" s="22"/>
      <c r="H131" s="22"/>
      <c r="I131" s="22"/>
      <c r="J131" s="22"/>
      <c r="K131" s="22"/>
      <c r="L131" s="22"/>
      <c r="M131" s="22"/>
      <c r="N131" s="21"/>
      <c r="O131" s="21"/>
      <c r="P131" s="21"/>
      <c r="Q131" s="21"/>
      <c r="R131" s="21"/>
      <c r="S131" s="21"/>
      <c r="T131" s="21"/>
      <c r="U131" s="21"/>
      <c r="V131" s="21"/>
      <c r="W131" s="21"/>
    </row>
    <row r="132" spans="1:23" x14ac:dyDescent="0.2">
      <c r="A132" s="20" t="str">
        <f t="shared" si="4"/>
        <v/>
      </c>
      <c r="B132" s="21"/>
      <c r="C132" s="22"/>
      <c r="D132" s="21"/>
      <c r="E132" s="22"/>
      <c r="F132" s="22"/>
      <c r="G132" s="22"/>
      <c r="H132" s="22"/>
      <c r="I132" s="22"/>
      <c r="J132" s="22"/>
      <c r="K132" s="22"/>
      <c r="L132" s="22"/>
      <c r="M132" s="22"/>
      <c r="N132" s="21"/>
      <c r="O132" s="21"/>
      <c r="P132" s="21"/>
      <c r="Q132" s="21"/>
      <c r="R132" s="21"/>
      <c r="S132" s="21"/>
      <c r="T132" s="21"/>
      <c r="U132" s="21"/>
      <c r="V132" s="21"/>
      <c r="W132" s="21"/>
    </row>
    <row r="133" spans="1:23" x14ac:dyDescent="0.2">
      <c r="A133" s="20" t="str">
        <f t="shared" si="4"/>
        <v/>
      </c>
      <c r="B133" s="21"/>
      <c r="C133" s="22"/>
      <c r="D133" s="21"/>
      <c r="E133" s="22"/>
      <c r="F133" s="22"/>
      <c r="G133" s="22"/>
      <c r="H133" s="22"/>
      <c r="I133" s="22"/>
      <c r="J133" s="22"/>
      <c r="K133" s="22"/>
      <c r="L133" s="22"/>
      <c r="M133" s="22"/>
      <c r="N133" s="21"/>
      <c r="O133" s="21"/>
      <c r="P133" s="21"/>
      <c r="Q133" s="21"/>
      <c r="R133" s="21"/>
      <c r="S133" s="21"/>
      <c r="T133" s="21"/>
      <c r="U133" s="21"/>
      <c r="V133" s="21"/>
      <c r="W133" s="21"/>
    </row>
    <row r="134" spans="1:23" x14ac:dyDescent="0.2">
      <c r="A134" s="20" t="str">
        <f t="shared" si="4"/>
        <v/>
      </c>
      <c r="B134" s="21"/>
      <c r="C134" s="22"/>
      <c r="D134" s="21"/>
      <c r="E134" s="22"/>
      <c r="F134" s="22"/>
      <c r="G134" s="22"/>
      <c r="H134" s="22"/>
      <c r="I134" s="22"/>
      <c r="J134" s="22"/>
      <c r="K134" s="22"/>
      <c r="L134" s="22"/>
      <c r="M134" s="22"/>
      <c r="N134" s="21"/>
      <c r="O134" s="21"/>
      <c r="P134" s="21"/>
      <c r="Q134" s="21"/>
      <c r="R134" s="21"/>
      <c r="S134" s="21"/>
      <c r="T134" s="21"/>
      <c r="U134" s="21"/>
      <c r="V134" s="21"/>
      <c r="W134" s="21"/>
    </row>
    <row r="135" spans="1:23" x14ac:dyDescent="0.2">
      <c r="A135" s="20" t="str">
        <f t="shared" si="4"/>
        <v/>
      </c>
      <c r="B135" s="21"/>
      <c r="C135" s="22"/>
      <c r="D135" s="21"/>
      <c r="E135" s="22"/>
      <c r="F135" s="22"/>
      <c r="G135" s="22"/>
      <c r="H135" s="22"/>
      <c r="I135" s="22"/>
      <c r="J135" s="22"/>
      <c r="K135" s="22"/>
      <c r="L135" s="22"/>
      <c r="M135" s="22"/>
      <c r="N135" s="21"/>
      <c r="O135" s="21"/>
      <c r="P135" s="21"/>
      <c r="Q135" s="21"/>
      <c r="R135" s="21"/>
      <c r="S135" s="21"/>
      <c r="T135" s="21"/>
      <c r="U135" s="21"/>
      <c r="V135" s="21"/>
      <c r="W135" s="21"/>
    </row>
    <row r="136" spans="1:23" x14ac:dyDescent="0.2">
      <c r="A136" s="20" t="str">
        <f t="shared" si="4"/>
        <v/>
      </c>
      <c r="B136" s="21"/>
      <c r="C136" s="22"/>
      <c r="D136" s="21"/>
      <c r="E136" s="22"/>
      <c r="F136" s="22"/>
      <c r="G136" s="22"/>
      <c r="H136" s="22"/>
      <c r="I136" s="22"/>
      <c r="J136" s="22"/>
      <c r="K136" s="22"/>
      <c r="L136" s="22"/>
      <c r="M136" s="22"/>
      <c r="N136" s="21"/>
      <c r="O136" s="21"/>
      <c r="P136" s="21"/>
      <c r="Q136" s="21"/>
      <c r="R136" s="21"/>
      <c r="S136" s="21"/>
      <c r="T136" s="21"/>
      <c r="U136" s="21"/>
      <c r="V136" s="21"/>
      <c r="W136" s="21"/>
    </row>
    <row r="137" spans="1:23" x14ac:dyDescent="0.2">
      <c r="A137" s="20" t="str">
        <f t="shared" si="4"/>
        <v/>
      </c>
      <c r="B137" s="21"/>
      <c r="C137" s="22"/>
      <c r="D137" s="21"/>
      <c r="E137" s="22"/>
      <c r="F137" s="22"/>
      <c r="G137" s="22"/>
      <c r="H137" s="22"/>
      <c r="I137" s="22"/>
      <c r="J137" s="22"/>
      <c r="K137" s="22"/>
      <c r="L137" s="22"/>
      <c r="M137" s="22"/>
      <c r="N137" s="21"/>
      <c r="O137" s="21"/>
      <c r="P137" s="21"/>
      <c r="Q137" s="21"/>
      <c r="R137" s="21"/>
      <c r="S137" s="21"/>
      <c r="T137" s="21"/>
      <c r="U137" s="21"/>
      <c r="V137" s="21"/>
      <c r="W137" s="21"/>
    </row>
    <row r="138" spans="1:23" x14ac:dyDescent="0.2">
      <c r="A138" s="20" t="str">
        <f t="shared" si="4"/>
        <v/>
      </c>
      <c r="B138" s="21"/>
      <c r="C138" s="22"/>
      <c r="D138" s="21"/>
      <c r="E138" s="22"/>
      <c r="F138" s="22"/>
      <c r="G138" s="22"/>
      <c r="H138" s="22"/>
      <c r="I138" s="22"/>
      <c r="J138" s="22"/>
      <c r="K138" s="22"/>
      <c r="L138" s="22"/>
      <c r="M138" s="22"/>
      <c r="N138" s="21"/>
      <c r="O138" s="21"/>
      <c r="P138" s="21"/>
      <c r="Q138" s="21"/>
      <c r="R138" s="21"/>
      <c r="S138" s="21"/>
      <c r="T138" s="21"/>
      <c r="U138" s="21"/>
      <c r="V138" s="21"/>
      <c r="W138" s="21"/>
    </row>
    <row r="139" spans="1:23" x14ac:dyDescent="0.2">
      <c r="A139" s="20" t="str">
        <f t="shared" si="4"/>
        <v/>
      </c>
      <c r="B139" s="21"/>
      <c r="C139" s="22"/>
      <c r="D139" s="21"/>
      <c r="E139" s="22"/>
      <c r="F139" s="22"/>
      <c r="G139" s="22"/>
      <c r="H139" s="22"/>
      <c r="I139" s="22"/>
      <c r="J139" s="22"/>
      <c r="K139" s="22"/>
      <c r="L139" s="22"/>
      <c r="M139" s="22"/>
      <c r="N139" s="21"/>
      <c r="O139" s="21"/>
      <c r="P139" s="21"/>
      <c r="Q139" s="21"/>
      <c r="R139" s="21"/>
      <c r="S139" s="21"/>
      <c r="T139" s="21"/>
      <c r="U139" s="21"/>
      <c r="V139" s="21"/>
      <c r="W139" s="21"/>
    </row>
    <row r="140" spans="1:23" x14ac:dyDescent="0.2">
      <c r="A140" s="20" t="str">
        <f t="shared" si="4"/>
        <v/>
      </c>
      <c r="B140" s="21"/>
      <c r="C140" s="22"/>
      <c r="D140" s="21"/>
      <c r="E140" s="22"/>
      <c r="F140" s="22"/>
      <c r="G140" s="22"/>
      <c r="H140" s="22"/>
      <c r="I140" s="22"/>
      <c r="J140" s="22"/>
      <c r="K140" s="22"/>
      <c r="L140" s="22"/>
      <c r="M140" s="22"/>
      <c r="N140" s="21"/>
      <c r="O140" s="21"/>
      <c r="P140" s="21"/>
      <c r="Q140" s="21"/>
      <c r="R140" s="21"/>
      <c r="S140" s="21"/>
      <c r="T140" s="21"/>
      <c r="U140" s="21"/>
      <c r="V140" s="21"/>
      <c r="W140" s="21"/>
    </row>
    <row r="141" spans="1:23" x14ac:dyDescent="0.2">
      <c r="A141" s="20" t="str">
        <f t="shared" si="4"/>
        <v/>
      </c>
      <c r="B141" s="21"/>
      <c r="C141" s="22"/>
      <c r="D141" s="21"/>
      <c r="E141" s="22"/>
      <c r="F141" s="22"/>
      <c r="G141" s="22"/>
      <c r="H141" s="22"/>
      <c r="I141" s="22"/>
      <c r="J141" s="22"/>
      <c r="K141" s="22"/>
      <c r="L141" s="22"/>
      <c r="M141" s="22"/>
      <c r="N141" s="21"/>
      <c r="O141" s="21"/>
      <c r="P141" s="21"/>
      <c r="Q141" s="21"/>
      <c r="R141" s="21"/>
      <c r="S141" s="21"/>
      <c r="T141" s="21"/>
      <c r="U141" s="21"/>
      <c r="V141" s="21"/>
      <c r="W141" s="21"/>
    </row>
    <row r="142" spans="1:23" x14ac:dyDescent="0.2">
      <c r="A142" s="20" t="str">
        <f t="shared" si="4"/>
        <v/>
      </c>
      <c r="B142" s="21"/>
      <c r="C142" s="22"/>
      <c r="D142" s="21"/>
      <c r="E142" s="22"/>
      <c r="F142" s="22"/>
      <c r="G142" s="22"/>
      <c r="H142" s="22"/>
      <c r="I142" s="22"/>
      <c r="J142" s="22"/>
      <c r="K142" s="22"/>
      <c r="L142" s="22"/>
      <c r="M142" s="22"/>
      <c r="N142" s="21"/>
      <c r="O142" s="21"/>
      <c r="P142" s="21"/>
      <c r="Q142" s="21"/>
      <c r="R142" s="21"/>
      <c r="S142" s="21"/>
      <c r="T142" s="21"/>
      <c r="U142" s="21"/>
      <c r="V142" s="21"/>
      <c r="W142" s="21"/>
    </row>
    <row r="143" spans="1:23" x14ac:dyDescent="0.2">
      <c r="A143" s="20" t="str">
        <f t="shared" si="4"/>
        <v/>
      </c>
      <c r="B143" s="21"/>
      <c r="C143" s="22"/>
      <c r="D143" s="21"/>
      <c r="E143" s="22"/>
      <c r="F143" s="22"/>
      <c r="G143" s="22"/>
      <c r="H143" s="22"/>
      <c r="I143" s="22"/>
      <c r="J143" s="22"/>
      <c r="K143" s="22"/>
      <c r="L143" s="22"/>
      <c r="M143" s="22"/>
      <c r="N143" s="21"/>
      <c r="O143" s="21"/>
      <c r="P143" s="21"/>
      <c r="Q143" s="21"/>
      <c r="R143" s="21"/>
      <c r="S143" s="21"/>
      <c r="T143" s="21"/>
      <c r="U143" s="21"/>
      <c r="V143" s="21"/>
      <c r="W143" s="21"/>
    </row>
    <row r="144" spans="1:23" x14ac:dyDescent="0.2">
      <c r="A144" s="20" t="str">
        <f t="shared" si="4"/>
        <v/>
      </c>
      <c r="B144" s="21"/>
      <c r="C144" s="22"/>
      <c r="D144" s="21"/>
      <c r="E144" s="22"/>
      <c r="F144" s="22"/>
      <c r="G144" s="22"/>
      <c r="H144" s="22"/>
      <c r="I144" s="22"/>
      <c r="J144" s="22"/>
      <c r="K144" s="22"/>
      <c r="L144" s="22"/>
      <c r="M144" s="22"/>
      <c r="N144" s="21"/>
      <c r="O144" s="21"/>
      <c r="P144" s="21"/>
      <c r="Q144" s="21"/>
      <c r="R144" s="21"/>
      <c r="S144" s="21"/>
      <c r="T144" s="21"/>
      <c r="U144" s="21"/>
      <c r="V144" s="21"/>
      <c r="W144" s="21"/>
    </row>
    <row r="145" spans="1:23" x14ac:dyDescent="0.2">
      <c r="A145" s="20" t="str">
        <f t="shared" si="4"/>
        <v/>
      </c>
      <c r="B145" s="21"/>
      <c r="C145" s="22"/>
      <c r="D145" s="21"/>
      <c r="E145" s="22"/>
      <c r="F145" s="22"/>
      <c r="G145" s="22"/>
      <c r="H145" s="22"/>
      <c r="I145" s="22"/>
      <c r="J145" s="22"/>
      <c r="K145" s="22"/>
      <c r="L145" s="22"/>
      <c r="M145" s="22"/>
      <c r="N145" s="21"/>
      <c r="O145" s="21"/>
      <c r="P145" s="21"/>
      <c r="Q145" s="21"/>
      <c r="R145" s="21"/>
      <c r="S145" s="21"/>
      <c r="T145" s="21"/>
      <c r="U145" s="21"/>
      <c r="V145" s="21"/>
      <c r="W145" s="21"/>
    </row>
    <row r="146" spans="1:23" x14ac:dyDescent="0.2">
      <c r="A146" s="20" t="str">
        <f t="shared" si="4"/>
        <v/>
      </c>
      <c r="B146" s="21"/>
      <c r="C146" s="22"/>
      <c r="D146" s="21"/>
      <c r="E146" s="22"/>
      <c r="F146" s="22"/>
      <c r="G146" s="22"/>
      <c r="H146" s="22"/>
      <c r="I146" s="22"/>
      <c r="J146" s="22"/>
      <c r="K146" s="22"/>
      <c r="L146" s="22"/>
      <c r="M146" s="22"/>
      <c r="N146" s="21"/>
      <c r="O146" s="21"/>
      <c r="P146" s="21"/>
      <c r="Q146" s="21"/>
      <c r="R146" s="21"/>
      <c r="S146" s="21"/>
      <c r="T146" s="21"/>
      <c r="U146" s="21"/>
      <c r="V146" s="21"/>
      <c r="W146" s="21"/>
    </row>
    <row r="147" spans="1:23" x14ac:dyDescent="0.2">
      <c r="A147" s="20" t="str">
        <f t="shared" si="4"/>
        <v/>
      </c>
      <c r="B147" s="21"/>
      <c r="C147" s="22"/>
      <c r="D147" s="21"/>
      <c r="E147" s="22"/>
      <c r="F147" s="22"/>
      <c r="G147" s="22"/>
      <c r="H147" s="22"/>
      <c r="I147" s="22"/>
      <c r="J147" s="22"/>
      <c r="K147" s="22"/>
      <c r="L147" s="22"/>
      <c r="M147" s="22"/>
      <c r="N147" s="21"/>
      <c r="O147" s="21"/>
      <c r="P147" s="21"/>
      <c r="Q147" s="21"/>
      <c r="R147" s="21"/>
      <c r="S147" s="21"/>
      <c r="T147" s="21"/>
      <c r="U147" s="21"/>
      <c r="V147" s="21"/>
      <c r="W147" s="21"/>
    </row>
    <row r="148" spans="1:23" x14ac:dyDescent="0.2">
      <c r="A148" s="20" t="str">
        <f t="shared" si="4"/>
        <v/>
      </c>
      <c r="B148" s="21"/>
      <c r="C148" s="22"/>
      <c r="D148" s="21"/>
      <c r="E148" s="22"/>
      <c r="F148" s="22"/>
      <c r="G148" s="22"/>
      <c r="H148" s="22"/>
      <c r="I148" s="22"/>
      <c r="J148" s="22"/>
      <c r="K148" s="22"/>
      <c r="L148" s="22"/>
      <c r="M148" s="22"/>
      <c r="N148" s="21"/>
      <c r="O148" s="21"/>
      <c r="P148" s="21"/>
      <c r="Q148" s="21"/>
      <c r="R148" s="21"/>
      <c r="S148" s="21"/>
      <c r="T148" s="21"/>
      <c r="U148" s="21"/>
      <c r="V148" s="21"/>
      <c r="W148" s="21"/>
    </row>
    <row r="149" spans="1:23" x14ac:dyDescent="0.2">
      <c r="A149" s="20" t="str">
        <f t="shared" si="4"/>
        <v/>
      </c>
      <c r="B149" s="21"/>
      <c r="C149" s="22"/>
      <c r="D149" s="21"/>
      <c r="E149" s="22"/>
      <c r="F149" s="22"/>
      <c r="G149" s="22"/>
      <c r="H149" s="22"/>
      <c r="I149" s="22"/>
      <c r="J149" s="22"/>
      <c r="K149" s="22"/>
      <c r="L149" s="22"/>
      <c r="M149" s="22"/>
      <c r="N149" s="21"/>
      <c r="O149" s="21"/>
      <c r="P149" s="21"/>
      <c r="Q149" s="21"/>
      <c r="R149" s="21"/>
      <c r="S149" s="21"/>
      <c r="T149" s="21"/>
      <c r="U149" s="21"/>
      <c r="V149" s="21"/>
      <c r="W149" s="21"/>
    </row>
  </sheetData>
  <dataValidations count="6">
    <dataValidation type="list" allowBlank="1" sqref="E2:E499" xr:uid="{00000000-0002-0000-0600-000000000000}">
      <formula1>"TODO,IN_PROGRESS,IN_REVIEW,DONE"</formula1>
    </dataValidation>
    <dataValidation type="list" allowBlank="1" sqref="F2:F499" xr:uid="{00000000-0002-0000-0600-000001000000}">
      <formula1>"LOW,MEDIUM,HIGH,CRITICAL"</formula1>
    </dataValidation>
    <dataValidation type="list" allowBlank="1" sqref="G2:G499" xr:uid="{00000000-0002-0000-0600-000002000000}">
      <formula1>"NEW_APPLICATION,ENHANCEMENT,BUG,MAINTENANCE,MIGRATION"</formula1>
    </dataValidation>
    <dataValidation type="list" allowBlank="1" sqref="H2:H499" xr:uid="{00000000-0002-0000-06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2:I499" xr:uid="{00000000-0002-0000-0600-000004000000}">
      <formula1>"UI_BUG,FUNCTIONAL_BUG,INTEGRATION_BUG,DATA_BUG,PERFORMANCE_BUG,SECURITY_BUG,OTHER"</formula1>
    </dataValidation>
    <dataValidation type="list" allowBlank="1" showInputMessage="1" showErrorMessage="1" sqref="Z2:Z1048576" xr:uid="{ECE9F459-1E67-426B-A587-92B098519EE5}">
      <formula1>"Requirement,System Design,Implementation,Testing,Deployment,Maintenance"</formula1>
    </dataValidation>
  </dataValidations>
  <hyperlinks>
    <hyperlink ref="N51" r:id="rId1" xr:uid="{BE461048-2D5D-4EBF-BCF9-2D5FAFE81EB6}"/>
    <hyperlink ref="N52" r:id="rId2" xr:uid="{47DAB28F-A791-4273-97F3-B2EF7F33EDC8}"/>
    <hyperlink ref="N50" r:id="rId3" xr:uid="{DDCA8FB9-9BD2-40D4-B060-E56503343A8E}"/>
    <hyperlink ref="N49" r:id="rId4" xr:uid="{D45C598D-5009-4FC7-B46F-BAFF532BCBAE}"/>
    <hyperlink ref="N48" r:id="rId5" xr:uid="{AFB81949-9411-4D0C-98C3-00DA203E9DF7}"/>
    <hyperlink ref="N53" r:id="rId6" xr:uid="{DCDC33EB-383D-40B6-8646-BC38CE7E3FEC}"/>
    <hyperlink ref="N54" r:id="rId7" xr:uid="{3DD19695-9F9D-4742-8D57-0BE68962875F}"/>
    <hyperlink ref="T61" r:id="rId8" xr:uid="{DB5B573D-03BA-4525-9B52-48168F31796C}"/>
    <hyperlink ref="T60" r:id="rId9" xr:uid="{1423AB11-5677-4E7C-A819-672D68EF2ACF}"/>
    <hyperlink ref="T62" r:id="rId10" xr:uid="{E8E34FE2-AD69-418F-AF96-1DA874415874}"/>
    <hyperlink ref="T63" r:id="rId11" xr:uid="{445EF5A5-6E51-498F-AE94-8F7D9C3B4112}"/>
    <hyperlink ref="T64" r:id="rId12" xr:uid="{7F9E77B8-C621-45E0-A044-2B044A3A541E}"/>
    <hyperlink ref="T65" r:id="rId13" xr:uid="{ADBAD4A7-A47D-4311-95F5-365F8389CEA2}"/>
    <hyperlink ref="T66" r:id="rId14" xr:uid="{9023B806-2FAF-43F1-9951-F743100AA7F4}"/>
    <hyperlink ref="T67" r:id="rId15" xr:uid="{33C58149-2562-4544-9445-FFC07DED0E37}"/>
    <hyperlink ref="T68" r:id="rId16" xr:uid="{03EC0C6D-AAE3-4F31-B3E9-BB0EBB562E08}"/>
    <hyperlink ref="N68" r:id="rId17" xr:uid="{6058EC2C-7EE8-4D0D-8ABE-87158E39B6B7}"/>
    <hyperlink ref="T69" r:id="rId18" xr:uid="{BF85F90C-8A61-4051-8F2B-936CDE5F4B03}"/>
    <hyperlink ref="T70" r:id="rId19" xr:uid="{CEE39BB7-6465-400E-B8F0-51AA40E56331}"/>
    <hyperlink ref="T71" r:id="rId20" xr:uid="{C0624613-759C-490A-9877-23AAF03A4C05}"/>
    <hyperlink ref="T72" r:id="rId21" xr:uid="{519547A1-E274-4516-BD6C-66E37F103F92}"/>
    <hyperlink ref="T73" r:id="rId22" xr:uid="{31C7D66C-C852-4B3C-A5A9-7269708BE665}"/>
    <hyperlink ref="T74" r:id="rId23" xr:uid="{73439D12-B97F-4075-B812-32C817C3BE26}"/>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847EBFF-C6B1-4EF5-AF15-8346D90B6345}">
          <x14:formula1>
            <xm:f>Master_Project_Name!$A$2:$A$100</xm:f>
          </x14:formula1>
          <xm:sqref>B2:B499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50"/>
  <sheetViews>
    <sheetView topLeftCell="D1" zoomScale="139" workbookViewId="0">
      <pane ySplit="1" topLeftCell="A56" activePane="bottomLeft" state="frozen"/>
      <selection pane="bottomLeft" activeCell="E72" sqref="E72"/>
    </sheetView>
  </sheetViews>
  <sheetFormatPr baseColWidth="10" defaultColWidth="8.83203125" defaultRowHeight="15" x14ac:dyDescent="0.2"/>
  <cols>
    <col min="1" max="1" width="6" customWidth="1"/>
    <col min="2" max="2" width="28" customWidth="1"/>
    <col min="3" max="3" width="18" customWidth="1"/>
    <col min="4" max="4" width="4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3" width="30" customWidth="1"/>
    <col min="24" max="24" width="13.5" customWidth="1"/>
    <col min="25" max="25" width="11.33203125" customWidth="1"/>
  </cols>
  <sheetData>
    <row r="1" spans="1:26" ht="28" customHeight="1" x14ac:dyDescent="0.2">
      <c r="A1" s="32" t="s">
        <v>138</v>
      </c>
      <c r="B1" s="32" t="s">
        <v>0</v>
      </c>
      <c r="C1" s="32" t="s">
        <v>1</v>
      </c>
      <c r="D1" s="32" t="s">
        <v>139</v>
      </c>
      <c r="E1" s="32" t="s">
        <v>140</v>
      </c>
      <c r="F1" s="32" t="s">
        <v>141</v>
      </c>
      <c r="G1" s="32" t="s">
        <v>142</v>
      </c>
      <c r="H1" s="32" t="s">
        <v>143</v>
      </c>
      <c r="I1" s="32" t="s">
        <v>144</v>
      </c>
      <c r="J1" s="32" t="s">
        <v>145</v>
      </c>
      <c r="K1" s="32" t="s">
        <v>146</v>
      </c>
      <c r="L1" s="32" t="s">
        <v>147</v>
      </c>
      <c r="M1" s="32" t="s">
        <v>148</v>
      </c>
      <c r="N1" s="32" t="s">
        <v>149</v>
      </c>
      <c r="O1" s="32" t="s">
        <v>150</v>
      </c>
      <c r="P1" s="32" t="s">
        <v>151</v>
      </c>
      <c r="Q1" s="32" t="s">
        <v>152</v>
      </c>
      <c r="R1" s="32" t="s">
        <v>153</v>
      </c>
      <c r="S1" s="32" t="s">
        <v>154</v>
      </c>
      <c r="T1" s="32" t="s">
        <v>155</v>
      </c>
      <c r="U1" s="32" t="s">
        <v>156</v>
      </c>
      <c r="V1" s="32" t="s">
        <v>157</v>
      </c>
      <c r="W1" s="32" t="s">
        <v>158</v>
      </c>
      <c r="X1" s="32" t="s">
        <v>159</v>
      </c>
      <c r="Y1" s="32" t="s">
        <v>160</v>
      </c>
      <c r="Z1" s="32" t="s">
        <v>161</v>
      </c>
    </row>
    <row r="2" spans="1:26" x14ac:dyDescent="0.2">
      <c r="A2" s="20">
        <f t="shared" ref="A2:A33" si="0">IF(OR(D2&lt;&gt;"", B2&lt;&gt;""), ROW()-1, "")</f>
        <v>1</v>
      </c>
      <c r="B2" s="21" t="s">
        <v>341</v>
      </c>
      <c r="C2" s="22"/>
      <c r="D2" s="21" t="s">
        <v>644</v>
      </c>
      <c r="E2" s="22" t="s">
        <v>109</v>
      </c>
      <c r="F2" s="22" t="s">
        <v>172</v>
      </c>
      <c r="G2" s="22" t="s">
        <v>179</v>
      </c>
      <c r="H2" s="22" t="s">
        <v>341</v>
      </c>
      <c r="I2" s="22"/>
      <c r="J2" s="23">
        <v>1</v>
      </c>
      <c r="K2" s="24">
        <v>46239</v>
      </c>
      <c r="L2" s="24">
        <v>46241</v>
      </c>
      <c r="M2" s="22"/>
      <c r="N2" s="21" t="s">
        <v>645</v>
      </c>
      <c r="O2" s="21"/>
      <c r="P2" s="21"/>
      <c r="Q2" s="21"/>
      <c r="R2" s="21"/>
      <c r="S2" s="21"/>
      <c r="T2" s="21"/>
      <c r="U2" s="21"/>
      <c r="V2" s="21"/>
      <c r="W2" s="21"/>
    </row>
    <row r="3" spans="1:26" x14ac:dyDescent="0.2">
      <c r="A3" s="20">
        <f t="shared" si="0"/>
        <v>2</v>
      </c>
      <c r="B3" s="21" t="s">
        <v>341</v>
      </c>
      <c r="C3" s="22"/>
      <c r="D3" s="21" t="s">
        <v>644</v>
      </c>
      <c r="E3" s="22" t="s">
        <v>109</v>
      </c>
      <c r="F3" s="22" t="s">
        <v>172</v>
      </c>
      <c r="G3" s="22" t="s">
        <v>179</v>
      </c>
      <c r="H3" s="22" t="s">
        <v>341</v>
      </c>
      <c r="I3" s="22"/>
      <c r="J3" s="23">
        <v>1</v>
      </c>
      <c r="K3" s="24">
        <v>46239</v>
      </c>
      <c r="L3" s="24">
        <v>46241</v>
      </c>
      <c r="M3" s="24">
        <v>46242</v>
      </c>
      <c r="N3" s="21" t="s">
        <v>645</v>
      </c>
      <c r="O3" s="21"/>
      <c r="P3" s="21"/>
      <c r="Q3" s="21"/>
      <c r="R3" s="21"/>
      <c r="S3" s="21"/>
      <c r="T3" s="21"/>
      <c r="U3" s="21"/>
      <c r="V3" s="21"/>
      <c r="W3" s="21"/>
    </row>
    <row r="4" spans="1:26" x14ac:dyDescent="0.2">
      <c r="A4" s="20">
        <f t="shared" si="0"/>
        <v>3</v>
      </c>
      <c r="B4" s="21" t="s">
        <v>341</v>
      </c>
      <c r="C4" s="22"/>
      <c r="D4" s="21" t="s">
        <v>646</v>
      </c>
      <c r="E4" s="22" t="s">
        <v>109</v>
      </c>
      <c r="F4" s="22" t="s">
        <v>172</v>
      </c>
      <c r="G4" s="22" t="s">
        <v>179</v>
      </c>
      <c r="H4" s="22" t="s">
        <v>341</v>
      </c>
      <c r="I4" s="22"/>
      <c r="J4" s="23">
        <v>1</v>
      </c>
      <c r="K4" s="24">
        <v>46241</v>
      </c>
      <c r="L4" s="24">
        <v>46244</v>
      </c>
      <c r="M4" s="24">
        <v>46245</v>
      </c>
      <c r="N4" s="21" t="s">
        <v>645</v>
      </c>
      <c r="O4" s="21"/>
      <c r="P4" s="21"/>
      <c r="Q4" s="21"/>
      <c r="R4" s="21"/>
      <c r="S4" s="21"/>
      <c r="T4" s="21"/>
      <c r="U4" s="21"/>
      <c r="V4" s="21"/>
      <c r="W4" s="21"/>
    </row>
    <row r="5" spans="1:26" x14ac:dyDescent="0.2">
      <c r="A5" s="20">
        <f t="shared" si="0"/>
        <v>4</v>
      </c>
      <c r="B5" s="21" t="s">
        <v>341</v>
      </c>
      <c r="C5" s="22"/>
      <c r="D5" s="21" t="s">
        <v>647</v>
      </c>
      <c r="E5" s="22" t="s">
        <v>109</v>
      </c>
      <c r="F5" s="22" t="s">
        <v>172</v>
      </c>
      <c r="G5" s="22" t="s">
        <v>179</v>
      </c>
      <c r="H5" s="22" t="s">
        <v>341</v>
      </c>
      <c r="I5" s="22"/>
      <c r="J5" s="23">
        <v>1</v>
      </c>
      <c r="K5" s="24">
        <v>46244</v>
      </c>
      <c r="L5" s="24">
        <v>46244</v>
      </c>
      <c r="M5" s="24">
        <v>46244</v>
      </c>
      <c r="N5" s="21" t="s">
        <v>645</v>
      </c>
      <c r="O5" s="21"/>
      <c r="P5" s="21"/>
      <c r="Q5" s="21"/>
      <c r="R5" s="21"/>
      <c r="S5" s="21"/>
      <c r="T5" s="21"/>
      <c r="U5" s="21"/>
      <c r="V5" s="21"/>
      <c r="W5" s="21"/>
    </row>
    <row r="6" spans="1:26" ht="30" x14ac:dyDescent="0.2">
      <c r="A6" s="20">
        <f t="shared" si="0"/>
        <v>5</v>
      </c>
      <c r="B6" s="21" t="s">
        <v>341</v>
      </c>
      <c r="C6" s="22"/>
      <c r="D6" s="21" t="s">
        <v>648</v>
      </c>
      <c r="E6" s="22" t="s">
        <v>109</v>
      </c>
      <c r="F6" s="22" t="s">
        <v>172</v>
      </c>
      <c r="G6" s="22" t="s">
        <v>179</v>
      </c>
      <c r="H6" s="22" t="s">
        <v>341</v>
      </c>
      <c r="I6" s="22"/>
      <c r="J6" s="23">
        <v>1</v>
      </c>
      <c r="K6" s="24">
        <v>46245</v>
      </c>
      <c r="L6" s="24">
        <v>46245</v>
      </c>
      <c r="M6" s="24">
        <v>46245</v>
      </c>
      <c r="N6" s="21" t="s">
        <v>645</v>
      </c>
      <c r="O6" s="21"/>
      <c r="P6" s="21"/>
      <c r="Q6" s="21"/>
      <c r="R6" s="21"/>
      <c r="S6" s="21"/>
      <c r="T6" s="21"/>
      <c r="U6" s="21"/>
      <c r="V6" s="21"/>
      <c r="W6" s="21"/>
    </row>
    <row r="7" spans="1:26" ht="30" x14ac:dyDescent="0.2">
      <c r="A7" s="20">
        <f t="shared" si="0"/>
        <v>6</v>
      </c>
      <c r="B7" s="21" t="s">
        <v>341</v>
      </c>
      <c r="C7" s="22"/>
      <c r="D7" s="21" t="s">
        <v>649</v>
      </c>
      <c r="E7" s="22" t="s">
        <v>109</v>
      </c>
      <c r="F7" s="22" t="s">
        <v>172</v>
      </c>
      <c r="G7" s="22" t="s">
        <v>179</v>
      </c>
      <c r="H7" s="22" t="s">
        <v>341</v>
      </c>
      <c r="I7" s="22"/>
      <c r="J7" s="23">
        <v>1</v>
      </c>
      <c r="K7" s="24">
        <v>46246</v>
      </c>
      <c r="L7" s="24">
        <v>46246</v>
      </c>
      <c r="M7" s="24">
        <v>46246</v>
      </c>
      <c r="N7" s="21" t="s">
        <v>645</v>
      </c>
      <c r="O7" s="21"/>
      <c r="P7" s="21"/>
      <c r="Q7" s="21"/>
      <c r="R7" s="21"/>
      <c r="S7" s="21"/>
      <c r="T7" s="21"/>
      <c r="U7" s="21"/>
      <c r="V7" s="21"/>
      <c r="W7" s="21"/>
    </row>
    <row r="8" spans="1:26" ht="30" x14ac:dyDescent="0.2">
      <c r="A8" s="20">
        <f t="shared" si="0"/>
        <v>7</v>
      </c>
      <c r="B8" s="21" t="s">
        <v>341</v>
      </c>
      <c r="C8" s="22"/>
      <c r="D8" s="21" t="s">
        <v>650</v>
      </c>
      <c r="E8" s="22" t="s">
        <v>109</v>
      </c>
      <c r="F8" s="22" t="s">
        <v>172</v>
      </c>
      <c r="G8" s="22" t="s">
        <v>179</v>
      </c>
      <c r="H8" s="22" t="s">
        <v>341</v>
      </c>
      <c r="I8" s="22"/>
      <c r="J8" s="23">
        <v>1</v>
      </c>
      <c r="K8" s="24">
        <v>46247</v>
      </c>
      <c r="L8" s="24">
        <v>46247</v>
      </c>
      <c r="M8" s="24">
        <v>46247</v>
      </c>
      <c r="N8" s="21" t="s">
        <v>645</v>
      </c>
      <c r="O8" s="21"/>
      <c r="P8" s="21"/>
      <c r="Q8" s="21"/>
      <c r="R8" s="21"/>
      <c r="S8" s="21"/>
      <c r="T8" s="21"/>
      <c r="U8" s="21"/>
      <c r="V8" s="21"/>
      <c r="W8" s="21"/>
    </row>
    <row r="9" spans="1:26" ht="45" x14ac:dyDescent="0.2">
      <c r="A9" s="20">
        <f t="shared" si="0"/>
        <v>8</v>
      </c>
      <c r="B9" s="21" t="s">
        <v>341</v>
      </c>
      <c r="C9" s="22"/>
      <c r="D9" s="21" t="s">
        <v>651</v>
      </c>
      <c r="E9" s="22" t="s">
        <v>109</v>
      </c>
      <c r="F9" s="22" t="s">
        <v>172</v>
      </c>
      <c r="G9" s="22" t="s">
        <v>179</v>
      </c>
      <c r="H9" s="22" t="s">
        <v>341</v>
      </c>
      <c r="I9" s="22"/>
      <c r="J9" s="23">
        <v>1</v>
      </c>
      <c r="K9" s="24">
        <v>46248</v>
      </c>
      <c r="L9" s="24">
        <v>46248</v>
      </c>
      <c r="M9" s="24">
        <v>46248</v>
      </c>
      <c r="N9" s="21" t="s">
        <v>645</v>
      </c>
      <c r="O9" s="21"/>
      <c r="P9" s="21"/>
      <c r="Q9" s="21"/>
      <c r="R9" s="21"/>
      <c r="S9" s="21"/>
      <c r="T9" s="21"/>
      <c r="U9" s="21"/>
      <c r="V9" s="21"/>
      <c r="W9" s="21"/>
    </row>
    <row r="10" spans="1:26" ht="75" x14ac:dyDescent="0.2">
      <c r="A10" s="20">
        <f t="shared" si="0"/>
        <v>9</v>
      </c>
      <c r="B10" s="21" t="s">
        <v>341</v>
      </c>
      <c r="C10" s="22"/>
      <c r="D10" s="21" t="s">
        <v>652</v>
      </c>
      <c r="E10" s="22" t="s">
        <v>109</v>
      </c>
      <c r="F10" s="22" t="s">
        <v>172</v>
      </c>
      <c r="G10" s="22" t="s">
        <v>179</v>
      </c>
      <c r="H10" s="22" t="s">
        <v>341</v>
      </c>
      <c r="I10" s="22"/>
      <c r="J10" s="23">
        <v>1</v>
      </c>
      <c r="K10" s="24">
        <v>46252</v>
      </c>
      <c r="L10" s="24">
        <v>46253</v>
      </c>
      <c r="M10" s="24">
        <v>46253</v>
      </c>
      <c r="N10" s="21" t="s">
        <v>645</v>
      </c>
      <c r="O10" s="21"/>
      <c r="P10" s="21"/>
      <c r="Q10" s="21"/>
      <c r="R10" s="21"/>
      <c r="S10" s="21"/>
      <c r="T10" s="21"/>
      <c r="U10" s="21"/>
      <c r="V10" s="21" t="s">
        <v>653</v>
      </c>
      <c r="W10" s="21" t="s">
        <v>654</v>
      </c>
    </row>
    <row r="11" spans="1:26" x14ac:dyDescent="0.2">
      <c r="A11" s="20">
        <f t="shared" si="0"/>
        <v>10</v>
      </c>
      <c r="B11" s="21" t="s">
        <v>341</v>
      </c>
      <c r="C11" s="22"/>
      <c r="D11" s="21" t="s">
        <v>655</v>
      </c>
      <c r="E11" s="22" t="s">
        <v>109</v>
      </c>
      <c r="F11" s="22" t="s">
        <v>172</v>
      </c>
      <c r="G11" s="22" t="s">
        <v>179</v>
      </c>
      <c r="H11" s="22" t="s">
        <v>341</v>
      </c>
      <c r="I11" s="22"/>
      <c r="J11" s="23">
        <v>1</v>
      </c>
      <c r="K11" s="24">
        <v>46253</v>
      </c>
      <c r="L11" s="24">
        <v>46253</v>
      </c>
      <c r="M11" s="24">
        <v>46253</v>
      </c>
      <c r="N11" s="21" t="s">
        <v>645</v>
      </c>
      <c r="O11" s="21"/>
      <c r="P11" s="21"/>
      <c r="Q11" s="21"/>
      <c r="R11" s="21"/>
      <c r="S11" s="21"/>
      <c r="T11" s="21"/>
      <c r="U11" s="21"/>
      <c r="V11" s="21"/>
      <c r="W11" s="21"/>
    </row>
    <row r="12" spans="1:26" x14ac:dyDescent="0.2">
      <c r="A12" s="20">
        <f t="shared" si="0"/>
        <v>11</v>
      </c>
      <c r="B12" s="21" t="s">
        <v>341</v>
      </c>
      <c r="C12" s="22"/>
      <c r="D12" s="21" t="s">
        <v>656</v>
      </c>
      <c r="E12" s="22" t="s">
        <v>109</v>
      </c>
      <c r="F12" s="22" t="s">
        <v>172</v>
      </c>
      <c r="G12" s="22" t="s">
        <v>179</v>
      </c>
      <c r="H12" s="22" t="s">
        <v>341</v>
      </c>
      <c r="I12" s="22"/>
      <c r="J12" s="23">
        <v>1</v>
      </c>
      <c r="K12" s="24">
        <v>46254</v>
      </c>
      <c r="L12" s="24">
        <v>46254</v>
      </c>
      <c r="M12" s="24">
        <v>46254</v>
      </c>
      <c r="N12" s="21" t="s">
        <v>645</v>
      </c>
      <c r="O12" s="21"/>
      <c r="P12" s="21"/>
      <c r="Q12" s="21"/>
      <c r="R12" s="21"/>
      <c r="S12" s="21"/>
      <c r="T12" s="21"/>
      <c r="U12" s="21"/>
      <c r="V12" s="21"/>
      <c r="W12" s="21"/>
    </row>
    <row r="13" spans="1:26" ht="30" x14ac:dyDescent="0.2">
      <c r="A13" s="20">
        <f t="shared" si="0"/>
        <v>12</v>
      </c>
      <c r="B13" s="21" t="s">
        <v>341</v>
      </c>
      <c r="C13" s="22"/>
      <c r="D13" s="21" t="s">
        <v>657</v>
      </c>
      <c r="E13" s="22" t="s">
        <v>109</v>
      </c>
      <c r="F13" s="22" t="s">
        <v>172</v>
      </c>
      <c r="G13" s="22" t="s">
        <v>179</v>
      </c>
      <c r="H13" s="22" t="s">
        <v>341</v>
      </c>
      <c r="I13" s="22"/>
      <c r="J13" s="23">
        <v>1</v>
      </c>
      <c r="K13" s="24">
        <v>46255</v>
      </c>
      <c r="L13" s="24">
        <v>46255</v>
      </c>
      <c r="M13" s="24">
        <v>46255</v>
      </c>
      <c r="N13" s="21" t="s">
        <v>645</v>
      </c>
      <c r="O13" s="21"/>
      <c r="P13" s="21"/>
      <c r="Q13" s="21"/>
      <c r="R13" s="21"/>
      <c r="S13" s="21"/>
      <c r="T13" s="21"/>
      <c r="U13" s="21"/>
      <c r="V13" s="21"/>
      <c r="W13" s="21"/>
    </row>
    <row r="14" spans="1:26" ht="45" x14ac:dyDescent="0.2">
      <c r="A14" s="20">
        <f t="shared" si="0"/>
        <v>13</v>
      </c>
      <c r="B14" s="21" t="s">
        <v>341</v>
      </c>
      <c r="C14" s="22"/>
      <c r="D14" s="21" t="s">
        <v>658</v>
      </c>
      <c r="E14" s="22" t="s">
        <v>109</v>
      </c>
      <c r="F14" s="22" t="s">
        <v>172</v>
      </c>
      <c r="G14" s="22" t="s">
        <v>164</v>
      </c>
      <c r="H14" s="22" t="s">
        <v>341</v>
      </c>
      <c r="I14" s="22"/>
      <c r="J14" s="23">
        <v>1</v>
      </c>
      <c r="K14" s="24">
        <v>46258</v>
      </c>
      <c r="L14" s="24">
        <v>46258</v>
      </c>
      <c r="M14" s="24">
        <v>46258</v>
      </c>
      <c r="N14" s="21" t="s">
        <v>645</v>
      </c>
      <c r="O14" s="21"/>
      <c r="P14" s="21"/>
      <c r="Q14" s="21"/>
      <c r="R14" s="21"/>
      <c r="S14" s="21"/>
      <c r="T14" s="21"/>
      <c r="U14" s="21"/>
      <c r="V14" s="21"/>
      <c r="W14" s="21"/>
    </row>
    <row r="15" spans="1:26" ht="30" x14ac:dyDescent="0.2">
      <c r="A15" s="20">
        <f t="shared" si="0"/>
        <v>14</v>
      </c>
      <c r="B15" s="21" t="s">
        <v>341</v>
      </c>
      <c r="C15" s="22"/>
      <c r="D15" s="21" t="s">
        <v>659</v>
      </c>
      <c r="E15" s="22" t="s">
        <v>109</v>
      </c>
      <c r="F15" s="22" t="s">
        <v>172</v>
      </c>
      <c r="G15" s="22" t="s">
        <v>164</v>
      </c>
      <c r="H15" s="22" t="s">
        <v>341</v>
      </c>
      <c r="I15" s="22"/>
      <c r="J15" s="23">
        <v>1</v>
      </c>
      <c r="K15" s="24">
        <v>46258</v>
      </c>
      <c r="L15" s="24">
        <v>46258</v>
      </c>
      <c r="M15" s="24">
        <v>46258</v>
      </c>
      <c r="N15" s="21" t="s">
        <v>645</v>
      </c>
      <c r="O15" s="21"/>
      <c r="P15" s="21"/>
      <c r="Q15" s="21"/>
      <c r="R15" s="21"/>
      <c r="S15" s="21"/>
      <c r="T15" s="21"/>
      <c r="U15" s="21"/>
      <c r="V15" s="21"/>
      <c r="W15" s="21"/>
    </row>
    <row r="16" spans="1:26" x14ac:dyDescent="0.2">
      <c r="A16" s="20">
        <f t="shared" si="0"/>
        <v>15</v>
      </c>
      <c r="B16" s="21" t="s">
        <v>341</v>
      </c>
      <c r="C16" s="22"/>
      <c r="D16" s="21" t="s">
        <v>660</v>
      </c>
      <c r="E16" s="22" t="s">
        <v>109</v>
      </c>
      <c r="F16" s="22" t="s">
        <v>172</v>
      </c>
      <c r="G16" s="22" t="s">
        <v>164</v>
      </c>
      <c r="H16" s="22" t="s">
        <v>341</v>
      </c>
      <c r="I16" s="22"/>
      <c r="J16" s="23">
        <v>1</v>
      </c>
      <c r="K16" s="24">
        <v>46260</v>
      </c>
      <c r="L16" s="24">
        <v>46260</v>
      </c>
      <c r="M16" s="24">
        <v>46260</v>
      </c>
      <c r="N16" s="21" t="s">
        <v>645</v>
      </c>
      <c r="O16" s="21"/>
      <c r="P16" s="21"/>
      <c r="Q16" s="21"/>
      <c r="R16" s="21"/>
      <c r="S16" s="21"/>
      <c r="T16" s="21"/>
      <c r="U16" s="21"/>
      <c r="V16" s="21"/>
      <c r="W16" s="21"/>
    </row>
    <row r="17" spans="1:23" x14ac:dyDescent="0.2">
      <c r="A17" s="20">
        <f t="shared" si="0"/>
        <v>16</v>
      </c>
      <c r="B17" s="21" t="s">
        <v>341</v>
      </c>
      <c r="C17" s="22"/>
      <c r="D17" s="21" t="s">
        <v>661</v>
      </c>
      <c r="E17" s="22" t="s">
        <v>109</v>
      </c>
      <c r="F17" s="22" t="s">
        <v>172</v>
      </c>
      <c r="G17" s="22" t="s">
        <v>164</v>
      </c>
      <c r="H17" s="22" t="s">
        <v>341</v>
      </c>
      <c r="I17" s="22"/>
      <c r="J17" s="23">
        <v>1</v>
      </c>
      <c r="K17" s="24">
        <v>46261</v>
      </c>
      <c r="L17" s="24">
        <v>46262</v>
      </c>
      <c r="M17" s="24">
        <v>46262</v>
      </c>
      <c r="N17" s="21" t="s">
        <v>645</v>
      </c>
      <c r="O17" s="21"/>
      <c r="P17" s="21"/>
      <c r="Q17" s="21"/>
      <c r="R17" s="21"/>
      <c r="S17" s="21"/>
      <c r="T17" s="21"/>
      <c r="U17" s="21"/>
      <c r="V17" s="21"/>
      <c r="W17" s="21"/>
    </row>
    <row r="18" spans="1:23" x14ac:dyDescent="0.2">
      <c r="A18" s="20">
        <f t="shared" si="0"/>
        <v>17</v>
      </c>
      <c r="B18" s="21" t="s">
        <v>341</v>
      </c>
      <c r="C18" s="22"/>
      <c r="D18" s="21" t="s">
        <v>662</v>
      </c>
      <c r="E18" s="22" t="s">
        <v>109</v>
      </c>
      <c r="F18" s="22" t="s">
        <v>163</v>
      </c>
      <c r="G18" s="22" t="s">
        <v>179</v>
      </c>
      <c r="H18" s="22" t="s">
        <v>341</v>
      </c>
      <c r="I18" s="22"/>
      <c r="J18" s="23">
        <v>1</v>
      </c>
      <c r="K18" s="24">
        <v>46261</v>
      </c>
      <c r="L18" s="24">
        <v>46262</v>
      </c>
      <c r="M18" s="24">
        <v>46262</v>
      </c>
      <c r="N18" s="21" t="s">
        <v>645</v>
      </c>
      <c r="O18" s="21"/>
      <c r="P18" s="21"/>
      <c r="Q18" s="21"/>
      <c r="R18" s="21"/>
      <c r="S18" s="21"/>
      <c r="T18" s="21"/>
      <c r="U18" s="21"/>
      <c r="V18" s="21"/>
      <c r="W18" s="21"/>
    </row>
    <row r="19" spans="1:23" x14ac:dyDescent="0.2">
      <c r="A19" s="20">
        <f t="shared" si="0"/>
        <v>18</v>
      </c>
      <c r="B19" s="21" t="s">
        <v>341</v>
      </c>
      <c r="C19" s="22"/>
      <c r="D19" s="21" t="s">
        <v>663</v>
      </c>
      <c r="E19" s="22" t="s">
        <v>109</v>
      </c>
      <c r="F19" s="22" t="s">
        <v>163</v>
      </c>
      <c r="G19" s="22" t="s">
        <v>164</v>
      </c>
      <c r="H19" s="22" t="s">
        <v>341</v>
      </c>
      <c r="I19" s="22"/>
      <c r="J19" s="23">
        <v>1</v>
      </c>
      <c r="K19" s="24">
        <v>46265</v>
      </c>
      <c r="L19" s="24">
        <v>46266</v>
      </c>
      <c r="M19" s="24">
        <v>46266</v>
      </c>
      <c r="N19" s="21" t="s">
        <v>645</v>
      </c>
      <c r="O19" s="21"/>
      <c r="P19" s="21"/>
      <c r="Q19" s="21"/>
      <c r="R19" s="21"/>
      <c r="S19" s="21"/>
      <c r="T19" s="21"/>
      <c r="U19" s="21"/>
      <c r="V19" s="21"/>
      <c r="W19" s="21"/>
    </row>
    <row r="20" spans="1:23" ht="45" x14ac:dyDescent="0.2">
      <c r="A20" s="20">
        <f t="shared" si="0"/>
        <v>19</v>
      </c>
      <c r="B20" s="21" t="s">
        <v>341</v>
      </c>
      <c r="C20" s="22"/>
      <c r="D20" s="21" t="s">
        <v>664</v>
      </c>
      <c r="E20" s="22" t="s">
        <v>109</v>
      </c>
      <c r="F20" s="22" t="s">
        <v>163</v>
      </c>
      <c r="G20" s="22" t="s">
        <v>179</v>
      </c>
      <c r="H20" s="22" t="s">
        <v>341</v>
      </c>
      <c r="I20" s="22"/>
      <c r="J20" s="23">
        <v>1</v>
      </c>
      <c r="K20" s="24">
        <v>46266</v>
      </c>
      <c r="L20" s="24">
        <v>46266</v>
      </c>
      <c r="M20" s="24">
        <v>46266</v>
      </c>
      <c r="N20" s="21" t="s">
        <v>645</v>
      </c>
      <c r="O20" s="21"/>
      <c r="P20" s="21"/>
      <c r="Q20" s="21"/>
      <c r="R20" s="21"/>
      <c r="S20" s="21"/>
      <c r="T20" s="21"/>
      <c r="U20" s="21"/>
      <c r="V20" s="21"/>
      <c r="W20" s="21"/>
    </row>
    <row r="21" spans="1:23" x14ac:dyDescent="0.2">
      <c r="A21" s="20">
        <f t="shared" si="0"/>
        <v>20</v>
      </c>
      <c r="B21" s="21" t="s">
        <v>341</v>
      </c>
      <c r="C21" s="22"/>
      <c r="D21" s="21" t="s">
        <v>665</v>
      </c>
      <c r="E21" s="22" t="s">
        <v>109</v>
      </c>
      <c r="F21" s="22" t="s">
        <v>172</v>
      </c>
      <c r="G21" s="22" t="s">
        <v>179</v>
      </c>
      <c r="H21" s="22" t="s">
        <v>341</v>
      </c>
      <c r="I21" s="22"/>
      <c r="J21" s="23">
        <v>1</v>
      </c>
      <c r="K21" s="24">
        <v>46266</v>
      </c>
      <c r="L21" s="24">
        <v>46267</v>
      </c>
      <c r="M21" s="24">
        <v>46267</v>
      </c>
      <c r="N21" s="21" t="s">
        <v>645</v>
      </c>
      <c r="O21" s="21"/>
      <c r="P21" s="21"/>
      <c r="Q21" s="21"/>
      <c r="R21" s="21"/>
      <c r="S21" s="21"/>
      <c r="T21" s="21"/>
      <c r="U21" s="21"/>
      <c r="V21" s="21"/>
      <c r="W21" s="21"/>
    </row>
    <row r="22" spans="1:23" ht="45" x14ac:dyDescent="0.2">
      <c r="A22" s="20">
        <f t="shared" si="0"/>
        <v>21</v>
      </c>
      <c r="B22" s="21" t="s">
        <v>341</v>
      </c>
      <c r="C22" s="22"/>
      <c r="D22" s="21" t="s">
        <v>666</v>
      </c>
      <c r="E22" s="22" t="s">
        <v>109</v>
      </c>
      <c r="F22" s="22" t="s">
        <v>172</v>
      </c>
      <c r="G22" s="22" t="s">
        <v>179</v>
      </c>
      <c r="H22" s="22" t="s">
        <v>341</v>
      </c>
      <c r="I22" s="22"/>
      <c r="J22" s="23">
        <v>1</v>
      </c>
      <c r="K22" s="24">
        <v>46267</v>
      </c>
      <c r="L22" s="24">
        <v>46267</v>
      </c>
      <c r="M22" s="24">
        <v>46267</v>
      </c>
      <c r="N22" s="21" t="s">
        <v>645</v>
      </c>
      <c r="O22" s="21"/>
      <c r="P22" s="21"/>
      <c r="Q22" s="21"/>
      <c r="R22" s="21"/>
      <c r="S22" s="21"/>
      <c r="T22" s="21"/>
      <c r="U22" s="21"/>
      <c r="V22" s="21"/>
      <c r="W22" s="21"/>
    </row>
    <row r="23" spans="1:23" ht="30" x14ac:dyDescent="0.2">
      <c r="A23" s="20">
        <f t="shared" si="0"/>
        <v>22</v>
      </c>
      <c r="B23" s="21" t="s">
        <v>341</v>
      </c>
      <c r="C23" s="22"/>
      <c r="D23" s="21" t="s">
        <v>667</v>
      </c>
      <c r="E23" s="22" t="s">
        <v>109</v>
      </c>
      <c r="F23" s="22" t="s">
        <v>163</v>
      </c>
      <c r="G23" s="22" t="s">
        <v>179</v>
      </c>
      <c r="H23" s="22" t="s">
        <v>341</v>
      </c>
      <c r="I23" s="22"/>
      <c r="J23" s="23">
        <v>1</v>
      </c>
      <c r="K23" s="24">
        <v>46268</v>
      </c>
      <c r="L23" s="24">
        <v>46268</v>
      </c>
      <c r="M23" s="24">
        <v>46268</v>
      </c>
      <c r="N23" s="21" t="s">
        <v>645</v>
      </c>
      <c r="O23" s="21"/>
      <c r="P23" s="21"/>
      <c r="Q23" s="21"/>
      <c r="R23" s="21"/>
      <c r="S23" s="21"/>
      <c r="T23" s="21"/>
      <c r="U23" s="21"/>
      <c r="V23" s="21"/>
      <c r="W23" s="21"/>
    </row>
    <row r="24" spans="1:23" ht="30" x14ac:dyDescent="0.2">
      <c r="A24" s="20">
        <f t="shared" si="0"/>
        <v>23</v>
      </c>
      <c r="B24" s="21" t="s">
        <v>341</v>
      </c>
      <c r="C24" s="22"/>
      <c r="D24" s="21" t="s">
        <v>668</v>
      </c>
      <c r="E24" s="22" t="s">
        <v>109</v>
      </c>
      <c r="F24" s="22" t="s">
        <v>163</v>
      </c>
      <c r="G24" s="22" t="s">
        <v>179</v>
      </c>
      <c r="H24" s="22" t="s">
        <v>341</v>
      </c>
      <c r="I24" s="22"/>
      <c r="J24" s="23">
        <v>1</v>
      </c>
      <c r="K24" s="24">
        <v>46269</v>
      </c>
      <c r="L24" s="24">
        <v>46269</v>
      </c>
      <c r="M24" s="24">
        <v>46269</v>
      </c>
      <c r="N24" s="21" t="s">
        <v>645</v>
      </c>
      <c r="O24" s="21"/>
      <c r="P24" s="21"/>
      <c r="Q24" s="21"/>
      <c r="R24" s="21"/>
      <c r="S24" s="21"/>
      <c r="T24" s="21"/>
      <c r="U24" s="21"/>
      <c r="V24" s="21"/>
      <c r="W24" s="21"/>
    </row>
    <row r="25" spans="1:23" x14ac:dyDescent="0.2">
      <c r="A25" s="20">
        <f t="shared" si="0"/>
        <v>24</v>
      </c>
      <c r="B25" s="21" t="s">
        <v>341</v>
      </c>
      <c r="C25" s="22"/>
      <c r="D25" s="21" t="s">
        <v>669</v>
      </c>
      <c r="E25" s="22" t="s">
        <v>109</v>
      </c>
      <c r="F25" s="22" t="s">
        <v>163</v>
      </c>
      <c r="G25" s="22" t="s">
        <v>179</v>
      </c>
      <c r="H25" s="22" t="s">
        <v>341</v>
      </c>
      <c r="I25" s="22"/>
      <c r="J25" s="23">
        <v>1</v>
      </c>
      <c r="K25" s="24">
        <v>46272</v>
      </c>
      <c r="L25" s="24">
        <v>46272</v>
      </c>
      <c r="M25" s="24">
        <v>46272</v>
      </c>
      <c r="N25" s="21" t="s">
        <v>645</v>
      </c>
      <c r="O25" s="21"/>
      <c r="P25" s="21"/>
      <c r="Q25" s="21"/>
      <c r="R25" s="21"/>
      <c r="S25" s="21"/>
      <c r="T25" s="21"/>
      <c r="U25" s="21"/>
      <c r="V25" s="21"/>
      <c r="W25" s="21"/>
    </row>
    <row r="26" spans="1:23" x14ac:dyDescent="0.2">
      <c r="A26" s="20">
        <f t="shared" si="0"/>
        <v>25</v>
      </c>
      <c r="B26" s="21" t="s">
        <v>341</v>
      </c>
      <c r="C26" s="22"/>
      <c r="D26" s="21" t="s">
        <v>670</v>
      </c>
      <c r="E26" s="22" t="s">
        <v>109</v>
      </c>
      <c r="F26" s="22" t="s">
        <v>172</v>
      </c>
      <c r="G26" s="22" t="s">
        <v>179</v>
      </c>
      <c r="H26" s="22" t="s">
        <v>341</v>
      </c>
      <c r="I26" s="22"/>
      <c r="J26" s="23">
        <v>1</v>
      </c>
      <c r="K26" s="24">
        <v>46273</v>
      </c>
      <c r="L26" s="24">
        <v>46275</v>
      </c>
      <c r="M26" s="24">
        <v>46275</v>
      </c>
      <c r="N26" s="21" t="s">
        <v>645</v>
      </c>
      <c r="O26" s="21"/>
      <c r="P26" s="21"/>
      <c r="Q26" s="21"/>
      <c r="R26" s="21"/>
      <c r="S26" s="21"/>
      <c r="T26" s="21"/>
      <c r="U26" s="21"/>
      <c r="V26" s="21"/>
      <c r="W26" s="21"/>
    </row>
    <row r="27" spans="1:23" ht="30" x14ac:dyDescent="0.2">
      <c r="A27" s="20">
        <f t="shared" si="0"/>
        <v>26</v>
      </c>
      <c r="B27" s="21" t="s">
        <v>341</v>
      </c>
      <c r="C27" s="22"/>
      <c r="D27" s="21" t="s">
        <v>671</v>
      </c>
      <c r="E27" s="22" t="s">
        <v>109</v>
      </c>
      <c r="F27" s="22" t="s">
        <v>172</v>
      </c>
      <c r="G27" s="22" t="s">
        <v>179</v>
      </c>
      <c r="H27" s="22" t="s">
        <v>341</v>
      </c>
      <c r="I27" s="22"/>
      <c r="J27" s="23">
        <v>1</v>
      </c>
      <c r="K27" s="24">
        <v>46275</v>
      </c>
      <c r="L27" s="24">
        <v>46276</v>
      </c>
      <c r="M27" s="24">
        <v>46276</v>
      </c>
      <c r="N27" s="21" t="s">
        <v>645</v>
      </c>
      <c r="O27" s="21"/>
      <c r="P27" s="21"/>
      <c r="Q27" s="21"/>
      <c r="R27" s="21"/>
      <c r="S27" s="21"/>
      <c r="T27" s="21"/>
      <c r="U27" s="21"/>
      <c r="V27" s="21"/>
      <c r="W27" s="21"/>
    </row>
    <row r="28" spans="1:23" ht="30" x14ac:dyDescent="0.2">
      <c r="A28" s="20">
        <f t="shared" si="0"/>
        <v>27</v>
      </c>
      <c r="B28" s="21" t="s">
        <v>341</v>
      </c>
      <c r="C28" s="22"/>
      <c r="D28" s="21" t="s">
        <v>672</v>
      </c>
      <c r="E28" s="22" t="s">
        <v>109</v>
      </c>
      <c r="F28" s="22" t="s">
        <v>172</v>
      </c>
      <c r="G28" s="22" t="s">
        <v>179</v>
      </c>
      <c r="H28" s="22" t="s">
        <v>341</v>
      </c>
      <c r="I28" s="22"/>
      <c r="J28" s="23">
        <v>1</v>
      </c>
      <c r="K28" s="24">
        <v>46279</v>
      </c>
      <c r="L28" s="24">
        <v>46280</v>
      </c>
      <c r="M28" s="24">
        <v>46280</v>
      </c>
      <c r="N28" s="21" t="s">
        <v>645</v>
      </c>
      <c r="O28" s="21"/>
      <c r="P28" s="21"/>
      <c r="Q28" s="21"/>
      <c r="R28" s="21"/>
      <c r="S28" s="21"/>
      <c r="T28" s="21"/>
      <c r="U28" s="21"/>
      <c r="V28" s="21"/>
      <c r="W28" s="21"/>
    </row>
    <row r="29" spans="1:23" ht="30" x14ac:dyDescent="0.2">
      <c r="A29" s="20">
        <f t="shared" si="0"/>
        <v>28</v>
      </c>
      <c r="B29" s="21" t="s">
        <v>341</v>
      </c>
      <c r="C29" s="22"/>
      <c r="D29" s="21" t="s">
        <v>673</v>
      </c>
      <c r="E29" s="22" t="s">
        <v>109</v>
      </c>
      <c r="F29" s="22" t="s">
        <v>172</v>
      </c>
      <c r="G29" s="22" t="s">
        <v>179</v>
      </c>
      <c r="H29" s="22" t="s">
        <v>341</v>
      </c>
      <c r="I29" s="22"/>
      <c r="J29" s="23">
        <v>1</v>
      </c>
      <c r="K29" s="24">
        <v>46280</v>
      </c>
      <c r="L29" s="24">
        <v>46280</v>
      </c>
      <c r="M29" s="24">
        <v>46280</v>
      </c>
      <c r="N29" s="21" t="s">
        <v>645</v>
      </c>
      <c r="O29" s="21"/>
      <c r="P29" s="21"/>
      <c r="Q29" s="21"/>
      <c r="R29" s="21"/>
      <c r="S29" s="21"/>
      <c r="T29" s="21"/>
      <c r="U29" s="21"/>
      <c r="V29" s="21"/>
      <c r="W29" s="21"/>
    </row>
    <row r="30" spans="1:23" ht="30" x14ac:dyDescent="0.2">
      <c r="A30" s="20">
        <f t="shared" si="0"/>
        <v>29</v>
      </c>
      <c r="B30" s="21" t="s">
        <v>341</v>
      </c>
      <c r="C30" s="22"/>
      <c r="D30" s="21" t="s">
        <v>674</v>
      </c>
      <c r="E30" s="22" t="s">
        <v>109</v>
      </c>
      <c r="F30" s="22" t="s">
        <v>172</v>
      </c>
      <c r="G30" s="22" t="s">
        <v>179</v>
      </c>
      <c r="H30" s="22" t="s">
        <v>341</v>
      </c>
      <c r="I30" s="22"/>
      <c r="J30" s="23">
        <v>1</v>
      </c>
      <c r="K30" s="24">
        <v>46281</v>
      </c>
      <c r="L30" s="24">
        <v>46282</v>
      </c>
      <c r="M30" s="24">
        <v>46282</v>
      </c>
      <c r="N30" s="21" t="s">
        <v>645</v>
      </c>
      <c r="O30" s="21"/>
      <c r="P30" s="21"/>
      <c r="Q30" s="21"/>
      <c r="R30" s="21"/>
      <c r="S30" s="21"/>
      <c r="T30" s="21"/>
      <c r="U30" s="21"/>
      <c r="V30" s="21"/>
      <c r="W30" s="21"/>
    </row>
    <row r="31" spans="1:23" ht="30" x14ac:dyDescent="0.2">
      <c r="A31" s="20">
        <f t="shared" si="0"/>
        <v>30</v>
      </c>
      <c r="B31" s="21" t="s">
        <v>341</v>
      </c>
      <c r="C31" s="22"/>
      <c r="D31" s="21" t="s">
        <v>675</v>
      </c>
      <c r="E31" s="22" t="s">
        <v>109</v>
      </c>
      <c r="F31" s="22" t="s">
        <v>172</v>
      </c>
      <c r="G31" s="22" t="s">
        <v>179</v>
      </c>
      <c r="H31" s="22" t="s">
        <v>341</v>
      </c>
      <c r="I31" s="22"/>
      <c r="J31" s="23">
        <v>1</v>
      </c>
      <c r="K31" s="24">
        <v>46282</v>
      </c>
      <c r="L31" s="24">
        <v>46286</v>
      </c>
      <c r="M31" s="24">
        <v>46286</v>
      </c>
      <c r="N31" s="21" t="s">
        <v>645</v>
      </c>
      <c r="O31" s="21"/>
      <c r="P31" s="21"/>
      <c r="Q31" s="21"/>
      <c r="R31" s="21"/>
      <c r="S31" s="21"/>
      <c r="T31" s="21"/>
      <c r="U31" s="21"/>
      <c r="V31" s="21" t="s">
        <v>676</v>
      </c>
      <c r="W31" s="21"/>
    </row>
    <row r="32" spans="1:23" x14ac:dyDescent="0.2">
      <c r="A32" s="20">
        <f t="shared" si="0"/>
        <v>31</v>
      </c>
      <c r="B32" s="21" t="s">
        <v>341</v>
      </c>
      <c r="C32" s="22"/>
      <c r="D32" s="21" t="s">
        <v>677</v>
      </c>
      <c r="E32" s="22" t="s">
        <v>109</v>
      </c>
      <c r="F32" s="22" t="s">
        <v>172</v>
      </c>
      <c r="G32" s="22" t="s">
        <v>179</v>
      </c>
      <c r="H32" s="22" t="s">
        <v>341</v>
      </c>
      <c r="I32" s="22"/>
      <c r="J32" s="23">
        <v>1</v>
      </c>
      <c r="K32" s="24">
        <v>46283</v>
      </c>
      <c r="L32" s="24">
        <v>46283</v>
      </c>
      <c r="M32" s="24">
        <v>46283</v>
      </c>
      <c r="N32" s="21" t="s">
        <v>645</v>
      </c>
      <c r="O32" s="21"/>
      <c r="P32" s="21"/>
      <c r="Q32" s="21"/>
      <c r="R32" s="21"/>
      <c r="S32" s="21"/>
      <c r="T32" s="21"/>
      <c r="U32" s="21"/>
      <c r="V32" s="21"/>
      <c r="W32" s="21"/>
    </row>
    <row r="33" spans="1:24" x14ac:dyDescent="0.2">
      <c r="A33" s="20">
        <f t="shared" si="0"/>
        <v>32</v>
      </c>
      <c r="B33" s="21" t="s">
        <v>341</v>
      </c>
      <c r="C33" s="22"/>
      <c r="D33" s="21" t="s">
        <v>678</v>
      </c>
      <c r="E33" s="22" t="s">
        <v>109</v>
      </c>
      <c r="F33" s="22" t="s">
        <v>172</v>
      </c>
      <c r="G33" s="22" t="s">
        <v>179</v>
      </c>
      <c r="H33" s="22" t="s">
        <v>341</v>
      </c>
      <c r="I33" s="22"/>
      <c r="J33" s="23">
        <v>1</v>
      </c>
      <c r="K33" s="24">
        <v>46287</v>
      </c>
      <c r="L33" s="24">
        <v>46287</v>
      </c>
      <c r="M33" s="24">
        <v>46287</v>
      </c>
      <c r="N33" s="21" t="s">
        <v>645</v>
      </c>
      <c r="O33" s="21"/>
      <c r="P33" s="21"/>
      <c r="Q33" s="21"/>
      <c r="R33" s="21"/>
      <c r="S33" s="21"/>
      <c r="T33" s="21"/>
      <c r="U33" s="21"/>
      <c r="V33" s="21"/>
      <c r="W33" s="21"/>
    </row>
    <row r="34" spans="1:24" ht="30" x14ac:dyDescent="0.2">
      <c r="A34" s="20">
        <f t="shared" ref="A34:A65" si="1">IF(OR(D34&lt;&gt;"", B34&lt;&gt;""), ROW()-1, "")</f>
        <v>33</v>
      </c>
      <c r="B34" s="21" t="s">
        <v>341</v>
      </c>
      <c r="C34" s="22"/>
      <c r="D34" s="21" t="s">
        <v>679</v>
      </c>
      <c r="E34" s="22" t="s">
        <v>109</v>
      </c>
      <c r="F34" s="22" t="s">
        <v>172</v>
      </c>
      <c r="G34" s="22" t="s">
        <v>179</v>
      </c>
      <c r="H34" s="22" t="s">
        <v>341</v>
      </c>
      <c r="I34" s="22"/>
      <c r="J34" s="23">
        <v>1</v>
      </c>
      <c r="K34" s="24">
        <v>46288</v>
      </c>
      <c r="L34" s="24">
        <v>46289</v>
      </c>
      <c r="M34" s="24">
        <v>46289</v>
      </c>
      <c r="N34" s="21" t="s">
        <v>645</v>
      </c>
      <c r="O34" s="21"/>
      <c r="P34" s="21"/>
      <c r="Q34" s="21"/>
      <c r="R34" s="21"/>
      <c r="S34" s="21"/>
      <c r="T34" s="21"/>
      <c r="U34" s="21"/>
      <c r="V34" s="21"/>
      <c r="W34" s="21"/>
    </row>
    <row r="35" spans="1:24" ht="30" x14ac:dyDescent="0.2">
      <c r="A35" s="20">
        <f t="shared" si="1"/>
        <v>34</v>
      </c>
      <c r="B35" s="21" t="s">
        <v>341</v>
      </c>
      <c r="C35" s="22"/>
      <c r="D35" s="21" t="s">
        <v>680</v>
      </c>
      <c r="E35" s="22" t="s">
        <v>109</v>
      </c>
      <c r="F35" s="22" t="s">
        <v>172</v>
      </c>
      <c r="G35" s="22" t="s">
        <v>179</v>
      </c>
      <c r="H35" s="22" t="s">
        <v>341</v>
      </c>
      <c r="I35" s="22"/>
      <c r="J35" s="23">
        <v>1</v>
      </c>
      <c r="K35" s="24">
        <v>46289</v>
      </c>
      <c r="L35" s="24">
        <v>46289</v>
      </c>
      <c r="M35" s="24">
        <v>46289</v>
      </c>
      <c r="N35" s="21" t="s">
        <v>645</v>
      </c>
      <c r="O35" s="21"/>
      <c r="P35" s="21"/>
      <c r="Q35" s="21"/>
      <c r="R35" s="21"/>
      <c r="S35" s="21"/>
      <c r="T35" s="21"/>
      <c r="U35" s="21"/>
      <c r="V35" s="21"/>
      <c r="W35" s="21"/>
    </row>
    <row r="36" spans="1:24" x14ac:dyDescent="0.2">
      <c r="A36" s="20">
        <f t="shared" si="1"/>
        <v>35</v>
      </c>
      <c r="B36" s="21" t="s">
        <v>341</v>
      </c>
      <c r="C36" s="22"/>
      <c r="D36" s="21" t="s">
        <v>681</v>
      </c>
      <c r="E36" s="22" t="s">
        <v>109</v>
      </c>
      <c r="F36" s="22" t="s">
        <v>172</v>
      </c>
      <c r="G36" s="22" t="s">
        <v>179</v>
      </c>
      <c r="H36" s="22" t="s">
        <v>341</v>
      </c>
      <c r="I36" s="22"/>
      <c r="J36" s="23">
        <v>1</v>
      </c>
      <c r="K36" s="24">
        <v>46289</v>
      </c>
      <c r="L36" s="24">
        <v>46289</v>
      </c>
      <c r="M36" s="24">
        <v>46289</v>
      </c>
      <c r="N36" s="21" t="s">
        <v>645</v>
      </c>
      <c r="O36" s="21"/>
      <c r="P36" s="21"/>
      <c r="Q36" s="21"/>
      <c r="R36" s="21"/>
      <c r="S36" s="21"/>
      <c r="T36" s="21"/>
      <c r="U36" s="21"/>
      <c r="V36" s="21"/>
      <c r="W36" s="21"/>
    </row>
    <row r="37" spans="1:24" ht="60" x14ac:dyDescent="0.2">
      <c r="A37" s="20">
        <f t="shared" si="1"/>
        <v>36</v>
      </c>
      <c r="B37" s="21" t="s">
        <v>341</v>
      </c>
      <c r="C37" s="22"/>
      <c r="D37" s="75" t="s">
        <v>682</v>
      </c>
      <c r="E37" s="22" t="s">
        <v>109</v>
      </c>
      <c r="F37" s="22" t="s">
        <v>172</v>
      </c>
      <c r="G37" s="22" t="s">
        <v>179</v>
      </c>
      <c r="H37" s="22" t="s">
        <v>341</v>
      </c>
      <c r="I37" s="22"/>
      <c r="J37" s="23">
        <v>1</v>
      </c>
      <c r="K37" s="24">
        <v>46290</v>
      </c>
      <c r="L37" s="24">
        <v>46290</v>
      </c>
      <c r="M37" s="24">
        <v>46290</v>
      </c>
      <c r="N37" s="21" t="s">
        <v>645</v>
      </c>
      <c r="O37" s="21"/>
      <c r="P37" s="21"/>
      <c r="Q37" s="21"/>
      <c r="R37" s="21"/>
      <c r="S37" s="21"/>
      <c r="T37" s="21"/>
      <c r="U37" s="21"/>
      <c r="V37" s="21"/>
      <c r="W37" s="21"/>
      <c r="X37" s="17" t="s">
        <v>683</v>
      </c>
    </row>
    <row r="38" spans="1:24" x14ac:dyDescent="0.2">
      <c r="A38" s="20">
        <f t="shared" si="1"/>
        <v>37</v>
      </c>
      <c r="B38" s="21" t="s">
        <v>341</v>
      </c>
      <c r="C38" s="22"/>
      <c r="D38" s="21" t="s">
        <v>684</v>
      </c>
      <c r="E38" s="22" t="s">
        <v>109</v>
      </c>
      <c r="F38" s="22" t="s">
        <v>172</v>
      </c>
      <c r="G38" s="22" t="s">
        <v>685</v>
      </c>
      <c r="H38" s="22" t="s">
        <v>341</v>
      </c>
      <c r="I38" s="22"/>
      <c r="J38" s="23">
        <v>1</v>
      </c>
      <c r="K38" s="24">
        <v>46293</v>
      </c>
      <c r="L38" s="24">
        <v>46293</v>
      </c>
      <c r="M38" s="24">
        <v>46293</v>
      </c>
      <c r="N38" s="21" t="s">
        <v>645</v>
      </c>
      <c r="O38" s="21"/>
      <c r="P38" s="21"/>
      <c r="Q38" s="21"/>
      <c r="R38" s="21"/>
      <c r="S38" s="21"/>
      <c r="T38" s="21"/>
      <c r="U38" s="21"/>
      <c r="V38" s="21"/>
      <c r="W38" s="21"/>
    </row>
    <row r="39" spans="1:24" ht="30" x14ac:dyDescent="0.2">
      <c r="A39" s="20">
        <f t="shared" si="1"/>
        <v>38</v>
      </c>
      <c r="B39" s="21" t="s">
        <v>341</v>
      </c>
      <c r="C39" s="22"/>
      <c r="D39" s="21" t="s">
        <v>686</v>
      </c>
      <c r="E39" s="22" t="s">
        <v>109</v>
      </c>
      <c r="F39" s="22" t="s">
        <v>172</v>
      </c>
      <c r="G39" s="22" t="s">
        <v>179</v>
      </c>
      <c r="H39" s="22" t="s">
        <v>341</v>
      </c>
      <c r="I39" s="22"/>
      <c r="J39" s="23">
        <v>1</v>
      </c>
      <c r="K39" s="24">
        <v>46294</v>
      </c>
      <c r="L39" s="24">
        <v>46294</v>
      </c>
      <c r="M39" s="24">
        <v>46294</v>
      </c>
      <c r="N39" s="21" t="s">
        <v>645</v>
      </c>
      <c r="O39" s="21"/>
      <c r="P39" s="21"/>
      <c r="Q39" s="21"/>
      <c r="R39" s="21"/>
      <c r="S39" s="21"/>
      <c r="T39" s="21"/>
      <c r="U39" s="21"/>
      <c r="V39" s="21"/>
      <c r="W39" s="21"/>
    </row>
    <row r="40" spans="1:24" x14ac:dyDescent="0.2">
      <c r="A40" s="20">
        <f t="shared" si="1"/>
        <v>39</v>
      </c>
      <c r="B40" s="21" t="s">
        <v>341</v>
      </c>
      <c r="C40" s="22"/>
      <c r="D40" s="21" t="s">
        <v>687</v>
      </c>
      <c r="E40" s="22" t="s">
        <v>109</v>
      </c>
      <c r="F40" s="22" t="s">
        <v>172</v>
      </c>
      <c r="G40" s="22" t="s">
        <v>179</v>
      </c>
      <c r="H40" s="22" t="s">
        <v>341</v>
      </c>
      <c r="I40" s="22"/>
      <c r="J40" s="23">
        <v>1</v>
      </c>
      <c r="K40" s="24">
        <v>46296</v>
      </c>
      <c r="L40" s="24">
        <v>46296</v>
      </c>
      <c r="M40" s="24">
        <v>46296</v>
      </c>
      <c r="N40" s="21" t="s">
        <v>645</v>
      </c>
      <c r="O40" s="21"/>
      <c r="P40" s="21"/>
      <c r="Q40" s="21"/>
      <c r="R40" s="21"/>
      <c r="S40" s="21"/>
      <c r="T40" s="21"/>
      <c r="U40" s="21"/>
      <c r="V40" s="21"/>
      <c r="W40" s="21"/>
    </row>
    <row r="41" spans="1:24" ht="60" x14ac:dyDescent="0.2">
      <c r="A41" s="20">
        <f t="shared" si="1"/>
        <v>40</v>
      </c>
      <c r="B41" s="21" t="s">
        <v>341</v>
      </c>
      <c r="C41" s="22"/>
      <c r="D41" s="21" t="s">
        <v>688</v>
      </c>
      <c r="E41" s="22" t="s">
        <v>109</v>
      </c>
      <c r="F41" s="22" t="s">
        <v>203</v>
      </c>
      <c r="G41" s="22" t="s">
        <v>200</v>
      </c>
      <c r="H41" s="22" t="s">
        <v>341</v>
      </c>
      <c r="I41" s="22"/>
      <c r="J41" s="23">
        <v>1</v>
      </c>
      <c r="K41" s="24">
        <v>46296</v>
      </c>
      <c r="L41" s="24">
        <v>46296</v>
      </c>
      <c r="M41" s="24">
        <v>46296</v>
      </c>
      <c r="N41" s="21" t="s">
        <v>645</v>
      </c>
      <c r="O41" s="21"/>
      <c r="P41" s="21"/>
      <c r="Q41" s="21"/>
      <c r="R41" s="21"/>
      <c r="S41" s="21"/>
      <c r="T41" s="21"/>
      <c r="U41" s="21"/>
      <c r="V41" s="21" t="s">
        <v>689</v>
      </c>
      <c r="W41" s="21" t="s">
        <v>690</v>
      </c>
    </row>
    <row r="42" spans="1:24" ht="30" x14ac:dyDescent="0.2">
      <c r="A42" s="20">
        <f t="shared" si="1"/>
        <v>41</v>
      </c>
      <c r="B42" s="21" t="s">
        <v>341</v>
      </c>
      <c r="C42" s="22"/>
      <c r="D42" s="21" t="s">
        <v>691</v>
      </c>
      <c r="E42" s="22" t="s">
        <v>109</v>
      </c>
      <c r="F42" s="22" t="s">
        <v>172</v>
      </c>
      <c r="G42" s="22" t="s">
        <v>179</v>
      </c>
      <c r="H42" s="22" t="s">
        <v>341</v>
      </c>
      <c r="I42" s="22"/>
      <c r="J42" s="23">
        <v>1</v>
      </c>
      <c r="K42" s="24">
        <v>46297</v>
      </c>
      <c r="L42" s="24">
        <v>46297</v>
      </c>
      <c r="M42" s="24">
        <v>46297</v>
      </c>
      <c r="N42" s="21" t="s">
        <v>645</v>
      </c>
      <c r="O42" s="21"/>
      <c r="P42" s="21"/>
      <c r="Q42" s="21"/>
      <c r="R42" s="21"/>
      <c r="S42" s="21"/>
      <c r="T42" s="21"/>
      <c r="U42" s="21"/>
      <c r="V42" s="21"/>
      <c r="W42" s="21"/>
    </row>
    <row r="43" spans="1:24" ht="30" x14ac:dyDescent="0.2">
      <c r="A43" s="20">
        <f t="shared" si="1"/>
        <v>42</v>
      </c>
      <c r="B43" s="21" t="s">
        <v>341</v>
      </c>
      <c r="C43" s="22"/>
      <c r="D43" s="21" t="s">
        <v>692</v>
      </c>
      <c r="E43" s="22" t="s">
        <v>109</v>
      </c>
      <c r="F43" s="22" t="s">
        <v>172</v>
      </c>
      <c r="G43" s="22" t="s">
        <v>179</v>
      </c>
      <c r="H43" s="22" t="s">
        <v>341</v>
      </c>
      <c r="I43" s="22"/>
      <c r="J43" s="23">
        <v>1</v>
      </c>
      <c r="K43" s="24">
        <v>46300</v>
      </c>
      <c r="L43" s="24">
        <v>46300</v>
      </c>
      <c r="M43" s="24">
        <v>46300</v>
      </c>
      <c r="N43" s="82" t="s">
        <v>645</v>
      </c>
      <c r="O43" s="21"/>
      <c r="P43" s="21"/>
      <c r="Q43" s="21"/>
      <c r="R43" s="21"/>
      <c r="S43" s="21"/>
      <c r="T43" s="21"/>
      <c r="U43" s="21"/>
      <c r="V43" s="21"/>
      <c r="W43" s="21"/>
    </row>
    <row r="44" spans="1:24" x14ac:dyDescent="0.2">
      <c r="A44" s="20">
        <f t="shared" si="1"/>
        <v>43</v>
      </c>
      <c r="B44" s="21" t="s">
        <v>341</v>
      </c>
      <c r="C44" s="22"/>
      <c r="D44" s="21" t="s">
        <v>693</v>
      </c>
      <c r="E44" s="22" t="s">
        <v>109</v>
      </c>
      <c r="F44" s="22" t="s">
        <v>172</v>
      </c>
      <c r="G44" s="22" t="s">
        <v>179</v>
      </c>
      <c r="H44" s="22" t="s">
        <v>341</v>
      </c>
      <c r="I44" s="22"/>
      <c r="J44" s="23">
        <v>1</v>
      </c>
      <c r="K44" s="24">
        <v>46301</v>
      </c>
      <c r="L44" s="24">
        <v>46301</v>
      </c>
      <c r="M44" s="24">
        <v>46301</v>
      </c>
      <c r="N44" s="21" t="s">
        <v>645</v>
      </c>
      <c r="O44" s="21"/>
      <c r="P44" s="21"/>
      <c r="Q44" s="21"/>
      <c r="R44" s="21"/>
      <c r="S44" s="21"/>
      <c r="T44" s="21"/>
      <c r="U44" s="21"/>
      <c r="V44" s="21"/>
      <c r="W44" s="21"/>
    </row>
    <row r="45" spans="1:24" ht="30" x14ac:dyDescent="0.2">
      <c r="A45" s="20">
        <f t="shared" si="1"/>
        <v>44</v>
      </c>
      <c r="B45" s="21" t="s">
        <v>341</v>
      </c>
      <c r="C45" s="22"/>
      <c r="D45" s="21" t="s">
        <v>694</v>
      </c>
      <c r="E45" s="22" t="s">
        <v>109</v>
      </c>
      <c r="F45" s="22" t="s">
        <v>172</v>
      </c>
      <c r="G45" s="22" t="s">
        <v>179</v>
      </c>
      <c r="H45" s="22" t="s">
        <v>341</v>
      </c>
      <c r="I45" s="22"/>
      <c r="J45" s="23">
        <v>1</v>
      </c>
      <c r="K45" s="24">
        <v>46302</v>
      </c>
      <c r="L45" s="24">
        <v>46302</v>
      </c>
      <c r="M45" s="24">
        <v>46302</v>
      </c>
      <c r="N45" s="21" t="s">
        <v>645</v>
      </c>
      <c r="O45" s="21"/>
      <c r="P45" s="21"/>
      <c r="Q45" s="21"/>
      <c r="R45" s="21"/>
      <c r="S45" s="21"/>
      <c r="T45" s="21"/>
      <c r="U45" s="21"/>
      <c r="V45" s="21"/>
      <c r="W45" s="21"/>
    </row>
    <row r="46" spans="1:24" x14ac:dyDescent="0.2">
      <c r="A46" s="20">
        <f t="shared" si="1"/>
        <v>45</v>
      </c>
      <c r="B46" s="21" t="s">
        <v>341</v>
      </c>
      <c r="C46" s="22"/>
      <c r="D46" s="21" t="s">
        <v>695</v>
      </c>
      <c r="E46" s="22" t="s">
        <v>109</v>
      </c>
      <c r="F46" s="22" t="s">
        <v>172</v>
      </c>
      <c r="G46" s="22" t="s">
        <v>179</v>
      </c>
      <c r="H46" s="22" t="s">
        <v>341</v>
      </c>
      <c r="I46" s="22"/>
      <c r="J46" s="23">
        <v>1</v>
      </c>
      <c r="K46" s="24">
        <v>46303</v>
      </c>
      <c r="L46" s="24">
        <v>46304</v>
      </c>
      <c r="M46" s="24">
        <v>46304</v>
      </c>
      <c r="N46" s="21" t="s">
        <v>645</v>
      </c>
      <c r="O46" s="21" t="s">
        <v>166</v>
      </c>
      <c r="P46" s="21"/>
      <c r="Q46" s="21"/>
      <c r="R46" s="21"/>
      <c r="S46" s="21"/>
      <c r="T46" s="21"/>
      <c r="U46" s="21"/>
      <c r="V46" s="21"/>
      <c r="W46" s="21"/>
    </row>
    <row r="47" spans="1:24" x14ac:dyDescent="0.2">
      <c r="A47" s="20">
        <f t="shared" si="1"/>
        <v>46</v>
      </c>
      <c r="B47" s="21" t="s">
        <v>341</v>
      </c>
      <c r="C47" s="22"/>
      <c r="D47" s="21" t="s">
        <v>696</v>
      </c>
      <c r="E47" s="22" t="s">
        <v>109</v>
      </c>
      <c r="F47" s="22" t="s">
        <v>172</v>
      </c>
      <c r="G47" s="22" t="s">
        <v>179</v>
      </c>
      <c r="H47" s="22" t="s">
        <v>341</v>
      </c>
      <c r="I47" s="22"/>
      <c r="J47" s="23">
        <v>1</v>
      </c>
      <c r="K47" s="24">
        <v>46303</v>
      </c>
      <c r="L47" s="24">
        <v>46304</v>
      </c>
      <c r="M47" s="24">
        <v>46304</v>
      </c>
      <c r="N47" s="21" t="s">
        <v>645</v>
      </c>
      <c r="O47" s="21" t="s">
        <v>166</v>
      </c>
      <c r="P47" s="21"/>
      <c r="Q47" s="21"/>
      <c r="R47" s="21"/>
      <c r="S47" s="21"/>
      <c r="T47" s="21"/>
      <c r="U47" s="21"/>
      <c r="V47" s="21"/>
      <c r="W47" s="21"/>
    </row>
    <row r="48" spans="1:24" x14ac:dyDescent="0.2">
      <c r="A48" s="20">
        <f t="shared" si="1"/>
        <v>47</v>
      </c>
      <c r="B48" s="21" t="s">
        <v>341</v>
      </c>
      <c r="C48" s="22"/>
      <c r="D48" s="21" t="s">
        <v>697</v>
      </c>
      <c r="E48" s="22" t="s">
        <v>109</v>
      </c>
      <c r="F48" s="22" t="s">
        <v>172</v>
      </c>
      <c r="G48" s="22" t="s">
        <v>179</v>
      </c>
      <c r="H48" s="22" t="s">
        <v>341</v>
      </c>
      <c r="I48" s="22"/>
      <c r="J48" s="23">
        <v>1</v>
      </c>
      <c r="K48" s="24">
        <v>46304</v>
      </c>
      <c r="L48" s="24">
        <v>46307</v>
      </c>
      <c r="M48" s="24">
        <v>46307</v>
      </c>
      <c r="N48" s="21" t="s">
        <v>645</v>
      </c>
      <c r="O48" s="21" t="s">
        <v>166</v>
      </c>
      <c r="P48" s="21"/>
      <c r="Q48" s="21"/>
      <c r="R48" s="21"/>
      <c r="S48" s="21"/>
      <c r="T48" s="21"/>
      <c r="U48" s="21"/>
      <c r="V48" s="21"/>
      <c r="W48" s="21"/>
    </row>
    <row r="49" spans="1:23" ht="30" x14ac:dyDescent="0.2">
      <c r="A49" s="20">
        <f t="shared" si="1"/>
        <v>48</v>
      </c>
      <c r="B49" s="21" t="s">
        <v>341</v>
      </c>
      <c r="C49" s="22"/>
      <c r="D49" s="21" t="s">
        <v>698</v>
      </c>
      <c r="E49" s="22" t="s">
        <v>109</v>
      </c>
      <c r="F49" s="22" t="s">
        <v>172</v>
      </c>
      <c r="G49" s="22" t="s">
        <v>179</v>
      </c>
      <c r="H49" s="22" t="s">
        <v>341</v>
      </c>
      <c r="I49" s="22"/>
      <c r="J49" s="23">
        <v>1</v>
      </c>
      <c r="K49" s="24">
        <v>46304</v>
      </c>
      <c r="L49" s="24">
        <v>46307</v>
      </c>
      <c r="M49" s="24">
        <v>46307</v>
      </c>
      <c r="N49" s="21" t="s">
        <v>645</v>
      </c>
      <c r="O49" s="21" t="s">
        <v>166</v>
      </c>
      <c r="P49" s="21"/>
      <c r="Q49" s="21"/>
      <c r="R49" s="21"/>
      <c r="S49" s="21"/>
      <c r="T49" s="21"/>
      <c r="U49" s="21"/>
      <c r="V49" s="21"/>
      <c r="W49" s="21"/>
    </row>
    <row r="50" spans="1:23" ht="45" x14ac:dyDescent="0.2">
      <c r="A50" s="20">
        <f t="shared" si="1"/>
        <v>49</v>
      </c>
      <c r="B50" s="21" t="s">
        <v>341</v>
      </c>
      <c r="C50" s="22"/>
      <c r="D50" s="21" t="s">
        <v>699</v>
      </c>
      <c r="E50" s="22" t="s">
        <v>109</v>
      </c>
      <c r="F50" s="22" t="s">
        <v>172</v>
      </c>
      <c r="G50" s="22" t="s">
        <v>179</v>
      </c>
      <c r="H50" s="22" t="s">
        <v>341</v>
      </c>
      <c r="I50" s="22"/>
      <c r="J50" s="23">
        <v>1</v>
      </c>
      <c r="K50" s="24">
        <v>46307</v>
      </c>
      <c r="L50" s="24">
        <v>46309</v>
      </c>
      <c r="M50" s="24">
        <v>46308</v>
      </c>
      <c r="N50" s="21" t="s">
        <v>645</v>
      </c>
      <c r="O50" s="21" t="s">
        <v>166</v>
      </c>
      <c r="P50" s="21"/>
      <c r="Q50" s="21"/>
      <c r="R50" s="21"/>
      <c r="S50" s="21"/>
      <c r="T50" s="21"/>
      <c r="U50" s="21"/>
      <c r="V50" s="21"/>
      <c r="W50" s="21"/>
    </row>
    <row r="51" spans="1:23" ht="30" x14ac:dyDescent="0.2">
      <c r="A51" s="20">
        <f t="shared" si="1"/>
        <v>50</v>
      </c>
      <c r="B51" s="21" t="s">
        <v>341</v>
      </c>
      <c r="C51" s="22"/>
      <c r="D51" s="21" t="s">
        <v>700</v>
      </c>
      <c r="E51" s="22" t="s">
        <v>109</v>
      </c>
      <c r="F51" s="22" t="s">
        <v>172</v>
      </c>
      <c r="G51" s="22" t="s">
        <v>179</v>
      </c>
      <c r="H51" s="22" t="s">
        <v>341</v>
      </c>
      <c r="I51" s="22"/>
      <c r="J51" s="23">
        <v>1</v>
      </c>
      <c r="K51" s="24">
        <v>46308</v>
      </c>
      <c r="L51" s="24">
        <v>46309</v>
      </c>
      <c r="M51" s="24">
        <v>46309</v>
      </c>
      <c r="N51" s="21" t="s">
        <v>645</v>
      </c>
      <c r="O51" s="21" t="s">
        <v>166</v>
      </c>
      <c r="P51" s="21"/>
      <c r="Q51" s="21"/>
      <c r="R51" s="21"/>
      <c r="S51" s="21"/>
      <c r="T51" s="21"/>
      <c r="U51" s="21"/>
      <c r="V51" s="21"/>
      <c r="W51" s="21"/>
    </row>
    <row r="52" spans="1:23" ht="60" x14ac:dyDescent="0.2">
      <c r="A52" s="20">
        <f t="shared" si="1"/>
        <v>51</v>
      </c>
      <c r="B52" s="21" t="s">
        <v>341</v>
      </c>
      <c r="C52" s="22"/>
      <c r="D52" s="21" t="s">
        <v>701</v>
      </c>
      <c r="E52" s="22" t="s">
        <v>109</v>
      </c>
      <c r="F52" s="22" t="s">
        <v>172</v>
      </c>
      <c r="G52" s="22" t="s">
        <v>179</v>
      </c>
      <c r="H52" s="22" t="s">
        <v>341</v>
      </c>
      <c r="I52" s="22"/>
      <c r="J52" s="23">
        <v>1</v>
      </c>
      <c r="K52" s="24">
        <v>46309</v>
      </c>
      <c r="L52" s="24">
        <v>46310</v>
      </c>
      <c r="M52" s="24">
        <v>46310</v>
      </c>
      <c r="N52" s="21" t="s">
        <v>645</v>
      </c>
      <c r="O52" s="21" t="s">
        <v>166</v>
      </c>
      <c r="P52" s="21"/>
      <c r="Q52" s="21"/>
      <c r="R52" s="21"/>
      <c r="S52" s="21"/>
      <c r="T52" s="21"/>
      <c r="U52" s="21"/>
      <c r="V52" s="21" t="s">
        <v>702</v>
      </c>
      <c r="W52" s="21" t="s">
        <v>703</v>
      </c>
    </row>
    <row r="53" spans="1:23" x14ac:dyDescent="0.2">
      <c r="A53" s="20">
        <f t="shared" si="1"/>
        <v>52</v>
      </c>
      <c r="B53" s="21" t="s">
        <v>341</v>
      </c>
      <c r="C53" s="22"/>
      <c r="D53" s="21" t="s">
        <v>704</v>
      </c>
      <c r="E53" s="96" t="s">
        <v>109</v>
      </c>
      <c r="F53" s="22" t="s">
        <v>172</v>
      </c>
      <c r="G53" s="22" t="s">
        <v>179</v>
      </c>
      <c r="H53" s="22" t="s">
        <v>341</v>
      </c>
      <c r="I53" s="22"/>
      <c r="J53" s="23">
        <v>1</v>
      </c>
      <c r="K53" s="24">
        <v>46310</v>
      </c>
      <c r="L53" s="24">
        <v>46311</v>
      </c>
      <c r="M53" s="24">
        <v>46311</v>
      </c>
      <c r="N53" s="21" t="s">
        <v>645</v>
      </c>
      <c r="O53" s="21" t="s">
        <v>166</v>
      </c>
      <c r="P53" s="21"/>
      <c r="Q53" s="21"/>
      <c r="R53" s="21"/>
      <c r="S53" s="21"/>
      <c r="T53" s="21"/>
      <c r="U53" s="21"/>
      <c r="V53" s="21"/>
      <c r="W53" s="21"/>
    </row>
    <row r="54" spans="1:23" ht="45" x14ac:dyDescent="0.2">
      <c r="A54" s="20">
        <f t="shared" si="1"/>
        <v>53</v>
      </c>
      <c r="B54" s="21" t="s">
        <v>341</v>
      </c>
      <c r="C54" s="22"/>
      <c r="D54" s="21" t="s">
        <v>705</v>
      </c>
      <c r="E54" s="22" t="s">
        <v>109</v>
      </c>
      <c r="F54" s="22" t="s">
        <v>172</v>
      </c>
      <c r="G54" s="22" t="s">
        <v>179</v>
      </c>
      <c r="H54" s="22" t="s">
        <v>341</v>
      </c>
      <c r="I54" s="22"/>
      <c r="J54" s="23">
        <v>1</v>
      </c>
      <c r="K54" s="24">
        <v>46310</v>
      </c>
      <c r="L54" s="24">
        <v>46310</v>
      </c>
      <c r="M54" s="24">
        <v>46310</v>
      </c>
      <c r="N54" s="21" t="s">
        <v>645</v>
      </c>
      <c r="O54" s="21" t="s">
        <v>166</v>
      </c>
      <c r="P54" s="21"/>
      <c r="Q54" s="21"/>
      <c r="R54" s="21"/>
      <c r="S54" s="21"/>
      <c r="T54" s="21"/>
      <c r="U54" s="21"/>
      <c r="V54" s="21" t="s">
        <v>706</v>
      </c>
      <c r="W54" s="21" t="s">
        <v>707</v>
      </c>
    </row>
    <row r="55" spans="1:23" ht="30" x14ac:dyDescent="0.2">
      <c r="A55" s="20">
        <f t="shared" si="1"/>
        <v>54</v>
      </c>
      <c r="B55" s="21" t="s">
        <v>341</v>
      </c>
      <c r="C55" s="22"/>
      <c r="D55" s="21" t="s">
        <v>708</v>
      </c>
      <c r="E55" s="22" t="s">
        <v>109</v>
      </c>
      <c r="F55" s="22" t="s">
        <v>172</v>
      </c>
      <c r="G55" s="22" t="s">
        <v>179</v>
      </c>
      <c r="H55" s="22" t="s">
        <v>341</v>
      </c>
      <c r="I55" s="22"/>
      <c r="J55" s="23">
        <v>1</v>
      </c>
      <c r="K55" s="24">
        <v>46310</v>
      </c>
      <c r="L55" s="24">
        <v>46310</v>
      </c>
      <c r="M55" s="24">
        <v>46310</v>
      </c>
      <c r="N55" s="21" t="s">
        <v>645</v>
      </c>
      <c r="O55" s="21" t="s">
        <v>166</v>
      </c>
      <c r="P55" s="21"/>
      <c r="Q55" s="21"/>
      <c r="R55" s="21"/>
      <c r="S55" s="21"/>
      <c r="T55" s="21"/>
      <c r="U55" s="21"/>
      <c r="V55" s="21"/>
      <c r="W55" s="21"/>
    </row>
    <row r="56" spans="1:23" ht="75" x14ac:dyDescent="0.2">
      <c r="A56" s="20">
        <f t="shared" si="1"/>
        <v>55</v>
      </c>
      <c r="B56" s="21" t="s">
        <v>341</v>
      </c>
      <c r="C56" s="22"/>
      <c r="D56" s="21" t="s">
        <v>709</v>
      </c>
      <c r="E56" s="22" t="s">
        <v>109</v>
      </c>
      <c r="F56" s="22" t="s">
        <v>172</v>
      </c>
      <c r="G56" s="22" t="s">
        <v>179</v>
      </c>
      <c r="H56" s="22" t="s">
        <v>341</v>
      </c>
      <c r="I56" s="22"/>
      <c r="J56" s="23">
        <v>1</v>
      </c>
      <c r="K56" s="24">
        <v>46310</v>
      </c>
      <c r="L56" s="24">
        <v>46310</v>
      </c>
      <c r="M56" s="24">
        <v>46310</v>
      </c>
      <c r="N56" s="21" t="s">
        <v>645</v>
      </c>
      <c r="O56" s="21" t="s">
        <v>166</v>
      </c>
      <c r="P56" s="21"/>
      <c r="Q56" s="21"/>
      <c r="R56" s="21"/>
      <c r="S56" s="21"/>
      <c r="T56" s="21"/>
      <c r="U56" s="21"/>
      <c r="V56" s="21" t="s">
        <v>710</v>
      </c>
      <c r="W56" s="21" t="s">
        <v>711</v>
      </c>
    </row>
    <row r="57" spans="1:23" ht="60" x14ac:dyDescent="0.2">
      <c r="A57" s="20">
        <f t="shared" si="1"/>
        <v>56</v>
      </c>
      <c r="B57" s="21" t="s">
        <v>341</v>
      </c>
      <c r="C57" s="22"/>
      <c r="D57" s="21" t="s">
        <v>712</v>
      </c>
      <c r="E57" s="22" t="s">
        <v>109</v>
      </c>
      <c r="F57" s="22" t="s">
        <v>172</v>
      </c>
      <c r="G57" s="22" t="s">
        <v>179</v>
      </c>
      <c r="H57" s="22" t="s">
        <v>341</v>
      </c>
      <c r="I57" s="22"/>
      <c r="J57" s="23">
        <v>1</v>
      </c>
      <c r="K57" s="24">
        <v>46311</v>
      </c>
      <c r="L57" s="24">
        <v>46314</v>
      </c>
      <c r="M57" s="24">
        <v>46314</v>
      </c>
      <c r="N57" s="21" t="s">
        <v>645</v>
      </c>
      <c r="O57" s="21" t="s">
        <v>166</v>
      </c>
      <c r="P57" s="21"/>
      <c r="Q57" s="21"/>
      <c r="R57" s="21"/>
      <c r="S57" s="21"/>
      <c r="T57" s="21"/>
      <c r="U57" s="21"/>
      <c r="V57" s="21" t="s">
        <v>713</v>
      </c>
      <c r="W57" s="21" t="s">
        <v>714</v>
      </c>
    </row>
    <row r="58" spans="1:23" ht="30" x14ac:dyDescent="0.2">
      <c r="A58" s="20">
        <f t="shared" si="1"/>
        <v>57</v>
      </c>
      <c r="B58" s="21" t="s">
        <v>341</v>
      </c>
      <c r="C58" s="22"/>
      <c r="D58" s="21" t="s">
        <v>715</v>
      </c>
      <c r="E58" s="22" t="s">
        <v>109</v>
      </c>
      <c r="F58" s="22" t="s">
        <v>172</v>
      </c>
      <c r="G58" s="22" t="s">
        <v>179</v>
      </c>
      <c r="H58" s="22" t="s">
        <v>341</v>
      </c>
      <c r="I58" s="22"/>
      <c r="J58" s="23">
        <v>1</v>
      </c>
      <c r="K58" s="24">
        <v>46311</v>
      </c>
      <c r="L58" s="24">
        <v>46311</v>
      </c>
      <c r="M58" s="24">
        <v>46311</v>
      </c>
      <c r="N58" s="21" t="s">
        <v>645</v>
      </c>
      <c r="O58" s="21" t="s">
        <v>166</v>
      </c>
      <c r="P58" s="21"/>
      <c r="Q58" s="21"/>
      <c r="R58" s="21"/>
      <c r="S58" s="21"/>
      <c r="T58" s="21"/>
      <c r="U58" s="21"/>
      <c r="V58" s="21"/>
      <c r="W58" s="21"/>
    </row>
    <row r="59" spans="1:23" ht="30" x14ac:dyDescent="0.2">
      <c r="A59" s="20">
        <f t="shared" si="1"/>
        <v>58</v>
      </c>
      <c r="B59" s="21" t="s">
        <v>341</v>
      </c>
      <c r="C59" s="22"/>
      <c r="D59" s="21" t="s">
        <v>716</v>
      </c>
      <c r="E59" s="22" t="s">
        <v>109</v>
      </c>
      <c r="F59" s="22" t="s">
        <v>172</v>
      </c>
      <c r="G59" s="22" t="s">
        <v>179</v>
      </c>
      <c r="H59" s="22" t="s">
        <v>341</v>
      </c>
      <c r="I59" s="22"/>
      <c r="J59" s="23">
        <v>1</v>
      </c>
      <c r="K59" s="24">
        <v>46311</v>
      </c>
      <c r="L59" s="24">
        <v>46314</v>
      </c>
      <c r="M59" s="24">
        <v>46314</v>
      </c>
      <c r="N59" s="21" t="s">
        <v>645</v>
      </c>
      <c r="O59" s="21" t="s">
        <v>166</v>
      </c>
      <c r="P59" s="21"/>
      <c r="Q59" s="21"/>
      <c r="R59" s="21"/>
      <c r="S59" s="21"/>
      <c r="T59" s="21"/>
      <c r="U59" s="21"/>
      <c r="V59" s="21"/>
      <c r="W59" s="21"/>
    </row>
    <row r="60" spans="1:23" ht="30" x14ac:dyDescent="0.2">
      <c r="A60" s="20">
        <f t="shared" si="1"/>
        <v>59</v>
      </c>
      <c r="B60" s="21" t="s">
        <v>341</v>
      </c>
      <c r="C60" s="22"/>
      <c r="D60" s="21" t="s">
        <v>717</v>
      </c>
      <c r="E60" s="22" t="s">
        <v>109</v>
      </c>
      <c r="F60" s="22" t="s">
        <v>172</v>
      </c>
      <c r="G60" s="22" t="s">
        <v>179</v>
      </c>
      <c r="H60" s="22" t="s">
        <v>341</v>
      </c>
      <c r="I60" s="22"/>
      <c r="J60" s="23">
        <v>1</v>
      </c>
      <c r="K60" s="24">
        <v>46315</v>
      </c>
      <c r="L60" s="24">
        <v>46315</v>
      </c>
      <c r="M60" s="24">
        <v>46315</v>
      </c>
      <c r="N60" s="21" t="s">
        <v>645</v>
      </c>
      <c r="O60" s="21" t="s">
        <v>166</v>
      </c>
      <c r="P60" s="21"/>
      <c r="Q60" s="21"/>
      <c r="R60" s="21"/>
      <c r="S60" s="21"/>
      <c r="T60" s="21"/>
      <c r="U60" s="21"/>
      <c r="V60" s="21"/>
      <c r="W60" s="21"/>
    </row>
    <row r="61" spans="1:23" ht="30" x14ac:dyDescent="0.2">
      <c r="A61" s="20">
        <f t="shared" si="1"/>
        <v>60</v>
      </c>
      <c r="B61" s="21" t="s">
        <v>341</v>
      </c>
      <c r="C61" s="22"/>
      <c r="D61" s="21" t="s">
        <v>718</v>
      </c>
      <c r="E61" s="22" t="s">
        <v>109</v>
      </c>
      <c r="F61" s="22" t="s">
        <v>172</v>
      </c>
      <c r="G61" s="22" t="s">
        <v>179</v>
      </c>
      <c r="H61" s="22" t="s">
        <v>341</v>
      </c>
      <c r="I61" s="22"/>
      <c r="J61" s="23">
        <v>1</v>
      </c>
      <c r="K61" s="24">
        <v>46315</v>
      </c>
      <c r="L61" s="24">
        <v>46315</v>
      </c>
      <c r="M61" s="24">
        <v>46315</v>
      </c>
      <c r="N61" s="21" t="s">
        <v>645</v>
      </c>
      <c r="O61" s="21" t="s">
        <v>166</v>
      </c>
      <c r="P61" s="21"/>
      <c r="Q61" s="21"/>
      <c r="R61" s="21"/>
      <c r="S61" s="21"/>
      <c r="T61" s="21"/>
      <c r="U61" s="21"/>
      <c r="V61" s="21"/>
      <c r="W61" s="21"/>
    </row>
    <row r="62" spans="1:23" ht="30" x14ac:dyDescent="0.2">
      <c r="A62" s="20">
        <f t="shared" si="1"/>
        <v>61</v>
      </c>
      <c r="B62" s="21" t="s">
        <v>341</v>
      </c>
      <c r="C62" s="22"/>
      <c r="D62" s="21" t="s">
        <v>719</v>
      </c>
      <c r="E62" s="22" t="s">
        <v>109</v>
      </c>
      <c r="F62" s="22" t="s">
        <v>172</v>
      </c>
      <c r="G62" s="22" t="s">
        <v>179</v>
      </c>
      <c r="H62" s="22" t="s">
        <v>341</v>
      </c>
      <c r="I62" s="22"/>
      <c r="J62" s="23">
        <v>1</v>
      </c>
      <c r="K62" s="24">
        <v>46315</v>
      </c>
      <c r="L62" s="24">
        <v>46315</v>
      </c>
      <c r="M62" s="24">
        <v>46315</v>
      </c>
      <c r="N62" s="21" t="s">
        <v>645</v>
      </c>
      <c r="O62" s="21" t="s">
        <v>166</v>
      </c>
      <c r="P62" s="21"/>
      <c r="Q62" s="21"/>
      <c r="R62" s="21"/>
      <c r="S62" s="21"/>
      <c r="T62" s="21"/>
      <c r="U62" s="21"/>
      <c r="V62" s="21"/>
      <c r="W62" s="21"/>
    </row>
    <row r="63" spans="1:23" ht="30" x14ac:dyDescent="0.2">
      <c r="A63" s="20">
        <f t="shared" si="1"/>
        <v>62</v>
      </c>
      <c r="B63" s="21" t="s">
        <v>341</v>
      </c>
      <c r="C63" s="22"/>
      <c r="D63" s="21" t="s">
        <v>720</v>
      </c>
      <c r="E63" s="22" t="s">
        <v>109</v>
      </c>
      <c r="F63" s="22" t="s">
        <v>172</v>
      </c>
      <c r="G63" s="22" t="s">
        <v>179</v>
      </c>
      <c r="H63" s="22" t="s">
        <v>341</v>
      </c>
      <c r="I63" s="22"/>
      <c r="J63" s="23">
        <v>1</v>
      </c>
      <c r="K63" s="24">
        <v>46316</v>
      </c>
      <c r="L63" s="24">
        <v>46316</v>
      </c>
      <c r="M63" s="24">
        <v>46316</v>
      </c>
      <c r="N63" s="21" t="s">
        <v>645</v>
      </c>
      <c r="O63" s="21" t="s">
        <v>166</v>
      </c>
      <c r="P63" s="21"/>
      <c r="Q63" s="21"/>
      <c r="R63" s="21"/>
      <c r="S63" s="21"/>
      <c r="T63" s="21"/>
      <c r="U63" s="21"/>
      <c r="V63" s="21"/>
      <c r="W63" s="21"/>
    </row>
    <row r="64" spans="1:23" ht="30" x14ac:dyDescent="0.2">
      <c r="A64" s="20">
        <f t="shared" si="1"/>
        <v>63</v>
      </c>
      <c r="B64" s="21" t="s">
        <v>341</v>
      </c>
      <c r="C64" s="22"/>
      <c r="D64" s="21" t="s">
        <v>721</v>
      </c>
      <c r="E64" s="22" t="s">
        <v>109</v>
      </c>
      <c r="F64" s="22" t="s">
        <v>172</v>
      </c>
      <c r="G64" s="22" t="s">
        <v>179</v>
      </c>
      <c r="H64" s="22" t="s">
        <v>341</v>
      </c>
      <c r="I64" s="22"/>
      <c r="J64" s="23">
        <v>1</v>
      </c>
      <c r="K64" s="24">
        <v>46316</v>
      </c>
      <c r="L64" s="24">
        <v>46316</v>
      </c>
      <c r="M64" s="24">
        <v>46316</v>
      </c>
      <c r="N64" s="21" t="s">
        <v>645</v>
      </c>
      <c r="O64" s="21" t="s">
        <v>166</v>
      </c>
      <c r="P64" s="21"/>
      <c r="Q64" s="21"/>
      <c r="R64" s="21"/>
      <c r="S64" s="21"/>
      <c r="T64" s="21"/>
      <c r="U64" s="21"/>
      <c r="V64" s="21"/>
      <c r="W64" s="21"/>
    </row>
    <row r="65" spans="1:23" ht="30" x14ac:dyDescent="0.2">
      <c r="A65" s="20">
        <f t="shared" si="1"/>
        <v>64</v>
      </c>
      <c r="B65" s="21" t="s">
        <v>341</v>
      </c>
      <c r="C65" s="22"/>
      <c r="D65" s="21" t="s">
        <v>722</v>
      </c>
      <c r="E65" s="22" t="s">
        <v>109</v>
      </c>
      <c r="F65" s="22" t="s">
        <v>172</v>
      </c>
      <c r="G65" s="22" t="s">
        <v>179</v>
      </c>
      <c r="H65" s="22" t="s">
        <v>341</v>
      </c>
      <c r="I65" s="22"/>
      <c r="J65" s="23">
        <v>1</v>
      </c>
      <c r="K65" s="24">
        <v>46316</v>
      </c>
      <c r="L65" s="24">
        <v>46316</v>
      </c>
      <c r="M65" s="24">
        <v>46316</v>
      </c>
      <c r="N65" s="21" t="s">
        <v>645</v>
      </c>
      <c r="O65" s="21" t="s">
        <v>166</v>
      </c>
      <c r="P65" s="21"/>
      <c r="Q65" s="21"/>
      <c r="R65" s="21"/>
      <c r="S65" s="21"/>
      <c r="T65" s="21"/>
      <c r="U65" s="21"/>
      <c r="V65" s="21"/>
      <c r="W65" s="21"/>
    </row>
    <row r="66" spans="1:23" ht="30" x14ac:dyDescent="0.2">
      <c r="A66" s="20">
        <f t="shared" ref="A66:A97" si="2">IF(OR(D66&lt;&gt;"", B66&lt;&gt;""), ROW()-1, "")</f>
        <v>65</v>
      </c>
      <c r="B66" s="21" t="s">
        <v>341</v>
      </c>
      <c r="C66" s="22"/>
      <c r="D66" s="21" t="s">
        <v>723</v>
      </c>
      <c r="E66" s="22" t="s">
        <v>109</v>
      </c>
      <c r="F66" s="22" t="s">
        <v>163</v>
      </c>
      <c r="G66" s="22" t="s">
        <v>179</v>
      </c>
      <c r="H66" s="22" t="s">
        <v>341</v>
      </c>
      <c r="I66" s="22"/>
      <c r="J66" s="23">
        <v>1</v>
      </c>
      <c r="K66" s="24">
        <v>46317</v>
      </c>
      <c r="L66" s="24">
        <v>46317</v>
      </c>
      <c r="M66" s="24">
        <v>46317</v>
      </c>
      <c r="N66" s="21" t="s">
        <v>645</v>
      </c>
      <c r="O66" s="21" t="s">
        <v>166</v>
      </c>
      <c r="P66" s="21"/>
      <c r="Q66" s="21"/>
      <c r="R66" s="21"/>
      <c r="S66" s="21"/>
      <c r="T66" s="21"/>
      <c r="U66" s="21"/>
      <c r="V66" s="21"/>
      <c r="W66" s="21"/>
    </row>
    <row r="67" spans="1:23" ht="30" x14ac:dyDescent="0.2">
      <c r="A67" s="20">
        <f t="shared" si="2"/>
        <v>66</v>
      </c>
      <c r="B67" s="21" t="s">
        <v>341</v>
      </c>
      <c r="C67" s="22"/>
      <c r="D67" s="21" t="s">
        <v>724</v>
      </c>
      <c r="E67" s="22" t="s">
        <v>109</v>
      </c>
      <c r="F67" s="22" t="s">
        <v>163</v>
      </c>
      <c r="G67" s="22" t="s">
        <v>179</v>
      </c>
      <c r="H67" s="22" t="s">
        <v>341</v>
      </c>
      <c r="I67" s="22"/>
      <c r="J67" s="23">
        <v>1</v>
      </c>
      <c r="K67" s="24">
        <v>46317</v>
      </c>
      <c r="L67" s="24">
        <v>46317</v>
      </c>
      <c r="M67" s="24">
        <v>46317</v>
      </c>
      <c r="N67" s="21" t="s">
        <v>645</v>
      </c>
      <c r="O67" s="21" t="s">
        <v>166</v>
      </c>
      <c r="P67" s="21"/>
      <c r="Q67" s="21"/>
      <c r="R67" s="21"/>
      <c r="S67" s="21"/>
      <c r="T67" s="21"/>
      <c r="U67" s="21"/>
      <c r="V67" s="21"/>
      <c r="W67" s="21"/>
    </row>
    <row r="68" spans="1:23" ht="30" x14ac:dyDescent="0.2">
      <c r="A68" s="20">
        <f t="shared" si="2"/>
        <v>67</v>
      </c>
      <c r="B68" s="21" t="s">
        <v>341</v>
      </c>
      <c r="C68" s="22"/>
      <c r="D68" s="21" t="s">
        <v>725</v>
      </c>
      <c r="E68" s="22" t="s">
        <v>109</v>
      </c>
      <c r="F68" s="22" t="s">
        <v>172</v>
      </c>
      <c r="G68" s="22" t="s">
        <v>179</v>
      </c>
      <c r="H68" s="22" t="s">
        <v>341</v>
      </c>
      <c r="I68" s="22"/>
      <c r="J68" s="23">
        <v>1</v>
      </c>
      <c r="K68" s="24">
        <v>46317</v>
      </c>
      <c r="L68" s="24">
        <v>46317</v>
      </c>
      <c r="M68" s="24">
        <v>46317</v>
      </c>
      <c r="N68" s="21" t="s">
        <v>645</v>
      </c>
      <c r="O68" s="21" t="s">
        <v>166</v>
      </c>
      <c r="P68" s="21"/>
      <c r="Q68" s="21"/>
      <c r="R68" s="21"/>
      <c r="S68" s="21"/>
      <c r="T68" s="21"/>
      <c r="U68" s="21"/>
      <c r="V68" s="21"/>
      <c r="W68" s="21"/>
    </row>
    <row r="69" spans="1:23" ht="30" x14ac:dyDescent="0.2">
      <c r="A69" s="20">
        <f t="shared" si="2"/>
        <v>68</v>
      </c>
      <c r="B69" s="21" t="s">
        <v>341</v>
      </c>
      <c r="C69" s="22"/>
      <c r="D69" s="21" t="s">
        <v>726</v>
      </c>
      <c r="E69" s="22" t="s">
        <v>109</v>
      </c>
      <c r="F69" s="22" t="s">
        <v>163</v>
      </c>
      <c r="G69" s="22" t="s">
        <v>179</v>
      </c>
      <c r="H69" s="22" t="s">
        <v>341</v>
      </c>
      <c r="I69" s="22"/>
      <c r="J69" s="23">
        <v>1</v>
      </c>
      <c r="K69" s="24">
        <v>46318</v>
      </c>
      <c r="L69" s="24">
        <v>46318</v>
      </c>
      <c r="M69" s="24">
        <v>46318</v>
      </c>
      <c r="N69" s="21" t="s">
        <v>645</v>
      </c>
      <c r="O69" s="21" t="s">
        <v>166</v>
      </c>
      <c r="P69" s="21"/>
      <c r="Q69" s="21"/>
      <c r="R69" s="21"/>
      <c r="S69" s="21"/>
      <c r="T69" s="21"/>
      <c r="U69" s="21"/>
      <c r="V69" s="21"/>
      <c r="W69" s="21"/>
    </row>
    <row r="70" spans="1:23" ht="30" x14ac:dyDescent="0.2">
      <c r="A70" s="20">
        <f t="shared" si="2"/>
        <v>69</v>
      </c>
      <c r="B70" s="21" t="s">
        <v>341</v>
      </c>
      <c r="C70" s="22"/>
      <c r="D70" s="21" t="s">
        <v>727</v>
      </c>
      <c r="E70" s="22" t="s">
        <v>109</v>
      </c>
      <c r="F70" s="22" t="s">
        <v>163</v>
      </c>
      <c r="G70" s="22" t="s">
        <v>179</v>
      </c>
      <c r="H70" s="22" t="s">
        <v>341</v>
      </c>
      <c r="I70" s="22"/>
      <c r="J70" s="23">
        <v>1</v>
      </c>
      <c r="K70" s="24">
        <v>46318</v>
      </c>
      <c r="L70" s="24">
        <v>46318</v>
      </c>
      <c r="M70" s="24">
        <v>46318</v>
      </c>
      <c r="N70" s="21" t="s">
        <v>645</v>
      </c>
      <c r="O70" s="21" t="s">
        <v>166</v>
      </c>
      <c r="P70" s="21"/>
      <c r="Q70" s="21"/>
      <c r="R70" s="21"/>
      <c r="S70" s="21"/>
      <c r="T70" s="21"/>
      <c r="U70" s="21"/>
      <c r="V70" s="21"/>
      <c r="W70" s="21"/>
    </row>
    <row r="71" spans="1:23" ht="30" x14ac:dyDescent="0.2">
      <c r="A71" s="20">
        <f t="shared" si="2"/>
        <v>70</v>
      </c>
      <c r="B71" s="21" t="s">
        <v>341</v>
      </c>
      <c r="C71" s="22"/>
      <c r="D71" s="21" t="s">
        <v>728</v>
      </c>
      <c r="E71" s="22" t="s">
        <v>109</v>
      </c>
      <c r="F71" s="22" t="s">
        <v>163</v>
      </c>
      <c r="G71" s="22" t="s">
        <v>179</v>
      </c>
      <c r="H71" s="22" t="s">
        <v>341</v>
      </c>
      <c r="I71" s="22"/>
      <c r="J71" s="23">
        <v>1</v>
      </c>
      <c r="K71" s="24">
        <v>46318</v>
      </c>
      <c r="L71" s="24">
        <v>46318</v>
      </c>
      <c r="M71" s="24">
        <v>46318</v>
      </c>
      <c r="N71" s="21" t="s">
        <v>645</v>
      </c>
      <c r="O71" s="21" t="s">
        <v>166</v>
      </c>
      <c r="P71" s="21"/>
      <c r="Q71" s="21"/>
      <c r="R71" s="21"/>
      <c r="S71" s="21"/>
      <c r="T71" s="21"/>
      <c r="U71" s="21"/>
      <c r="V71" s="21"/>
      <c r="W71" s="21"/>
    </row>
    <row r="72" spans="1:23" x14ac:dyDescent="0.2">
      <c r="A72" s="20">
        <f t="shared" si="2"/>
        <v>71</v>
      </c>
      <c r="B72" s="21" t="s">
        <v>341</v>
      </c>
      <c r="C72" s="22"/>
      <c r="D72" s="106" t="s">
        <v>1070</v>
      </c>
      <c r="E72" s="22" t="s">
        <v>109</v>
      </c>
      <c r="F72" s="22" t="s">
        <v>163</v>
      </c>
      <c r="G72" s="22" t="s">
        <v>200</v>
      </c>
      <c r="H72" s="22" t="s">
        <v>341</v>
      </c>
      <c r="I72" s="22"/>
      <c r="J72" s="23">
        <v>1</v>
      </c>
      <c r="K72" s="24">
        <v>46318</v>
      </c>
      <c r="L72" s="24">
        <v>46318</v>
      </c>
      <c r="M72" s="24">
        <v>46318</v>
      </c>
      <c r="N72" s="21" t="s">
        <v>645</v>
      </c>
      <c r="O72" s="21" t="s">
        <v>166</v>
      </c>
      <c r="P72" s="21"/>
      <c r="Q72" s="21"/>
      <c r="R72" s="21"/>
      <c r="S72" s="21"/>
      <c r="T72" s="21"/>
      <c r="U72" s="21"/>
      <c r="V72" s="21"/>
      <c r="W72" s="21"/>
    </row>
    <row r="73" spans="1:23" x14ac:dyDescent="0.2">
      <c r="A73" s="20" t="str">
        <f t="shared" si="2"/>
        <v/>
      </c>
      <c r="B73" s="21"/>
      <c r="C73" s="22"/>
      <c r="D73" s="21"/>
      <c r="E73" s="22"/>
      <c r="F73" s="22"/>
      <c r="G73" s="22"/>
      <c r="H73" s="22"/>
      <c r="I73" s="22"/>
      <c r="J73" s="22"/>
      <c r="K73" s="22"/>
      <c r="L73" s="22"/>
      <c r="M73" s="22"/>
      <c r="N73" s="21"/>
      <c r="O73" s="21"/>
      <c r="P73" s="21"/>
      <c r="Q73" s="21"/>
      <c r="R73" s="21"/>
      <c r="S73" s="21"/>
      <c r="T73" s="21"/>
      <c r="U73" s="21"/>
      <c r="V73" s="21"/>
      <c r="W73" s="21"/>
    </row>
    <row r="74" spans="1:23" x14ac:dyDescent="0.2">
      <c r="A74" s="20" t="str">
        <f t="shared" si="2"/>
        <v/>
      </c>
      <c r="B74" s="21"/>
      <c r="C74" s="22"/>
      <c r="D74" s="21"/>
      <c r="E74" s="22"/>
      <c r="F74" s="22"/>
      <c r="G74" s="22"/>
      <c r="H74" s="22"/>
      <c r="I74" s="22"/>
      <c r="J74" s="22"/>
      <c r="K74" s="22"/>
      <c r="L74" s="22"/>
      <c r="M74" s="22"/>
      <c r="N74" s="21"/>
      <c r="O74" s="21"/>
      <c r="P74" s="21"/>
      <c r="Q74" s="21"/>
      <c r="R74" s="21"/>
      <c r="S74" s="21"/>
      <c r="T74" s="21"/>
      <c r="U74" s="21"/>
      <c r="V74" s="21"/>
      <c r="W74" s="21"/>
    </row>
    <row r="75" spans="1:23" x14ac:dyDescent="0.2">
      <c r="A75" s="20" t="str">
        <f t="shared" si="2"/>
        <v/>
      </c>
      <c r="B75" s="21"/>
      <c r="C75" s="22"/>
      <c r="D75" s="21"/>
      <c r="E75" s="22"/>
      <c r="F75" s="22"/>
      <c r="G75" s="22"/>
      <c r="H75" s="22"/>
      <c r="I75" s="22"/>
      <c r="J75" s="22"/>
      <c r="K75" s="22"/>
      <c r="L75" s="22"/>
      <c r="M75" s="22"/>
      <c r="N75" s="21"/>
      <c r="O75" s="21"/>
      <c r="P75" s="21"/>
      <c r="Q75" s="21"/>
      <c r="R75" s="21"/>
      <c r="S75" s="21"/>
      <c r="T75" s="21"/>
      <c r="U75" s="21"/>
      <c r="V75" s="21"/>
      <c r="W75" s="21"/>
    </row>
    <row r="76" spans="1:23" x14ac:dyDescent="0.2">
      <c r="A76" s="20" t="str">
        <f t="shared" si="2"/>
        <v/>
      </c>
      <c r="B76" s="21"/>
      <c r="C76" s="22"/>
      <c r="D76" s="21"/>
      <c r="E76" s="22"/>
      <c r="F76" s="22"/>
      <c r="G76" s="22"/>
      <c r="H76" s="22"/>
      <c r="I76" s="22"/>
      <c r="J76" s="22"/>
      <c r="K76" s="22"/>
      <c r="L76" s="22"/>
      <c r="M76" s="22"/>
      <c r="N76" s="21"/>
      <c r="O76" s="21"/>
      <c r="P76" s="21"/>
      <c r="Q76" s="21"/>
      <c r="R76" s="21"/>
      <c r="S76" s="21"/>
      <c r="T76" s="21"/>
      <c r="U76" s="21"/>
      <c r="V76" s="21"/>
      <c r="W76" s="21"/>
    </row>
    <row r="77" spans="1:23" x14ac:dyDescent="0.2">
      <c r="A77" s="20" t="str">
        <f t="shared" si="2"/>
        <v/>
      </c>
      <c r="B77" s="21"/>
      <c r="C77" s="22"/>
      <c r="D77" s="21"/>
      <c r="E77" s="22"/>
      <c r="F77" s="22"/>
      <c r="G77" s="22"/>
      <c r="H77" s="22"/>
      <c r="I77" s="22"/>
      <c r="J77" s="22"/>
      <c r="K77" s="22"/>
      <c r="L77" s="22"/>
      <c r="M77" s="22"/>
      <c r="N77" s="21"/>
      <c r="O77" s="21"/>
      <c r="P77" s="21"/>
      <c r="Q77" s="21"/>
      <c r="R77" s="21"/>
      <c r="S77" s="21"/>
      <c r="T77" s="21"/>
      <c r="U77" s="21"/>
      <c r="V77" s="21"/>
      <c r="W77" s="21"/>
    </row>
    <row r="78" spans="1:23" x14ac:dyDescent="0.2">
      <c r="A78" s="20" t="str">
        <f t="shared" si="2"/>
        <v/>
      </c>
      <c r="B78" s="21"/>
      <c r="C78" s="22"/>
      <c r="D78" s="21"/>
      <c r="E78" s="22"/>
      <c r="F78" s="22"/>
      <c r="G78" s="22"/>
      <c r="H78" s="22"/>
      <c r="I78" s="22"/>
      <c r="J78" s="22"/>
      <c r="K78" s="22"/>
      <c r="L78" s="22"/>
      <c r="M78" s="22"/>
      <c r="N78" s="21"/>
      <c r="O78" s="21"/>
      <c r="P78" s="21"/>
      <c r="Q78" s="21"/>
      <c r="R78" s="21"/>
      <c r="S78" s="21"/>
      <c r="T78" s="21"/>
      <c r="U78" s="21"/>
      <c r="V78" s="21"/>
      <c r="W78" s="21"/>
    </row>
    <row r="79" spans="1:23" x14ac:dyDescent="0.2">
      <c r="A79" s="20" t="str">
        <f t="shared" si="2"/>
        <v/>
      </c>
      <c r="B79" s="21"/>
      <c r="C79" s="22"/>
      <c r="D79" s="21"/>
      <c r="E79" s="22"/>
      <c r="F79" s="22"/>
      <c r="G79" s="22"/>
      <c r="H79" s="22"/>
      <c r="I79" s="22"/>
      <c r="J79" s="22"/>
      <c r="K79" s="22"/>
      <c r="L79" s="22"/>
      <c r="M79" s="22"/>
      <c r="N79" s="21"/>
      <c r="O79" s="21"/>
      <c r="P79" s="21"/>
      <c r="Q79" s="21"/>
      <c r="R79" s="21"/>
      <c r="S79" s="21"/>
      <c r="T79" s="21"/>
      <c r="U79" s="21"/>
      <c r="V79" s="21"/>
      <c r="W79" s="21"/>
    </row>
    <row r="80" spans="1:23" x14ac:dyDescent="0.2">
      <c r="A80" s="20" t="str">
        <f t="shared" si="2"/>
        <v/>
      </c>
      <c r="B80" s="21"/>
      <c r="C80" s="22"/>
      <c r="D80" s="21"/>
      <c r="E80" s="22"/>
      <c r="F80" s="22"/>
      <c r="G80" s="22"/>
      <c r="H80" s="22"/>
      <c r="I80" s="22"/>
      <c r="J80" s="22"/>
      <c r="K80" s="22"/>
      <c r="L80" s="22"/>
      <c r="M80" s="22"/>
      <c r="N80" s="21"/>
      <c r="O80" s="21"/>
      <c r="P80" s="21"/>
      <c r="Q80" s="21"/>
      <c r="R80" s="21"/>
      <c r="S80" s="21"/>
      <c r="T80" s="21"/>
      <c r="U80" s="21"/>
      <c r="V80" s="21"/>
      <c r="W80" s="21"/>
    </row>
    <row r="81" spans="1:23" x14ac:dyDescent="0.2">
      <c r="A81" s="20" t="str">
        <f t="shared" si="2"/>
        <v/>
      </c>
      <c r="B81" s="21"/>
      <c r="C81" s="22"/>
      <c r="D81" s="21"/>
      <c r="E81" s="22"/>
      <c r="F81" s="22"/>
      <c r="G81" s="22"/>
      <c r="H81" s="22"/>
      <c r="I81" s="22"/>
      <c r="J81" s="22"/>
      <c r="K81" s="22"/>
      <c r="L81" s="22"/>
      <c r="M81" s="22"/>
      <c r="N81" s="21"/>
      <c r="O81" s="21"/>
      <c r="P81" s="21"/>
      <c r="Q81" s="21"/>
      <c r="R81" s="21"/>
      <c r="S81" s="21"/>
      <c r="T81" s="21"/>
      <c r="U81" s="21"/>
      <c r="V81" s="21"/>
      <c r="W81" s="21"/>
    </row>
    <row r="82" spans="1:23"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21"/>
    </row>
    <row r="83" spans="1:23"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21"/>
    </row>
    <row r="84" spans="1:23"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21"/>
    </row>
    <row r="85" spans="1:23"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21"/>
    </row>
    <row r="86" spans="1:23"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21"/>
    </row>
    <row r="87" spans="1:23"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21"/>
    </row>
    <row r="88" spans="1:23"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21"/>
    </row>
    <row r="89" spans="1:23"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21"/>
    </row>
    <row r="90" spans="1:23"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21"/>
    </row>
    <row r="91" spans="1:23"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21"/>
    </row>
    <row r="92" spans="1:23"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21"/>
    </row>
    <row r="93" spans="1:23"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21"/>
    </row>
    <row r="94" spans="1:23"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21"/>
    </row>
    <row r="95" spans="1:23"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21"/>
    </row>
    <row r="96" spans="1:23"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21"/>
    </row>
    <row r="97" spans="1:23"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21"/>
    </row>
    <row r="98" spans="1:23" x14ac:dyDescent="0.2">
      <c r="A98" s="20" t="str">
        <f t="shared" ref="A98:A129" si="3">IF(OR(D98&lt;&gt;"", B98&lt;&gt;""), ROW()-1, "")</f>
        <v/>
      </c>
      <c r="B98" s="21"/>
      <c r="C98" s="22"/>
      <c r="D98" s="21"/>
      <c r="E98" s="22"/>
      <c r="F98" s="22"/>
      <c r="G98" s="22"/>
      <c r="H98" s="22"/>
      <c r="I98" s="22"/>
      <c r="J98" s="22"/>
      <c r="K98" s="22"/>
      <c r="L98" s="22"/>
      <c r="M98" s="22"/>
      <c r="N98" s="21"/>
      <c r="O98" s="21"/>
      <c r="P98" s="21"/>
      <c r="Q98" s="21"/>
      <c r="R98" s="21"/>
      <c r="S98" s="21"/>
      <c r="T98" s="21"/>
      <c r="U98" s="21"/>
      <c r="V98" s="21"/>
      <c r="W98" s="21"/>
    </row>
    <row r="99" spans="1:23" x14ac:dyDescent="0.2">
      <c r="A99" s="20" t="str">
        <f t="shared" si="3"/>
        <v/>
      </c>
      <c r="B99" s="21"/>
      <c r="C99" s="22"/>
      <c r="D99" s="21"/>
      <c r="E99" s="22"/>
      <c r="F99" s="22"/>
      <c r="G99" s="22"/>
      <c r="H99" s="22"/>
      <c r="I99" s="22"/>
      <c r="J99" s="22"/>
      <c r="K99" s="22"/>
      <c r="L99" s="22"/>
      <c r="M99" s="22"/>
      <c r="N99" s="21"/>
      <c r="O99" s="21"/>
      <c r="P99" s="21"/>
      <c r="Q99" s="21"/>
      <c r="R99" s="21"/>
      <c r="S99" s="21"/>
      <c r="T99" s="21"/>
      <c r="U99" s="21"/>
      <c r="V99" s="21"/>
      <c r="W99" s="21"/>
    </row>
    <row r="100" spans="1:23" x14ac:dyDescent="0.2">
      <c r="A100" s="20" t="str">
        <f t="shared" si="3"/>
        <v/>
      </c>
      <c r="B100" s="21"/>
      <c r="C100" s="22"/>
      <c r="D100" s="21"/>
      <c r="E100" s="22"/>
      <c r="F100" s="22"/>
      <c r="G100" s="22"/>
      <c r="H100" s="22"/>
      <c r="I100" s="22"/>
      <c r="J100" s="22"/>
      <c r="K100" s="22"/>
      <c r="L100" s="22"/>
      <c r="M100" s="22"/>
      <c r="N100" s="21"/>
      <c r="O100" s="21"/>
      <c r="P100" s="21"/>
      <c r="Q100" s="21"/>
      <c r="R100" s="21"/>
      <c r="S100" s="21"/>
      <c r="T100" s="21"/>
      <c r="U100" s="21"/>
      <c r="V100" s="21"/>
      <c r="W100" s="21"/>
    </row>
    <row r="101" spans="1:23" x14ac:dyDescent="0.2">
      <c r="A101" s="20" t="str">
        <f t="shared" si="3"/>
        <v/>
      </c>
      <c r="B101" s="21"/>
      <c r="C101" s="22"/>
      <c r="D101" s="21"/>
      <c r="E101" s="22"/>
      <c r="F101" s="22"/>
      <c r="G101" s="22"/>
      <c r="H101" s="22"/>
      <c r="I101" s="22"/>
      <c r="J101" s="22"/>
      <c r="K101" s="22"/>
      <c r="L101" s="22"/>
      <c r="M101" s="22"/>
      <c r="N101" s="21"/>
      <c r="O101" s="21"/>
      <c r="P101" s="21"/>
      <c r="Q101" s="21"/>
      <c r="R101" s="21"/>
      <c r="S101" s="21"/>
      <c r="T101" s="21"/>
      <c r="U101" s="21"/>
      <c r="V101" s="21"/>
      <c r="W101" s="21"/>
    </row>
    <row r="102" spans="1:23" x14ac:dyDescent="0.2">
      <c r="A102" s="20" t="str">
        <f t="shared" si="3"/>
        <v/>
      </c>
      <c r="B102" s="21"/>
      <c r="C102" s="22"/>
      <c r="D102" s="21"/>
      <c r="E102" s="22"/>
      <c r="F102" s="22"/>
      <c r="G102" s="22"/>
      <c r="H102" s="22"/>
      <c r="I102" s="22"/>
      <c r="J102" s="22"/>
      <c r="K102" s="22"/>
      <c r="L102" s="22"/>
      <c r="M102" s="22"/>
      <c r="N102" s="21"/>
      <c r="O102" s="21"/>
      <c r="P102" s="21"/>
      <c r="Q102" s="21"/>
      <c r="R102" s="21"/>
      <c r="S102" s="21"/>
      <c r="T102" s="21"/>
      <c r="U102" s="21"/>
      <c r="V102" s="21"/>
      <c r="W102" s="21"/>
    </row>
    <row r="103" spans="1:23" x14ac:dyDescent="0.2">
      <c r="A103" s="20" t="str">
        <f t="shared" si="3"/>
        <v/>
      </c>
      <c r="B103" s="21"/>
      <c r="C103" s="22"/>
      <c r="D103" s="21"/>
      <c r="E103" s="22"/>
      <c r="F103" s="22"/>
      <c r="G103" s="22"/>
      <c r="H103" s="22"/>
      <c r="I103" s="22"/>
      <c r="J103" s="22"/>
      <c r="K103" s="22"/>
      <c r="L103" s="22"/>
      <c r="M103" s="22"/>
      <c r="N103" s="21"/>
      <c r="O103" s="21"/>
      <c r="P103" s="21"/>
      <c r="Q103" s="21"/>
      <c r="R103" s="21"/>
      <c r="S103" s="21"/>
      <c r="T103" s="21"/>
      <c r="U103" s="21"/>
      <c r="V103" s="21"/>
      <c r="W103" s="21"/>
    </row>
    <row r="104" spans="1:23" x14ac:dyDescent="0.2">
      <c r="A104" s="20" t="str">
        <f t="shared" si="3"/>
        <v/>
      </c>
      <c r="B104" s="21"/>
      <c r="C104" s="22"/>
      <c r="D104" s="21"/>
      <c r="E104" s="22"/>
      <c r="F104" s="22"/>
      <c r="G104" s="22"/>
      <c r="H104" s="22"/>
      <c r="I104" s="22"/>
      <c r="J104" s="22"/>
      <c r="K104" s="22"/>
      <c r="L104" s="22"/>
      <c r="M104" s="22"/>
      <c r="N104" s="21"/>
      <c r="O104" s="21"/>
      <c r="P104" s="21"/>
      <c r="Q104" s="21"/>
      <c r="R104" s="21"/>
      <c r="S104" s="21"/>
      <c r="T104" s="21"/>
      <c r="U104" s="21"/>
      <c r="V104" s="21"/>
      <c r="W104" s="21"/>
    </row>
    <row r="105" spans="1:23" x14ac:dyDescent="0.2">
      <c r="A105" s="20" t="str">
        <f t="shared" si="3"/>
        <v/>
      </c>
      <c r="B105" s="21"/>
      <c r="C105" s="22"/>
      <c r="D105" s="21"/>
      <c r="E105" s="22"/>
      <c r="F105" s="22"/>
      <c r="G105" s="22"/>
      <c r="H105" s="22"/>
      <c r="I105" s="22"/>
      <c r="J105" s="22"/>
      <c r="K105" s="22"/>
      <c r="L105" s="22"/>
      <c r="M105" s="22"/>
      <c r="N105" s="21"/>
      <c r="O105" s="21"/>
      <c r="P105" s="21"/>
      <c r="Q105" s="21"/>
      <c r="R105" s="21"/>
      <c r="S105" s="21"/>
      <c r="T105" s="21"/>
      <c r="U105" s="21"/>
      <c r="V105" s="21"/>
      <c r="W105" s="21"/>
    </row>
    <row r="106" spans="1:23" x14ac:dyDescent="0.2">
      <c r="A106" s="20" t="str">
        <f t="shared" si="3"/>
        <v/>
      </c>
      <c r="B106" s="21"/>
      <c r="C106" s="22"/>
      <c r="D106" s="21"/>
      <c r="E106" s="22"/>
      <c r="F106" s="22"/>
      <c r="G106" s="22"/>
      <c r="H106" s="22"/>
      <c r="I106" s="22"/>
      <c r="J106" s="22"/>
      <c r="K106" s="22"/>
      <c r="L106" s="22"/>
      <c r="M106" s="22"/>
      <c r="N106" s="21"/>
      <c r="O106" s="21"/>
      <c r="P106" s="21"/>
      <c r="Q106" s="21"/>
      <c r="R106" s="21"/>
      <c r="S106" s="21"/>
      <c r="T106" s="21"/>
      <c r="U106" s="21"/>
      <c r="V106" s="21"/>
      <c r="W106" s="21"/>
    </row>
    <row r="107" spans="1:23" x14ac:dyDescent="0.2">
      <c r="A107" s="20" t="str">
        <f t="shared" si="3"/>
        <v/>
      </c>
      <c r="B107" s="21"/>
      <c r="C107" s="22"/>
      <c r="D107" s="21"/>
      <c r="E107" s="22"/>
      <c r="F107" s="22"/>
      <c r="G107" s="22"/>
      <c r="H107" s="22"/>
      <c r="I107" s="22"/>
      <c r="J107" s="22"/>
      <c r="K107" s="22"/>
      <c r="L107" s="22"/>
      <c r="M107" s="22"/>
      <c r="N107" s="21"/>
      <c r="O107" s="21"/>
      <c r="P107" s="21"/>
      <c r="Q107" s="21"/>
      <c r="R107" s="21"/>
      <c r="S107" s="21"/>
      <c r="T107" s="21"/>
      <c r="U107" s="21"/>
      <c r="V107" s="21"/>
      <c r="W107" s="21"/>
    </row>
    <row r="108" spans="1:23" x14ac:dyDescent="0.2">
      <c r="A108" s="20" t="str">
        <f t="shared" si="3"/>
        <v/>
      </c>
      <c r="B108" s="21"/>
      <c r="C108" s="22"/>
      <c r="D108" s="21"/>
      <c r="E108" s="22"/>
      <c r="F108" s="22"/>
      <c r="G108" s="22"/>
      <c r="H108" s="22"/>
      <c r="I108" s="22"/>
      <c r="J108" s="22"/>
      <c r="K108" s="22"/>
      <c r="L108" s="22"/>
      <c r="M108" s="22"/>
      <c r="N108" s="21"/>
      <c r="O108" s="21"/>
      <c r="P108" s="21"/>
      <c r="Q108" s="21"/>
      <c r="R108" s="21"/>
      <c r="S108" s="21"/>
      <c r="T108" s="21"/>
      <c r="U108" s="21"/>
      <c r="V108" s="21"/>
      <c r="W108" s="21"/>
    </row>
    <row r="109" spans="1:23" x14ac:dyDescent="0.2">
      <c r="A109" s="20" t="str">
        <f t="shared" si="3"/>
        <v/>
      </c>
      <c r="B109" s="21"/>
      <c r="C109" s="22"/>
      <c r="D109" s="21"/>
      <c r="E109" s="22"/>
      <c r="F109" s="22"/>
      <c r="G109" s="22"/>
      <c r="H109" s="22"/>
      <c r="I109" s="22"/>
      <c r="J109" s="22"/>
      <c r="K109" s="22"/>
      <c r="L109" s="22"/>
      <c r="M109" s="22"/>
      <c r="N109" s="21"/>
      <c r="O109" s="21"/>
      <c r="P109" s="21"/>
      <c r="Q109" s="21"/>
      <c r="R109" s="21"/>
      <c r="S109" s="21"/>
      <c r="T109" s="21"/>
      <c r="U109" s="21"/>
      <c r="V109" s="21"/>
      <c r="W109" s="21"/>
    </row>
    <row r="110" spans="1:23" x14ac:dyDescent="0.2">
      <c r="A110" s="20" t="str">
        <f t="shared" si="3"/>
        <v/>
      </c>
      <c r="B110" s="21"/>
      <c r="C110" s="22"/>
      <c r="D110" s="21"/>
      <c r="E110" s="22"/>
      <c r="F110" s="22"/>
      <c r="G110" s="22"/>
      <c r="H110" s="22"/>
      <c r="I110" s="22"/>
      <c r="J110" s="22"/>
      <c r="K110" s="22"/>
      <c r="L110" s="22"/>
      <c r="M110" s="22"/>
      <c r="N110" s="21"/>
      <c r="O110" s="21"/>
      <c r="P110" s="21"/>
      <c r="Q110" s="21"/>
      <c r="R110" s="21"/>
      <c r="S110" s="21"/>
      <c r="T110" s="21"/>
      <c r="U110" s="21"/>
      <c r="V110" s="21"/>
      <c r="W110" s="21"/>
    </row>
    <row r="111" spans="1:23" x14ac:dyDescent="0.2">
      <c r="A111" s="20" t="str">
        <f t="shared" si="3"/>
        <v/>
      </c>
      <c r="B111" s="21"/>
      <c r="C111" s="22"/>
      <c r="D111" s="21"/>
      <c r="E111" s="22"/>
      <c r="F111" s="22"/>
      <c r="G111" s="22"/>
      <c r="H111" s="22"/>
      <c r="I111" s="22"/>
      <c r="J111" s="22"/>
      <c r="K111" s="22"/>
      <c r="L111" s="22"/>
      <c r="M111" s="22"/>
      <c r="N111" s="21"/>
      <c r="O111" s="21"/>
      <c r="P111" s="21"/>
      <c r="Q111" s="21"/>
      <c r="R111" s="21"/>
      <c r="S111" s="21"/>
      <c r="T111" s="21"/>
      <c r="U111" s="21"/>
      <c r="V111" s="21"/>
      <c r="W111" s="21"/>
    </row>
    <row r="112" spans="1:23" x14ac:dyDescent="0.2">
      <c r="A112" s="20" t="str">
        <f t="shared" si="3"/>
        <v/>
      </c>
      <c r="B112" s="21"/>
      <c r="C112" s="22"/>
      <c r="D112" s="21"/>
      <c r="E112" s="22"/>
      <c r="F112" s="22"/>
      <c r="G112" s="22"/>
      <c r="H112" s="22"/>
      <c r="I112" s="22"/>
      <c r="J112" s="22"/>
      <c r="K112" s="22"/>
      <c r="L112" s="22"/>
      <c r="M112" s="22"/>
      <c r="N112" s="21"/>
      <c r="O112" s="21"/>
      <c r="P112" s="21"/>
      <c r="Q112" s="21"/>
      <c r="R112" s="21"/>
      <c r="S112" s="21"/>
      <c r="T112" s="21"/>
      <c r="U112" s="21"/>
      <c r="V112" s="21"/>
      <c r="W112" s="21"/>
    </row>
    <row r="113" spans="1:23" x14ac:dyDescent="0.2">
      <c r="A113" s="20" t="str">
        <f t="shared" si="3"/>
        <v/>
      </c>
      <c r="B113" s="21"/>
      <c r="C113" s="22"/>
      <c r="D113" s="21"/>
      <c r="E113" s="22"/>
      <c r="F113" s="22"/>
      <c r="G113" s="22"/>
      <c r="H113" s="22"/>
      <c r="I113" s="22"/>
      <c r="J113" s="22"/>
      <c r="K113" s="22"/>
      <c r="L113" s="22"/>
      <c r="M113" s="22"/>
      <c r="N113" s="21"/>
      <c r="O113" s="21"/>
      <c r="P113" s="21"/>
      <c r="Q113" s="21"/>
      <c r="R113" s="21"/>
      <c r="S113" s="21"/>
      <c r="T113" s="21"/>
      <c r="U113" s="21"/>
      <c r="V113" s="21"/>
      <c r="W113" s="21"/>
    </row>
    <row r="114" spans="1:23" x14ac:dyDescent="0.2">
      <c r="A114" s="20" t="str">
        <f t="shared" si="3"/>
        <v/>
      </c>
      <c r="B114" s="21"/>
      <c r="C114" s="22"/>
      <c r="D114" s="21"/>
      <c r="E114" s="22"/>
      <c r="F114" s="22"/>
      <c r="G114" s="22"/>
      <c r="H114" s="22"/>
      <c r="I114" s="22"/>
      <c r="J114" s="22"/>
      <c r="K114" s="22"/>
      <c r="L114" s="22"/>
      <c r="M114" s="22"/>
      <c r="N114" s="21"/>
      <c r="O114" s="21"/>
      <c r="P114" s="21"/>
      <c r="Q114" s="21"/>
      <c r="R114" s="21"/>
      <c r="S114" s="21"/>
      <c r="T114" s="21"/>
      <c r="U114" s="21"/>
      <c r="V114" s="21"/>
      <c r="W114" s="21"/>
    </row>
    <row r="115" spans="1:23" x14ac:dyDescent="0.2">
      <c r="A115" s="20" t="str">
        <f t="shared" si="3"/>
        <v/>
      </c>
      <c r="B115" s="21"/>
      <c r="C115" s="22"/>
      <c r="D115" s="21"/>
      <c r="E115" s="22"/>
      <c r="F115" s="22"/>
      <c r="G115" s="22"/>
      <c r="H115" s="22"/>
      <c r="I115" s="22"/>
      <c r="J115" s="22"/>
      <c r="K115" s="22"/>
      <c r="L115" s="22"/>
      <c r="M115" s="22"/>
      <c r="N115" s="21"/>
      <c r="O115" s="21"/>
      <c r="P115" s="21"/>
      <c r="Q115" s="21"/>
      <c r="R115" s="21"/>
      <c r="S115" s="21"/>
      <c r="T115" s="21"/>
      <c r="U115" s="21"/>
      <c r="V115" s="21"/>
      <c r="W115" s="21"/>
    </row>
    <row r="116" spans="1:23" x14ac:dyDescent="0.2">
      <c r="A116" s="20" t="str">
        <f t="shared" si="3"/>
        <v/>
      </c>
      <c r="B116" s="21"/>
      <c r="C116" s="22"/>
      <c r="D116" s="21"/>
      <c r="E116" s="22"/>
      <c r="F116" s="22"/>
      <c r="G116" s="22"/>
      <c r="H116" s="22"/>
      <c r="I116" s="22"/>
      <c r="J116" s="22"/>
      <c r="K116" s="22"/>
      <c r="L116" s="22"/>
      <c r="M116" s="22"/>
      <c r="N116" s="21"/>
      <c r="O116" s="21"/>
      <c r="P116" s="21"/>
      <c r="Q116" s="21"/>
      <c r="R116" s="21"/>
      <c r="S116" s="21"/>
      <c r="T116" s="21"/>
      <c r="U116" s="21"/>
      <c r="V116" s="21"/>
      <c r="W116" s="21"/>
    </row>
    <row r="117" spans="1:23"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21"/>
    </row>
    <row r="118" spans="1:23"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21"/>
    </row>
    <row r="119" spans="1:23"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21"/>
    </row>
    <row r="120" spans="1:23"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21"/>
    </row>
    <row r="121" spans="1:23"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21"/>
    </row>
    <row r="122" spans="1:23"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21"/>
    </row>
    <row r="123" spans="1:23"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21"/>
    </row>
    <row r="124" spans="1:23"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21"/>
    </row>
    <row r="125" spans="1:23"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21"/>
    </row>
    <row r="126" spans="1:23" x14ac:dyDescent="0.2">
      <c r="A126" s="20" t="str">
        <f t="shared" si="3"/>
        <v/>
      </c>
      <c r="B126" s="21"/>
      <c r="C126" s="22"/>
      <c r="D126" s="21"/>
      <c r="E126" s="22"/>
      <c r="F126" s="22"/>
      <c r="G126" s="22"/>
      <c r="H126" s="22"/>
      <c r="I126" s="22"/>
      <c r="J126" s="22"/>
      <c r="K126" s="22"/>
      <c r="L126" s="22"/>
      <c r="M126" s="22"/>
      <c r="N126" s="21"/>
      <c r="O126" s="21"/>
      <c r="P126" s="21"/>
      <c r="Q126" s="21"/>
      <c r="R126" s="21"/>
      <c r="S126" s="21"/>
      <c r="T126" s="21"/>
      <c r="U126" s="21"/>
      <c r="V126" s="21"/>
      <c r="W126" s="21"/>
    </row>
    <row r="127" spans="1:23" x14ac:dyDescent="0.2">
      <c r="A127" s="20" t="str">
        <f t="shared" si="3"/>
        <v/>
      </c>
      <c r="B127" s="21"/>
      <c r="C127" s="22"/>
      <c r="D127" s="21"/>
      <c r="E127" s="22"/>
      <c r="F127" s="22"/>
      <c r="G127" s="22"/>
      <c r="H127" s="22"/>
      <c r="I127" s="22"/>
      <c r="J127" s="22"/>
      <c r="K127" s="22"/>
      <c r="L127" s="22"/>
      <c r="M127" s="22"/>
      <c r="N127" s="21"/>
      <c r="O127" s="21"/>
      <c r="P127" s="21"/>
      <c r="Q127" s="21"/>
      <c r="R127" s="21"/>
      <c r="S127" s="21"/>
      <c r="T127" s="21"/>
      <c r="U127" s="21"/>
      <c r="V127" s="21"/>
      <c r="W127" s="21"/>
    </row>
    <row r="128" spans="1:23" x14ac:dyDescent="0.2">
      <c r="A128" s="20" t="str">
        <f t="shared" si="3"/>
        <v/>
      </c>
      <c r="B128" s="21"/>
      <c r="C128" s="22"/>
      <c r="D128" s="21"/>
      <c r="E128" s="22"/>
      <c r="F128" s="22"/>
      <c r="G128" s="22"/>
      <c r="H128" s="22"/>
      <c r="I128" s="22"/>
      <c r="J128" s="22"/>
      <c r="K128" s="22"/>
      <c r="L128" s="22"/>
      <c r="M128" s="22"/>
      <c r="N128" s="21"/>
      <c r="O128" s="21"/>
      <c r="P128" s="21"/>
      <c r="Q128" s="21"/>
      <c r="R128" s="21"/>
      <c r="S128" s="21"/>
      <c r="T128" s="21"/>
      <c r="U128" s="21"/>
      <c r="V128" s="21"/>
      <c r="W128" s="21"/>
    </row>
    <row r="129" spans="1:23" x14ac:dyDescent="0.2">
      <c r="A129" s="20" t="str">
        <f t="shared" si="3"/>
        <v/>
      </c>
      <c r="B129" s="21"/>
      <c r="C129" s="22"/>
      <c r="D129" s="21"/>
      <c r="E129" s="22"/>
      <c r="F129" s="22"/>
      <c r="G129" s="22"/>
      <c r="H129" s="22"/>
      <c r="I129" s="22"/>
      <c r="J129" s="22"/>
      <c r="K129" s="22"/>
      <c r="L129" s="22"/>
      <c r="M129" s="22"/>
      <c r="N129" s="21"/>
      <c r="O129" s="21"/>
      <c r="P129" s="21"/>
      <c r="Q129" s="21"/>
      <c r="R129" s="21"/>
      <c r="S129" s="21"/>
      <c r="T129" s="21"/>
      <c r="U129" s="21"/>
      <c r="V129" s="21"/>
      <c r="W129" s="21"/>
    </row>
    <row r="130" spans="1:23" x14ac:dyDescent="0.2">
      <c r="A130" s="20" t="str">
        <f t="shared" ref="A130:A150" si="4">IF(OR(D130&lt;&gt;"", B130&lt;&gt;""), ROW()-1, "")</f>
        <v/>
      </c>
      <c r="B130" s="21"/>
      <c r="C130" s="22"/>
      <c r="D130" s="21"/>
      <c r="E130" s="22"/>
      <c r="F130" s="22"/>
      <c r="G130" s="22"/>
      <c r="H130" s="22"/>
      <c r="I130" s="22"/>
      <c r="J130" s="22"/>
      <c r="K130" s="22"/>
      <c r="L130" s="22"/>
      <c r="M130" s="22"/>
      <c r="N130" s="21"/>
      <c r="O130" s="21"/>
      <c r="P130" s="21"/>
      <c r="Q130" s="21"/>
      <c r="R130" s="21"/>
      <c r="S130" s="21"/>
      <c r="T130" s="21"/>
      <c r="U130" s="21"/>
      <c r="V130" s="21"/>
      <c r="W130" s="21"/>
    </row>
    <row r="131" spans="1:23" x14ac:dyDescent="0.2">
      <c r="A131" s="20" t="str">
        <f t="shared" si="4"/>
        <v/>
      </c>
      <c r="B131" s="21"/>
      <c r="C131" s="22"/>
      <c r="D131" s="21"/>
      <c r="E131" s="22"/>
      <c r="F131" s="22"/>
      <c r="G131" s="22"/>
      <c r="H131" s="22"/>
      <c r="I131" s="22"/>
      <c r="J131" s="22"/>
      <c r="K131" s="22"/>
      <c r="L131" s="22"/>
      <c r="M131" s="22"/>
      <c r="N131" s="21"/>
      <c r="O131" s="21"/>
      <c r="P131" s="21"/>
      <c r="Q131" s="21"/>
      <c r="R131" s="21"/>
      <c r="S131" s="21"/>
      <c r="T131" s="21"/>
      <c r="U131" s="21"/>
      <c r="V131" s="21"/>
      <c r="W131" s="21"/>
    </row>
    <row r="132" spans="1:23" x14ac:dyDescent="0.2">
      <c r="A132" s="20" t="str">
        <f t="shared" si="4"/>
        <v/>
      </c>
      <c r="B132" s="21"/>
      <c r="C132" s="22"/>
      <c r="D132" s="21"/>
      <c r="E132" s="22"/>
      <c r="F132" s="22"/>
      <c r="G132" s="22"/>
      <c r="H132" s="22"/>
      <c r="I132" s="22"/>
      <c r="J132" s="22"/>
      <c r="K132" s="22"/>
      <c r="L132" s="22"/>
      <c r="M132" s="22"/>
      <c r="N132" s="21"/>
      <c r="O132" s="21"/>
      <c r="P132" s="21"/>
      <c r="Q132" s="21"/>
      <c r="R132" s="21"/>
      <c r="S132" s="21"/>
      <c r="T132" s="21"/>
      <c r="U132" s="21"/>
      <c r="V132" s="21"/>
      <c r="W132" s="21"/>
    </row>
    <row r="133" spans="1:23" x14ac:dyDescent="0.2">
      <c r="A133" s="20" t="str">
        <f t="shared" si="4"/>
        <v/>
      </c>
      <c r="B133" s="21"/>
      <c r="C133" s="22"/>
      <c r="D133" s="21"/>
      <c r="E133" s="22"/>
      <c r="F133" s="22"/>
      <c r="G133" s="22"/>
      <c r="H133" s="22"/>
      <c r="I133" s="22"/>
      <c r="J133" s="22"/>
      <c r="K133" s="22"/>
      <c r="L133" s="22"/>
      <c r="M133" s="22"/>
      <c r="N133" s="21"/>
      <c r="O133" s="21"/>
      <c r="P133" s="21"/>
      <c r="Q133" s="21"/>
      <c r="R133" s="21"/>
      <c r="S133" s="21"/>
      <c r="T133" s="21"/>
      <c r="U133" s="21"/>
      <c r="V133" s="21"/>
      <c r="W133" s="21"/>
    </row>
    <row r="134" spans="1:23" x14ac:dyDescent="0.2">
      <c r="A134" s="20" t="str">
        <f t="shared" si="4"/>
        <v/>
      </c>
      <c r="B134" s="21"/>
      <c r="C134" s="22"/>
      <c r="D134" s="21"/>
      <c r="E134" s="22"/>
      <c r="F134" s="22"/>
      <c r="G134" s="22"/>
      <c r="H134" s="22"/>
      <c r="I134" s="22"/>
      <c r="J134" s="22"/>
      <c r="K134" s="22"/>
      <c r="L134" s="22"/>
      <c r="M134" s="22"/>
      <c r="N134" s="21"/>
      <c r="O134" s="21"/>
      <c r="P134" s="21"/>
      <c r="Q134" s="21"/>
      <c r="R134" s="21"/>
      <c r="S134" s="21"/>
      <c r="T134" s="21"/>
      <c r="U134" s="21"/>
      <c r="V134" s="21"/>
      <c r="W134" s="21"/>
    </row>
    <row r="135" spans="1:23" x14ac:dyDescent="0.2">
      <c r="A135" s="20" t="str">
        <f t="shared" si="4"/>
        <v/>
      </c>
      <c r="B135" s="21"/>
      <c r="C135" s="22"/>
      <c r="D135" s="21"/>
      <c r="E135" s="22"/>
      <c r="F135" s="22"/>
      <c r="G135" s="22"/>
      <c r="H135" s="22"/>
      <c r="I135" s="22"/>
      <c r="J135" s="22"/>
      <c r="K135" s="22"/>
      <c r="L135" s="22"/>
      <c r="M135" s="22"/>
      <c r="N135" s="21"/>
      <c r="O135" s="21"/>
      <c r="P135" s="21"/>
      <c r="Q135" s="21"/>
      <c r="R135" s="21"/>
      <c r="S135" s="21"/>
      <c r="T135" s="21"/>
      <c r="U135" s="21"/>
      <c r="V135" s="21"/>
      <c r="W135" s="21"/>
    </row>
    <row r="136" spans="1:23" x14ac:dyDescent="0.2">
      <c r="A136" s="20" t="str">
        <f t="shared" si="4"/>
        <v/>
      </c>
      <c r="B136" s="21"/>
      <c r="C136" s="22"/>
      <c r="D136" s="21"/>
      <c r="E136" s="22"/>
      <c r="F136" s="22"/>
      <c r="G136" s="22"/>
      <c r="H136" s="22"/>
      <c r="I136" s="22"/>
      <c r="J136" s="22"/>
      <c r="K136" s="22"/>
      <c r="L136" s="22"/>
      <c r="M136" s="22"/>
      <c r="N136" s="21"/>
      <c r="O136" s="21"/>
      <c r="P136" s="21"/>
      <c r="Q136" s="21"/>
      <c r="R136" s="21"/>
      <c r="S136" s="21"/>
      <c r="T136" s="21"/>
      <c r="U136" s="21"/>
      <c r="V136" s="21"/>
      <c r="W136" s="21"/>
    </row>
    <row r="137" spans="1:23" x14ac:dyDescent="0.2">
      <c r="A137" s="20" t="str">
        <f t="shared" si="4"/>
        <v/>
      </c>
      <c r="B137" s="21"/>
      <c r="C137" s="22"/>
      <c r="D137" s="21"/>
      <c r="E137" s="22"/>
      <c r="F137" s="22"/>
      <c r="G137" s="22"/>
      <c r="H137" s="22"/>
      <c r="I137" s="22"/>
      <c r="J137" s="22"/>
      <c r="K137" s="22"/>
      <c r="L137" s="22"/>
      <c r="M137" s="22"/>
      <c r="N137" s="21"/>
      <c r="O137" s="21"/>
      <c r="P137" s="21"/>
      <c r="Q137" s="21"/>
      <c r="R137" s="21"/>
      <c r="S137" s="21"/>
      <c r="T137" s="21"/>
      <c r="U137" s="21"/>
      <c r="V137" s="21"/>
      <c r="W137" s="21"/>
    </row>
    <row r="138" spans="1:23" x14ac:dyDescent="0.2">
      <c r="A138" s="20" t="str">
        <f t="shared" si="4"/>
        <v/>
      </c>
      <c r="B138" s="21"/>
      <c r="C138" s="22"/>
      <c r="D138" s="21"/>
      <c r="E138" s="22"/>
      <c r="F138" s="22"/>
      <c r="G138" s="22"/>
      <c r="H138" s="22"/>
      <c r="I138" s="22"/>
      <c r="J138" s="22"/>
      <c r="K138" s="22"/>
      <c r="L138" s="22"/>
      <c r="M138" s="22"/>
      <c r="N138" s="21"/>
      <c r="O138" s="21"/>
      <c r="P138" s="21"/>
      <c r="Q138" s="21"/>
      <c r="R138" s="21"/>
      <c r="S138" s="21"/>
      <c r="T138" s="21"/>
      <c r="U138" s="21"/>
      <c r="V138" s="21"/>
      <c r="W138" s="21"/>
    </row>
    <row r="139" spans="1:23" x14ac:dyDescent="0.2">
      <c r="A139" s="20" t="str">
        <f t="shared" si="4"/>
        <v/>
      </c>
      <c r="B139" s="21"/>
      <c r="C139" s="22"/>
      <c r="D139" s="21"/>
      <c r="E139" s="22"/>
      <c r="F139" s="22"/>
      <c r="G139" s="22"/>
      <c r="H139" s="22"/>
      <c r="I139" s="22"/>
      <c r="J139" s="22"/>
      <c r="K139" s="22"/>
      <c r="L139" s="22"/>
      <c r="M139" s="22"/>
      <c r="N139" s="21"/>
      <c r="O139" s="21"/>
      <c r="P139" s="21"/>
      <c r="Q139" s="21"/>
      <c r="R139" s="21"/>
      <c r="S139" s="21"/>
      <c r="T139" s="21"/>
      <c r="U139" s="21"/>
      <c r="V139" s="21"/>
      <c r="W139" s="21"/>
    </row>
    <row r="140" spans="1:23" x14ac:dyDescent="0.2">
      <c r="A140" s="20" t="str">
        <f t="shared" si="4"/>
        <v/>
      </c>
      <c r="B140" s="21"/>
      <c r="C140" s="22"/>
      <c r="D140" s="21"/>
      <c r="E140" s="22"/>
      <c r="F140" s="22"/>
      <c r="G140" s="22"/>
      <c r="H140" s="22"/>
      <c r="I140" s="22"/>
      <c r="J140" s="22"/>
      <c r="K140" s="22"/>
      <c r="L140" s="22"/>
      <c r="M140" s="22"/>
      <c r="N140" s="21"/>
      <c r="O140" s="21"/>
      <c r="P140" s="21"/>
      <c r="Q140" s="21"/>
      <c r="R140" s="21"/>
      <c r="S140" s="21"/>
      <c r="T140" s="21"/>
      <c r="U140" s="21"/>
      <c r="V140" s="21"/>
      <c r="W140" s="21"/>
    </row>
    <row r="141" spans="1:23" x14ac:dyDescent="0.2">
      <c r="A141" s="20" t="str">
        <f t="shared" si="4"/>
        <v/>
      </c>
      <c r="B141" s="21"/>
      <c r="C141" s="22"/>
      <c r="D141" s="21"/>
      <c r="E141" s="22"/>
      <c r="F141" s="22"/>
      <c r="G141" s="22"/>
      <c r="H141" s="22"/>
      <c r="I141" s="22"/>
      <c r="J141" s="22"/>
      <c r="K141" s="22"/>
      <c r="L141" s="22"/>
      <c r="M141" s="22"/>
      <c r="N141" s="21"/>
      <c r="O141" s="21"/>
      <c r="P141" s="21"/>
      <c r="Q141" s="21"/>
      <c r="R141" s="21"/>
      <c r="S141" s="21"/>
      <c r="T141" s="21"/>
      <c r="U141" s="21"/>
      <c r="V141" s="21"/>
      <c r="W141" s="21"/>
    </row>
    <row r="142" spans="1:23" x14ac:dyDescent="0.2">
      <c r="A142" s="20" t="str">
        <f t="shared" si="4"/>
        <v/>
      </c>
      <c r="B142" s="21"/>
      <c r="C142" s="22"/>
      <c r="D142" s="21"/>
      <c r="E142" s="22"/>
      <c r="F142" s="22"/>
      <c r="G142" s="22"/>
      <c r="H142" s="22"/>
      <c r="I142" s="22"/>
      <c r="J142" s="22"/>
      <c r="K142" s="22"/>
      <c r="L142" s="22"/>
      <c r="M142" s="22"/>
      <c r="N142" s="21"/>
      <c r="O142" s="21"/>
      <c r="P142" s="21"/>
      <c r="Q142" s="21"/>
      <c r="R142" s="21"/>
      <c r="S142" s="21"/>
      <c r="T142" s="21"/>
      <c r="U142" s="21"/>
      <c r="V142" s="21"/>
      <c r="W142" s="21"/>
    </row>
    <row r="143" spans="1:23" x14ac:dyDescent="0.2">
      <c r="A143" s="20" t="str">
        <f t="shared" si="4"/>
        <v/>
      </c>
      <c r="B143" s="21"/>
      <c r="C143" s="22"/>
      <c r="D143" s="21"/>
      <c r="E143" s="22"/>
      <c r="F143" s="22"/>
      <c r="G143" s="22"/>
      <c r="H143" s="22"/>
      <c r="I143" s="22"/>
      <c r="J143" s="22"/>
      <c r="K143" s="22"/>
      <c r="L143" s="22"/>
      <c r="M143" s="22"/>
      <c r="N143" s="21"/>
      <c r="O143" s="21"/>
      <c r="P143" s="21"/>
      <c r="Q143" s="21"/>
      <c r="R143" s="21"/>
      <c r="S143" s="21"/>
      <c r="T143" s="21"/>
      <c r="U143" s="21"/>
      <c r="V143" s="21"/>
      <c r="W143" s="21"/>
    </row>
    <row r="144" spans="1:23" x14ac:dyDescent="0.2">
      <c r="A144" s="20" t="str">
        <f t="shared" si="4"/>
        <v/>
      </c>
      <c r="B144" s="21"/>
      <c r="C144" s="22"/>
      <c r="D144" s="21"/>
      <c r="E144" s="22"/>
      <c r="F144" s="22"/>
      <c r="G144" s="22"/>
      <c r="H144" s="22"/>
      <c r="I144" s="22"/>
      <c r="J144" s="22"/>
      <c r="K144" s="22"/>
      <c r="L144" s="22"/>
      <c r="M144" s="22"/>
      <c r="N144" s="21"/>
      <c r="O144" s="21"/>
      <c r="P144" s="21"/>
      <c r="Q144" s="21"/>
      <c r="R144" s="21"/>
      <c r="S144" s="21"/>
      <c r="T144" s="21"/>
      <c r="U144" s="21"/>
      <c r="V144" s="21"/>
      <c r="W144" s="21"/>
    </row>
    <row r="145" spans="1:23" x14ac:dyDescent="0.2">
      <c r="A145" s="20" t="str">
        <f t="shared" si="4"/>
        <v/>
      </c>
      <c r="B145" s="21"/>
      <c r="C145" s="22"/>
      <c r="D145" s="21"/>
      <c r="E145" s="22"/>
      <c r="F145" s="22"/>
      <c r="G145" s="22"/>
      <c r="H145" s="22"/>
      <c r="I145" s="22"/>
      <c r="J145" s="22"/>
      <c r="K145" s="22"/>
      <c r="L145" s="22"/>
      <c r="M145" s="22"/>
      <c r="N145" s="21"/>
      <c r="O145" s="21"/>
      <c r="P145" s="21"/>
      <c r="Q145" s="21"/>
      <c r="R145" s="21"/>
      <c r="S145" s="21"/>
      <c r="T145" s="21"/>
      <c r="U145" s="21"/>
      <c r="V145" s="21"/>
      <c r="W145" s="21"/>
    </row>
    <row r="146" spans="1:23" x14ac:dyDescent="0.2">
      <c r="A146" s="20" t="str">
        <f t="shared" si="4"/>
        <v/>
      </c>
      <c r="B146" s="21"/>
      <c r="C146" s="22"/>
      <c r="D146" s="21"/>
      <c r="E146" s="22"/>
      <c r="F146" s="22"/>
      <c r="G146" s="22"/>
      <c r="H146" s="22"/>
      <c r="I146" s="22"/>
      <c r="J146" s="22"/>
      <c r="K146" s="22"/>
      <c r="L146" s="22"/>
      <c r="M146" s="22"/>
      <c r="N146" s="21"/>
      <c r="O146" s="21"/>
      <c r="P146" s="21"/>
      <c r="Q146" s="21"/>
      <c r="R146" s="21"/>
      <c r="S146" s="21"/>
      <c r="T146" s="21"/>
      <c r="U146" s="21"/>
      <c r="V146" s="21"/>
      <c r="W146" s="21"/>
    </row>
    <row r="147" spans="1:23" x14ac:dyDescent="0.2">
      <c r="A147" s="20" t="str">
        <f t="shared" si="4"/>
        <v/>
      </c>
      <c r="B147" s="21"/>
      <c r="C147" s="22"/>
      <c r="D147" s="21"/>
      <c r="E147" s="22"/>
      <c r="F147" s="22"/>
      <c r="G147" s="22"/>
      <c r="H147" s="22"/>
      <c r="I147" s="22"/>
      <c r="J147" s="22"/>
      <c r="K147" s="22"/>
      <c r="L147" s="22"/>
      <c r="M147" s="22"/>
      <c r="N147" s="21"/>
      <c r="O147" s="21"/>
      <c r="P147" s="21"/>
      <c r="Q147" s="21"/>
      <c r="R147" s="21"/>
      <c r="S147" s="21"/>
      <c r="T147" s="21"/>
      <c r="U147" s="21"/>
      <c r="V147" s="21"/>
      <c r="W147" s="21"/>
    </row>
    <row r="148" spans="1:23" x14ac:dyDescent="0.2">
      <c r="A148" s="20" t="str">
        <f t="shared" si="4"/>
        <v/>
      </c>
      <c r="B148" s="21"/>
      <c r="C148" s="22"/>
      <c r="D148" s="21"/>
      <c r="E148" s="22"/>
      <c r="F148" s="22"/>
      <c r="G148" s="22"/>
      <c r="H148" s="22"/>
      <c r="I148" s="22"/>
      <c r="J148" s="22"/>
      <c r="K148" s="22"/>
      <c r="L148" s="22"/>
      <c r="M148" s="22"/>
      <c r="N148" s="21"/>
      <c r="O148" s="21"/>
      <c r="P148" s="21"/>
      <c r="Q148" s="21"/>
      <c r="R148" s="21"/>
      <c r="S148" s="21"/>
      <c r="T148" s="21"/>
      <c r="U148" s="21"/>
      <c r="V148" s="21"/>
      <c r="W148" s="21"/>
    </row>
    <row r="149" spans="1:23" x14ac:dyDescent="0.2">
      <c r="A149" s="20" t="str">
        <f t="shared" si="4"/>
        <v/>
      </c>
      <c r="B149" s="21"/>
      <c r="C149" s="22"/>
      <c r="D149" s="21"/>
      <c r="E149" s="22"/>
      <c r="F149" s="22"/>
      <c r="G149" s="22"/>
      <c r="H149" s="22"/>
      <c r="I149" s="22"/>
      <c r="J149" s="22"/>
      <c r="K149" s="22"/>
      <c r="L149" s="22"/>
      <c r="M149" s="22"/>
      <c r="N149" s="21"/>
      <c r="O149" s="21"/>
      <c r="P149" s="21"/>
      <c r="Q149" s="21"/>
      <c r="R149" s="21"/>
      <c r="S149" s="21"/>
      <c r="T149" s="21"/>
      <c r="U149" s="21"/>
      <c r="V149" s="21"/>
      <c r="W149" s="21"/>
    </row>
    <row r="150" spans="1:23" x14ac:dyDescent="0.2">
      <c r="A150" s="20" t="str">
        <f t="shared" si="4"/>
        <v/>
      </c>
      <c r="B150" s="21"/>
      <c r="C150" s="22"/>
      <c r="D150" s="21"/>
      <c r="E150" s="22"/>
      <c r="F150" s="22"/>
      <c r="G150" s="22"/>
      <c r="H150" s="22"/>
      <c r="I150" s="22"/>
      <c r="J150" s="22"/>
      <c r="K150" s="22"/>
      <c r="L150" s="22"/>
      <c r="M150" s="22"/>
      <c r="N150" s="21"/>
      <c r="O150" s="21"/>
      <c r="P150" s="21"/>
      <c r="Q150" s="21"/>
      <c r="R150" s="21"/>
      <c r="S150" s="21"/>
      <c r="T150" s="21"/>
      <c r="U150" s="21"/>
      <c r="V150" s="21"/>
      <c r="W150" s="21"/>
    </row>
  </sheetData>
  <dataValidations count="6">
    <dataValidation type="list" allowBlank="1" sqref="E2:E500" xr:uid="{00000000-0002-0000-0700-000000000000}">
      <formula1>"TODO,IN_PROGRESS,IN_REVIEW,DONE"</formula1>
    </dataValidation>
    <dataValidation type="list" allowBlank="1" sqref="F2:F500" xr:uid="{00000000-0002-0000-0700-000001000000}">
      <formula1>"LOW,MEDIUM,HIGH,CRITICAL"</formula1>
    </dataValidation>
    <dataValidation type="list" allowBlank="1" sqref="G2:G500" xr:uid="{00000000-0002-0000-0700-000002000000}">
      <formula1>"NEW_APPLICATION,ENHANCEMENT,BUG,MAINTENANCE,MIGRATION"</formula1>
    </dataValidation>
    <dataValidation type="list" allowBlank="1" sqref="H2:H500" xr:uid="{00000000-0002-0000-07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2:I500" xr:uid="{00000000-0002-0000-0700-000004000000}">
      <formula1>"UI_BUG,FUNCTIONAL_BUG,INTEGRATION_BUG,DATA_BUG,PERFORMANCE_BUG,SECURITY_BUG,OTHER"</formula1>
    </dataValidation>
    <dataValidation type="list" allowBlank="1" showInputMessage="1" showErrorMessage="1" sqref="Z2:Z1048576" xr:uid="{6727CE43-5E6F-4C40-83D4-A321DF6277BA}">
      <formula1>"Requirement,System Design,Implementation,Testing,Deployment,Maintenance"</formula1>
    </dataValidation>
  </dataValidations>
  <hyperlinks>
    <hyperlink ref="X37" r:id="rId1" xr:uid="{49AED9D7-A001-4006-8DE9-31F4B26CDE1C}"/>
    <hyperlink ref="N43" r:id="rId2" xr:uid="{FA3FD5D8-333B-4F2E-BDF2-228B03E44E1B}"/>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3FBA771-5D43-4998-91C8-D896BE62D4DD}">
          <x14:formula1>
            <xm:f>Master_Project_Name!$A$2:$A$100</xm:f>
          </x14:formula1>
          <xm:sqref>B2:B500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50"/>
  <sheetViews>
    <sheetView workbookViewId="0">
      <pane ySplit="1" topLeftCell="A35" activePane="bottomLeft" state="frozen"/>
      <selection pane="bottomLeft" activeCell="D34" sqref="D34"/>
    </sheetView>
  </sheetViews>
  <sheetFormatPr baseColWidth="10" defaultColWidth="8.83203125" defaultRowHeight="15" x14ac:dyDescent="0.2"/>
  <cols>
    <col min="1" max="1" width="6" customWidth="1"/>
    <col min="2" max="2" width="28" customWidth="1"/>
    <col min="3" max="3" width="18" customWidth="1"/>
    <col min="4" max="4" width="4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3" width="30" customWidth="1"/>
    <col min="24" max="24" width="11.33203125" customWidth="1"/>
    <col min="25" max="25" width="11.5" customWidth="1"/>
    <col min="31" max="31" width="14.83203125" customWidth="1"/>
    <col min="32" max="32" width="12.83203125" customWidth="1"/>
  </cols>
  <sheetData>
    <row r="1" spans="1:26" ht="28" customHeight="1" x14ac:dyDescent="0.2">
      <c r="A1" s="33" t="s">
        <v>138</v>
      </c>
      <c r="B1" s="33" t="s">
        <v>0</v>
      </c>
      <c r="C1" s="33" t="s">
        <v>1</v>
      </c>
      <c r="D1" s="33" t="s">
        <v>139</v>
      </c>
      <c r="E1" s="33" t="s">
        <v>140</v>
      </c>
      <c r="F1" s="33" t="s">
        <v>141</v>
      </c>
      <c r="G1" s="33" t="s">
        <v>142</v>
      </c>
      <c r="H1" s="33" t="s">
        <v>143</v>
      </c>
      <c r="I1" s="33" t="s">
        <v>144</v>
      </c>
      <c r="J1" s="33" t="s">
        <v>145</v>
      </c>
      <c r="K1" s="33" t="s">
        <v>146</v>
      </c>
      <c r="L1" s="33" t="s">
        <v>147</v>
      </c>
      <c r="M1" s="33" t="s">
        <v>148</v>
      </c>
      <c r="N1" s="33" t="s">
        <v>149</v>
      </c>
      <c r="O1" s="33" t="s">
        <v>150</v>
      </c>
      <c r="P1" s="33" t="s">
        <v>151</v>
      </c>
      <c r="Q1" s="33" t="s">
        <v>152</v>
      </c>
      <c r="R1" s="33" t="s">
        <v>153</v>
      </c>
      <c r="S1" s="33" t="s">
        <v>154</v>
      </c>
      <c r="T1" s="33" t="s">
        <v>155</v>
      </c>
      <c r="U1" s="33" t="s">
        <v>156</v>
      </c>
      <c r="V1" s="33" t="s">
        <v>157</v>
      </c>
      <c r="W1" s="33" t="s">
        <v>158</v>
      </c>
      <c r="X1" s="33" t="s">
        <v>159</v>
      </c>
      <c r="Y1" s="33" t="s">
        <v>160</v>
      </c>
      <c r="Z1" s="33" t="s">
        <v>161</v>
      </c>
    </row>
    <row r="2" spans="1:26" ht="30" x14ac:dyDescent="0.2">
      <c r="A2" s="20">
        <f t="shared" ref="A2:A33" si="0">IF(OR(D2&lt;&gt;"", B2&lt;&gt;""), ROW()-1, "")</f>
        <v>1</v>
      </c>
      <c r="B2" s="21" t="s">
        <v>729</v>
      </c>
      <c r="C2" s="22"/>
      <c r="D2" s="21" t="s">
        <v>730</v>
      </c>
      <c r="E2" s="22" t="s">
        <v>109</v>
      </c>
      <c r="F2" s="22" t="s">
        <v>163</v>
      </c>
      <c r="G2" s="22" t="s">
        <v>200</v>
      </c>
      <c r="H2" s="22" t="s">
        <v>731</v>
      </c>
      <c r="I2" s="22" t="s">
        <v>732</v>
      </c>
      <c r="J2" s="23">
        <v>1</v>
      </c>
      <c r="K2" s="24">
        <v>46238</v>
      </c>
      <c r="L2" s="24">
        <v>46238</v>
      </c>
      <c r="M2" s="24">
        <v>46238</v>
      </c>
      <c r="N2" s="21" t="s">
        <v>733</v>
      </c>
      <c r="O2" s="21"/>
      <c r="P2" s="21"/>
      <c r="Q2" s="21"/>
      <c r="R2" s="21"/>
      <c r="S2" s="21"/>
      <c r="T2" s="21"/>
      <c r="U2" s="21"/>
      <c r="V2" s="21"/>
      <c r="W2" s="21" t="s">
        <v>734</v>
      </c>
    </row>
    <row r="3" spans="1:26" ht="30" x14ac:dyDescent="0.2">
      <c r="A3" s="20">
        <f t="shared" si="0"/>
        <v>2</v>
      </c>
      <c r="B3" s="21" t="s">
        <v>729</v>
      </c>
      <c r="C3" s="22"/>
      <c r="D3" s="21" t="s">
        <v>735</v>
      </c>
      <c r="E3" s="22" t="s">
        <v>109</v>
      </c>
      <c r="F3" s="22" t="s">
        <v>294</v>
      </c>
      <c r="G3" s="22" t="s">
        <v>200</v>
      </c>
      <c r="H3" s="22" t="s">
        <v>731</v>
      </c>
      <c r="I3" s="22" t="s">
        <v>732</v>
      </c>
      <c r="J3" s="23">
        <v>1</v>
      </c>
      <c r="K3" s="24">
        <v>46239</v>
      </c>
      <c r="L3" s="24">
        <v>46239</v>
      </c>
      <c r="M3" s="24">
        <v>46239</v>
      </c>
      <c r="N3" s="21" t="s">
        <v>733</v>
      </c>
      <c r="O3" s="21"/>
      <c r="P3" s="21"/>
      <c r="Q3" s="21"/>
      <c r="R3" s="21"/>
      <c r="S3" s="21"/>
      <c r="T3" s="21"/>
      <c r="U3" s="21"/>
      <c r="V3" s="21"/>
      <c r="W3" s="21" t="s">
        <v>736</v>
      </c>
    </row>
    <row r="4" spans="1:26" ht="60" x14ac:dyDescent="0.2">
      <c r="A4" s="20">
        <f t="shared" si="0"/>
        <v>3</v>
      </c>
      <c r="B4" s="21" t="s">
        <v>729</v>
      </c>
      <c r="C4" s="22"/>
      <c r="D4" s="21" t="s">
        <v>737</v>
      </c>
      <c r="E4" s="22" t="s">
        <v>109</v>
      </c>
      <c r="F4" s="22" t="s">
        <v>163</v>
      </c>
      <c r="G4" s="22" t="s">
        <v>179</v>
      </c>
      <c r="H4" s="22" t="s">
        <v>731</v>
      </c>
      <c r="I4" s="22" t="s">
        <v>732</v>
      </c>
      <c r="J4" s="23">
        <v>1</v>
      </c>
      <c r="K4" s="24">
        <v>46240</v>
      </c>
      <c r="L4" s="24">
        <v>46244</v>
      </c>
      <c r="M4" s="24">
        <v>46244</v>
      </c>
      <c r="N4" s="21" t="s">
        <v>733</v>
      </c>
      <c r="O4" s="21"/>
      <c r="P4" s="21"/>
      <c r="Q4" s="21"/>
      <c r="R4" s="21"/>
      <c r="S4" s="21"/>
      <c r="T4" s="21"/>
      <c r="U4" s="21"/>
      <c r="V4" s="21" t="s">
        <v>738</v>
      </c>
      <c r="W4" s="21" t="s">
        <v>738</v>
      </c>
    </row>
    <row r="5" spans="1:26" ht="75" x14ac:dyDescent="0.2">
      <c r="A5" s="20">
        <f t="shared" si="0"/>
        <v>4</v>
      </c>
      <c r="B5" s="21" t="s">
        <v>729</v>
      </c>
      <c r="C5" s="22"/>
      <c r="D5" s="21" t="s">
        <v>739</v>
      </c>
      <c r="E5" s="22" t="s">
        <v>109</v>
      </c>
      <c r="F5" s="22" t="s">
        <v>163</v>
      </c>
      <c r="G5" s="22" t="s">
        <v>179</v>
      </c>
      <c r="H5" s="22" t="s">
        <v>731</v>
      </c>
      <c r="I5" s="22" t="s">
        <v>732</v>
      </c>
      <c r="J5" s="23">
        <v>1</v>
      </c>
      <c r="K5" s="24">
        <v>46240</v>
      </c>
      <c r="L5" s="24">
        <v>46244</v>
      </c>
      <c r="M5" s="24">
        <v>46244</v>
      </c>
      <c r="N5" s="21" t="s">
        <v>733</v>
      </c>
      <c r="O5" s="21"/>
      <c r="P5" s="21"/>
      <c r="Q5" s="21"/>
      <c r="R5" s="21"/>
      <c r="S5" s="21"/>
      <c r="T5" s="21"/>
      <c r="U5" s="21"/>
      <c r="V5" s="21" t="s">
        <v>740</v>
      </c>
      <c r="W5" s="21" t="s">
        <v>741</v>
      </c>
    </row>
    <row r="6" spans="1:26" ht="75" x14ac:dyDescent="0.2">
      <c r="A6" s="20">
        <f t="shared" si="0"/>
        <v>5</v>
      </c>
      <c r="B6" s="21" t="s">
        <v>729</v>
      </c>
      <c r="C6" s="22"/>
      <c r="D6" s="21" t="s">
        <v>742</v>
      </c>
      <c r="E6" s="22" t="s">
        <v>109</v>
      </c>
      <c r="F6" s="22" t="s">
        <v>163</v>
      </c>
      <c r="G6" s="22" t="s">
        <v>179</v>
      </c>
      <c r="H6" s="22" t="s">
        <v>731</v>
      </c>
      <c r="I6" s="22" t="s">
        <v>732</v>
      </c>
      <c r="J6" s="23">
        <v>1</v>
      </c>
      <c r="K6" s="24">
        <v>46240</v>
      </c>
      <c r="L6" s="24">
        <v>46244</v>
      </c>
      <c r="M6" s="24">
        <v>46244</v>
      </c>
      <c r="N6" s="21" t="s">
        <v>733</v>
      </c>
      <c r="O6" s="21"/>
      <c r="P6" s="21"/>
      <c r="Q6" s="21"/>
      <c r="R6" s="21"/>
      <c r="S6" s="21"/>
      <c r="T6" s="21"/>
      <c r="U6" s="21"/>
      <c r="V6" s="21" t="s">
        <v>743</v>
      </c>
      <c r="W6" s="21" t="s">
        <v>744</v>
      </c>
    </row>
    <row r="7" spans="1:26" ht="90" x14ac:dyDescent="0.2">
      <c r="A7" s="20">
        <f t="shared" si="0"/>
        <v>6</v>
      </c>
      <c r="B7" s="21" t="s">
        <v>729</v>
      </c>
      <c r="C7" s="22"/>
      <c r="D7" s="21" t="s">
        <v>745</v>
      </c>
      <c r="E7" s="22" t="s">
        <v>109</v>
      </c>
      <c r="F7" s="22" t="s">
        <v>163</v>
      </c>
      <c r="G7" s="22" t="s">
        <v>179</v>
      </c>
      <c r="H7" s="22" t="s">
        <v>731</v>
      </c>
      <c r="I7" s="22" t="s">
        <v>732</v>
      </c>
      <c r="J7" s="23">
        <v>1</v>
      </c>
      <c r="K7" s="24">
        <v>46240</v>
      </c>
      <c r="L7" s="24">
        <v>46244</v>
      </c>
      <c r="M7" s="24">
        <v>46244</v>
      </c>
      <c r="N7" s="21" t="s">
        <v>733</v>
      </c>
      <c r="O7" s="21"/>
      <c r="P7" s="21"/>
      <c r="Q7" s="21"/>
      <c r="R7" s="21"/>
      <c r="S7" s="21"/>
      <c r="T7" s="21"/>
      <c r="U7" s="21"/>
      <c r="V7" s="21" t="s">
        <v>746</v>
      </c>
      <c r="W7" s="21" t="s">
        <v>747</v>
      </c>
    </row>
    <row r="8" spans="1:26" ht="45" x14ac:dyDescent="0.2">
      <c r="A8" s="20">
        <f t="shared" si="0"/>
        <v>7</v>
      </c>
      <c r="B8" s="21" t="s">
        <v>729</v>
      </c>
      <c r="C8" s="22"/>
      <c r="D8" s="21" t="s">
        <v>748</v>
      </c>
      <c r="E8" s="22" t="s">
        <v>109</v>
      </c>
      <c r="F8" s="22" t="s">
        <v>163</v>
      </c>
      <c r="G8" s="22" t="s">
        <v>179</v>
      </c>
      <c r="H8" s="22" t="s">
        <v>731</v>
      </c>
      <c r="I8" s="22" t="s">
        <v>732</v>
      </c>
      <c r="J8" s="23">
        <v>1</v>
      </c>
      <c r="K8" s="24">
        <v>46246</v>
      </c>
      <c r="L8" s="24">
        <v>46248</v>
      </c>
      <c r="M8" s="24">
        <v>46248</v>
      </c>
      <c r="N8" s="21" t="s">
        <v>733</v>
      </c>
      <c r="O8" s="21"/>
      <c r="P8" s="21"/>
      <c r="Q8" s="21"/>
      <c r="R8" s="21"/>
      <c r="S8" s="21"/>
      <c r="T8" s="21"/>
      <c r="U8" s="21"/>
      <c r="V8" s="21" t="s">
        <v>749</v>
      </c>
      <c r="W8" s="21" t="s">
        <v>750</v>
      </c>
    </row>
    <row r="9" spans="1:26" ht="45" x14ac:dyDescent="0.2">
      <c r="A9" s="20">
        <f t="shared" si="0"/>
        <v>8</v>
      </c>
      <c r="B9" s="21" t="s">
        <v>729</v>
      </c>
      <c r="C9" s="22"/>
      <c r="D9" s="21" t="s">
        <v>751</v>
      </c>
      <c r="E9" s="22" t="s">
        <v>109</v>
      </c>
      <c r="F9" s="22" t="s">
        <v>163</v>
      </c>
      <c r="G9" s="22" t="s">
        <v>179</v>
      </c>
      <c r="H9" s="22" t="s">
        <v>731</v>
      </c>
      <c r="I9" s="22" t="s">
        <v>732</v>
      </c>
      <c r="J9" s="23">
        <v>1</v>
      </c>
      <c r="K9" s="24">
        <v>46246</v>
      </c>
      <c r="L9" s="24">
        <v>46248</v>
      </c>
      <c r="M9" s="24">
        <v>46248</v>
      </c>
      <c r="N9" s="21" t="s">
        <v>733</v>
      </c>
      <c r="O9" s="21"/>
      <c r="P9" s="21"/>
      <c r="Q9" s="21"/>
      <c r="R9" s="21"/>
      <c r="S9" s="21"/>
      <c r="T9" s="21"/>
      <c r="U9" s="21"/>
      <c r="V9" s="21" t="s">
        <v>752</v>
      </c>
      <c r="W9" s="21" t="s">
        <v>753</v>
      </c>
    </row>
    <row r="10" spans="1:26" ht="45" x14ac:dyDescent="0.2">
      <c r="A10" s="20">
        <f t="shared" si="0"/>
        <v>9</v>
      </c>
      <c r="B10" s="21" t="s">
        <v>729</v>
      </c>
      <c r="C10" s="22"/>
      <c r="D10" s="21" t="s">
        <v>754</v>
      </c>
      <c r="E10" s="22" t="s">
        <v>109</v>
      </c>
      <c r="F10" s="22" t="s">
        <v>294</v>
      </c>
      <c r="G10" s="22" t="s">
        <v>179</v>
      </c>
      <c r="H10" s="22" t="s">
        <v>731</v>
      </c>
      <c r="I10" s="22" t="s">
        <v>732</v>
      </c>
      <c r="J10" s="23">
        <v>1</v>
      </c>
      <c r="K10" s="24">
        <v>46252</v>
      </c>
      <c r="L10" s="24">
        <v>46252</v>
      </c>
      <c r="M10" s="24">
        <v>46252</v>
      </c>
      <c r="N10" s="21" t="s">
        <v>733</v>
      </c>
      <c r="O10" s="21"/>
      <c r="P10" s="21"/>
      <c r="Q10" s="21"/>
      <c r="R10" s="21"/>
      <c r="S10" s="21"/>
      <c r="T10" s="21"/>
      <c r="U10" s="21"/>
      <c r="V10" s="21"/>
      <c r="W10" s="21" t="s">
        <v>755</v>
      </c>
    </row>
    <row r="11" spans="1:26" ht="30" x14ac:dyDescent="0.2">
      <c r="A11" s="20">
        <f t="shared" si="0"/>
        <v>10</v>
      </c>
      <c r="B11" s="21" t="s">
        <v>756</v>
      </c>
      <c r="C11" s="22"/>
      <c r="D11" s="21" t="s">
        <v>757</v>
      </c>
      <c r="E11" s="22" t="s">
        <v>109</v>
      </c>
      <c r="F11" s="22" t="s">
        <v>294</v>
      </c>
      <c r="G11" s="22" t="s">
        <v>179</v>
      </c>
      <c r="H11" s="22"/>
      <c r="I11" s="22" t="s">
        <v>732</v>
      </c>
      <c r="J11" s="23">
        <v>1</v>
      </c>
      <c r="K11" s="24">
        <v>46253</v>
      </c>
      <c r="L11" s="24">
        <v>46253</v>
      </c>
      <c r="M11" s="24">
        <v>46253</v>
      </c>
      <c r="N11" s="21" t="s">
        <v>733</v>
      </c>
      <c r="O11" s="21"/>
      <c r="P11" s="21"/>
      <c r="Q11" s="21"/>
      <c r="R11" s="21"/>
      <c r="S11" s="21"/>
      <c r="T11" s="21"/>
      <c r="U11" s="21"/>
      <c r="V11" s="21"/>
      <c r="W11" s="21"/>
    </row>
    <row r="12" spans="1:26" ht="60" x14ac:dyDescent="0.2">
      <c r="A12" s="20">
        <f t="shared" si="0"/>
        <v>11</v>
      </c>
      <c r="B12" s="21" t="s">
        <v>758</v>
      </c>
      <c r="C12" s="22"/>
      <c r="D12" s="21" t="s">
        <v>757</v>
      </c>
      <c r="E12" s="22" t="s">
        <v>109</v>
      </c>
      <c r="F12" s="22" t="s">
        <v>163</v>
      </c>
      <c r="G12" s="22" t="s">
        <v>179</v>
      </c>
      <c r="H12" s="22" t="s">
        <v>759</v>
      </c>
      <c r="I12" s="22" t="s">
        <v>732</v>
      </c>
      <c r="J12" s="23">
        <v>1</v>
      </c>
      <c r="K12" s="24">
        <v>46253</v>
      </c>
      <c r="L12" s="24">
        <v>46253</v>
      </c>
      <c r="M12" s="24">
        <v>46253</v>
      </c>
      <c r="N12" s="21" t="s">
        <v>733</v>
      </c>
      <c r="O12" s="21"/>
      <c r="P12" s="21"/>
      <c r="Q12" s="21"/>
      <c r="R12" s="21"/>
      <c r="S12" s="21"/>
      <c r="T12" s="21"/>
      <c r="U12" s="21"/>
      <c r="V12" s="21"/>
      <c r="W12" s="21" t="s">
        <v>760</v>
      </c>
    </row>
    <row r="13" spans="1:26" ht="45" x14ac:dyDescent="0.2">
      <c r="A13" s="20">
        <f t="shared" si="0"/>
        <v>12</v>
      </c>
      <c r="B13" s="21" t="s">
        <v>761</v>
      </c>
      <c r="C13" s="22"/>
      <c r="D13" s="21" t="s">
        <v>762</v>
      </c>
      <c r="E13" s="22" t="s">
        <v>109</v>
      </c>
      <c r="F13" s="22" t="s">
        <v>163</v>
      </c>
      <c r="G13" s="22" t="s">
        <v>179</v>
      </c>
      <c r="H13" s="22" t="s">
        <v>759</v>
      </c>
      <c r="I13" s="22"/>
      <c r="J13" s="23">
        <v>1</v>
      </c>
      <c r="K13" s="24">
        <v>46254</v>
      </c>
      <c r="L13" s="24">
        <v>46254</v>
      </c>
      <c r="M13" s="24">
        <v>46254</v>
      </c>
      <c r="N13" s="21" t="s">
        <v>733</v>
      </c>
      <c r="O13" s="21"/>
      <c r="P13" s="21"/>
      <c r="Q13" s="21"/>
      <c r="R13" s="21"/>
      <c r="S13" s="21"/>
      <c r="T13" s="21"/>
      <c r="U13" s="21"/>
      <c r="V13" s="21"/>
      <c r="W13" s="21" t="s">
        <v>762</v>
      </c>
    </row>
    <row r="14" spans="1:26" ht="105" x14ac:dyDescent="0.2">
      <c r="A14" s="20">
        <f t="shared" si="0"/>
        <v>13</v>
      </c>
      <c r="B14" s="21" t="s">
        <v>761</v>
      </c>
      <c r="C14" s="22"/>
      <c r="D14" s="21" t="s">
        <v>763</v>
      </c>
      <c r="E14" s="22" t="s">
        <v>109</v>
      </c>
      <c r="F14" s="22" t="s">
        <v>163</v>
      </c>
      <c r="G14" s="22" t="s">
        <v>179</v>
      </c>
      <c r="H14" s="22" t="s">
        <v>41</v>
      </c>
      <c r="I14" s="22"/>
      <c r="J14" s="23">
        <v>1</v>
      </c>
      <c r="K14" s="24">
        <v>46255</v>
      </c>
      <c r="L14" s="24">
        <v>46255</v>
      </c>
      <c r="M14" s="24">
        <v>46255</v>
      </c>
      <c r="N14" s="21" t="s">
        <v>733</v>
      </c>
      <c r="O14" s="21"/>
      <c r="P14" s="21"/>
      <c r="Q14" s="21"/>
      <c r="R14" s="21"/>
      <c r="S14" s="21"/>
      <c r="T14" s="21"/>
      <c r="U14" s="21"/>
      <c r="V14" s="21" t="s">
        <v>764</v>
      </c>
      <c r="W14" s="21" t="s">
        <v>765</v>
      </c>
    </row>
    <row r="15" spans="1:26" ht="75" x14ac:dyDescent="0.2">
      <c r="A15" s="20">
        <f t="shared" si="0"/>
        <v>14</v>
      </c>
      <c r="B15" s="21" t="s">
        <v>761</v>
      </c>
      <c r="C15" s="22"/>
      <c r="D15" s="21" t="s">
        <v>766</v>
      </c>
      <c r="E15" s="22" t="s">
        <v>109</v>
      </c>
      <c r="F15" s="22" t="s">
        <v>163</v>
      </c>
      <c r="G15" s="22" t="s">
        <v>179</v>
      </c>
      <c r="H15" s="22" t="s">
        <v>41</v>
      </c>
      <c r="I15" s="22"/>
      <c r="J15" s="23">
        <v>1</v>
      </c>
      <c r="K15" s="24">
        <v>46258</v>
      </c>
      <c r="L15" s="24">
        <v>46258</v>
      </c>
      <c r="M15" s="24">
        <v>46258</v>
      </c>
      <c r="N15" s="21" t="s">
        <v>733</v>
      </c>
      <c r="O15" s="21"/>
      <c r="P15" s="21"/>
      <c r="Q15" s="21"/>
      <c r="R15" s="21"/>
      <c r="S15" s="21"/>
      <c r="T15" s="21"/>
      <c r="U15" s="21"/>
      <c r="V15" s="21" t="s">
        <v>767</v>
      </c>
      <c r="W15" s="21" t="s">
        <v>768</v>
      </c>
    </row>
    <row r="16" spans="1:26" ht="60" x14ac:dyDescent="0.2">
      <c r="A16" s="20">
        <f t="shared" si="0"/>
        <v>15</v>
      </c>
      <c r="B16" s="21" t="s">
        <v>761</v>
      </c>
      <c r="C16" s="22"/>
      <c r="D16" s="21" t="s">
        <v>769</v>
      </c>
      <c r="E16" s="22" t="s">
        <v>109</v>
      </c>
      <c r="F16" s="22" t="s">
        <v>163</v>
      </c>
      <c r="G16" s="22" t="s">
        <v>179</v>
      </c>
      <c r="H16" s="22" t="s">
        <v>41</v>
      </c>
      <c r="I16" s="22"/>
      <c r="J16" s="23">
        <v>1</v>
      </c>
      <c r="K16" s="24">
        <v>46258</v>
      </c>
      <c r="L16" s="24">
        <v>46258</v>
      </c>
      <c r="M16" s="24">
        <v>46258</v>
      </c>
      <c r="N16" s="21" t="s">
        <v>733</v>
      </c>
      <c r="O16" s="21"/>
      <c r="P16" s="21"/>
      <c r="Q16" s="21"/>
      <c r="R16" s="21"/>
      <c r="S16" s="21"/>
      <c r="T16" s="21"/>
      <c r="U16" s="21"/>
      <c r="V16" s="21" t="s">
        <v>770</v>
      </c>
      <c r="W16" s="21" t="s">
        <v>771</v>
      </c>
    </row>
    <row r="17" spans="1:24" ht="90" x14ac:dyDescent="0.2">
      <c r="A17" s="20">
        <f t="shared" si="0"/>
        <v>16</v>
      </c>
      <c r="B17" s="21" t="s">
        <v>761</v>
      </c>
      <c r="C17" s="22"/>
      <c r="D17" s="21" t="s">
        <v>772</v>
      </c>
      <c r="E17" s="22" t="s">
        <v>109</v>
      </c>
      <c r="F17" s="22" t="s">
        <v>163</v>
      </c>
      <c r="G17" s="22" t="s">
        <v>200</v>
      </c>
      <c r="H17" s="22"/>
      <c r="I17" s="22"/>
      <c r="J17" s="23">
        <v>1</v>
      </c>
      <c r="K17" s="24">
        <v>46258</v>
      </c>
      <c r="L17" s="24">
        <v>46258</v>
      </c>
      <c r="M17" s="24">
        <v>46258</v>
      </c>
      <c r="N17" s="21" t="s">
        <v>733</v>
      </c>
      <c r="O17" s="21"/>
      <c r="P17" s="21"/>
      <c r="Q17" s="21"/>
      <c r="R17" s="21"/>
      <c r="S17" s="21"/>
      <c r="T17" s="21"/>
      <c r="U17" s="21"/>
      <c r="V17" s="21" t="s">
        <v>773</v>
      </c>
      <c r="W17" s="21" t="s">
        <v>774</v>
      </c>
    </row>
    <row r="18" spans="1:24" ht="90" x14ac:dyDescent="0.2">
      <c r="A18" s="20">
        <f t="shared" si="0"/>
        <v>17</v>
      </c>
      <c r="B18" s="21" t="s">
        <v>761</v>
      </c>
      <c r="C18" s="22"/>
      <c r="D18" s="21" t="s">
        <v>775</v>
      </c>
      <c r="E18" s="22" t="s">
        <v>109</v>
      </c>
      <c r="F18" s="22" t="s">
        <v>163</v>
      </c>
      <c r="G18" s="22" t="s">
        <v>179</v>
      </c>
      <c r="H18" s="22" t="s">
        <v>41</v>
      </c>
      <c r="I18" s="22"/>
      <c r="J18" s="23">
        <v>1</v>
      </c>
      <c r="K18" s="24">
        <v>46260</v>
      </c>
      <c r="L18" s="24">
        <v>46260</v>
      </c>
      <c r="M18" s="24">
        <v>46260</v>
      </c>
      <c r="N18" s="21" t="s">
        <v>733</v>
      </c>
      <c r="O18" s="21"/>
      <c r="P18" s="21"/>
      <c r="Q18" s="21"/>
      <c r="R18" s="21"/>
      <c r="S18" s="21"/>
      <c r="T18" s="21"/>
      <c r="U18" s="21"/>
      <c r="V18" s="21" t="s">
        <v>776</v>
      </c>
      <c r="W18" s="21" t="s">
        <v>777</v>
      </c>
    </row>
    <row r="19" spans="1:24" ht="75" x14ac:dyDescent="0.2">
      <c r="A19" s="20">
        <f t="shared" si="0"/>
        <v>18</v>
      </c>
      <c r="B19" s="21" t="s">
        <v>761</v>
      </c>
      <c r="C19" s="22"/>
      <c r="D19" s="21" t="s">
        <v>778</v>
      </c>
      <c r="E19" s="22" t="s">
        <v>109</v>
      </c>
      <c r="F19" s="22" t="s">
        <v>163</v>
      </c>
      <c r="G19" s="22" t="s">
        <v>179</v>
      </c>
      <c r="H19" s="22" t="s">
        <v>41</v>
      </c>
      <c r="I19" s="22"/>
      <c r="J19" s="23">
        <v>1</v>
      </c>
      <c r="K19" s="24">
        <v>46260</v>
      </c>
      <c r="L19" s="24">
        <v>46260</v>
      </c>
      <c r="M19" s="24">
        <v>46260</v>
      </c>
      <c r="N19" s="21" t="s">
        <v>733</v>
      </c>
      <c r="O19" s="21"/>
      <c r="P19" s="21"/>
      <c r="Q19" s="21"/>
      <c r="R19" s="21"/>
      <c r="S19" s="21"/>
      <c r="T19" s="21"/>
      <c r="U19" s="21"/>
      <c r="V19" s="21" t="s">
        <v>779</v>
      </c>
      <c r="W19" s="21" t="s">
        <v>780</v>
      </c>
    </row>
    <row r="20" spans="1:24" ht="135" x14ac:dyDescent="0.2">
      <c r="A20" s="20">
        <f t="shared" si="0"/>
        <v>19</v>
      </c>
      <c r="B20" s="21" t="s">
        <v>761</v>
      </c>
      <c r="C20" s="22"/>
      <c r="D20" s="21" t="s">
        <v>781</v>
      </c>
      <c r="E20" s="22" t="s">
        <v>109</v>
      </c>
      <c r="F20" s="22" t="s">
        <v>163</v>
      </c>
      <c r="G20" s="22" t="s">
        <v>179</v>
      </c>
      <c r="H20" s="22" t="s">
        <v>41</v>
      </c>
      <c r="I20" s="22"/>
      <c r="J20" s="23">
        <v>1</v>
      </c>
      <c r="K20" s="24">
        <v>46260</v>
      </c>
      <c r="L20" s="24">
        <v>46261</v>
      </c>
      <c r="M20" s="24">
        <v>46261</v>
      </c>
      <c r="N20" s="21" t="s">
        <v>733</v>
      </c>
      <c r="O20" s="21"/>
      <c r="P20" s="21"/>
      <c r="Q20" s="21"/>
      <c r="R20" s="21"/>
      <c r="S20" s="21"/>
      <c r="T20" s="21"/>
      <c r="U20" s="21"/>
      <c r="V20" s="21" t="s">
        <v>782</v>
      </c>
      <c r="W20" s="21" t="s">
        <v>783</v>
      </c>
    </row>
    <row r="21" spans="1:24" ht="120" x14ac:dyDescent="0.2">
      <c r="A21" s="20">
        <f t="shared" si="0"/>
        <v>20</v>
      </c>
      <c r="B21" s="21" t="s">
        <v>761</v>
      </c>
      <c r="C21" s="22"/>
      <c r="D21" s="21" t="s">
        <v>784</v>
      </c>
      <c r="E21" s="22" t="s">
        <v>109</v>
      </c>
      <c r="F21" s="22" t="s">
        <v>163</v>
      </c>
      <c r="G21" s="22" t="s">
        <v>179</v>
      </c>
      <c r="H21" s="22" t="s">
        <v>759</v>
      </c>
      <c r="I21" s="22"/>
      <c r="J21" s="23">
        <v>1</v>
      </c>
      <c r="K21" s="24">
        <v>46260</v>
      </c>
      <c r="L21" s="24">
        <v>46262</v>
      </c>
      <c r="M21" s="24">
        <v>46262</v>
      </c>
      <c r="N21" s="21" t="s">
        <v>733</v>
      </c>
      <c r="O21" s="21"/>
      <c r="P21" s="21"/>
      <c r="Q21" s="21"/>
      <c r="R21" s="21"/>
      <c r="S21" s="21"/>
      <c r="T21" s="21"/>
      <c r="U21" s="21"/>
      <c r="V21" s="21" t="s">
        <v>785</v>
      </c>
      <c r="W21" s="21" t="s">
        <v>786</v>
      </c>
    </row>
    <row r="22" spans="1:24" ht="90" x14ac:dyDescent="0.2">
      <c r="A22" s="20">
        <f t="shared" si="0"/>
        <v>21</v>
      </c>
      <c r="B22" s="21" t="s">
        <v>761</v>
      </c>
      <c r="C22" s="22"/>
      <c r="D22" s="21" t="s">
        <v>787</v>
      </c>
      <c r="E22" s="22" t="s">
        <v>109</v>
      </c>
      <c r="F22" s="22" t="s">
        <v>163</v>
      </c>
      <c r="G22" s="22" t="s">
        <v>179</v>
      </c>
      <c r="H22" s="22" t="s">
        <v>759</v>
      </c>
      <c r="I22" s="22"/>
      <c r="J22" s="23">
        <v>1</v>
      </c>
      <c r="K22" s="24">
        <v>46260</v>
      </c>
      <c r="L22" s="24">
        <v>46262</v>
      </c>
      <c r="M22" s="24">
        <v>46262</v>
      </c>
      <c r="N22" s="21" t="s">
        <v>733</v>
      </c>
      <c r="O22" s="21"/>
      <c r="P22" s="21"/>
      <c r="Q22" s="21"/>
      <c r="R22" s="21"/>
      <c r="S22" s="21"/>
      <c r="T22" s="21"/>
      <c r="U22" s="21"/>
      <c r="V22" s="21" t="s">
        <v>788</v>
      </c>
      <c r="W22" s="21" t="s">
        <v>789</v>
      </c>
    </row>
    <row r="23" spans="1:24" ht="90" x14ac:dyDescent="0.2">
      <c r="A23" s="20">
        <f t="shared" si="0"/>
        <v>22</v>
      </c>
      <c r="B23" s="21" t="s">
        <v>729</v>
      </c>
      <c r="C23" s="22"/>
      <c r="D23" s="21" t="s">
        <v>790</v>
      </c>
      <c r="E23" s="22" t="s">
        <v>109</v>
      </c>
      <c r="F23" s="22" t="s">
        <v>172</v>
      </c>
      <c r="G23" s="22" t="s">
        <v>179</v>
      </c>
      <c r="H23" s="22" t="s">
        <v>731</v>
      </c>
      <c r="I23" s="22"/>
      <c r="J23" s="23">
        <v>1</v>
      </c>
      <c r="K23" s="24">
        <v>46265</v>
      </c>
      <c r="L23" s="24">
        <v>46265</v>
      </c>
      <c r="M23" s="24">
        <v>46265</v>
      </c>
      <c r="N23" s="21" t="s">
        <v>733</v>
      </c>
      <c r="O23" s="21"/>
      <c r="P23" s="21"/>
      <c r="Q23" s="21"/>
      <c r="R23" s="21"/>
      <c r="S23" s="21"/>
      <c r="T23" s="21"/>
      <c r="U23" s="21"/>
      <c r="V23" s="21" t="s">
        <v>791</v>
      </c>
      <c r="W23" s="21" t="s">
        <v>792</v>
      </c>
    </row>
    <row r="24" spans="1:24" ht="60" x14ac:dyDescent="0.2">
      <c r="A24" s="20">
        <f t="shared" si="0"/>
        <v>23</v>
      </c>
      <c r="B24" s="21" t="s">
        <v>729</v>
      </c>
      <c r="C24" s="22"/>
      <c r="D24" s="21" t="s">
        <v>793</v>
      </c>
      <c r="E24" s="22" t="s">
        <v>109</v>
      </c>
      <c r="F24" s="22" t="s">
        <v>163</v>
      </c>
      <c r="G24" s="22" t="s">
        <v>179</v>
      </c>
      <c r="H24" s="22" t="s">
        <v>731</v>
      </c>
      <c r="I24" s="22"/>
      <c r="J24" s="23">
        <v>1</v>
      </c>
      <c r="K24" s="24">
        <v>46266</v>
      </c>
      <c r="L24" s="24">
        <v>46266</v>
      </c>
      <c r="M24" s="24">
        <v>46266</v>
      </c>
      <c r="N24" s="21" t="s">
        <v>733</v>
      </c>
      <c r="O24" s="21"/>
      <c r="P24" s="21"/>
      <c r="Q24" s="21"/>
      <c r="R24" s="21"/>
      <c r="S24" s="21"/>
      <c r="T24" s="21"/>
      <c r="U24" s="21"/>
      <c r="V24" s="21" t="s">
        <v>794</v>
      </c>
      <c r="W24" s="21" t="s">
        <v>795</v>
      </c>
    </row>
    <row r="25" spans="1:24" ht="60" x14ac:dyDescent="0.2">
      <c r="A25" s="20">
        <f t="shared" si="0"/>
        <v>24</v>
      </c>
      <c r="B25" s="21" t="s">
        <v>729</v>
      </c>
      <c r="C25" s="22"/>
      <c r="D25" s="21" t="s">
        <v>796</v>
      </c>
      <c r="E25" s="22" t="s">
        <v>109</v>
      </c>
      <c r="F25" s="22" t="s">
        <v>163</v>
      </c>
      <c r="G25" s="22" t="s">
        <v>179</v>
      </c>
      <c r="H25" s="22" t="s">
        <v>731</v>
      </c>
      <c r="I25" s="22"/>
      <c r="J25" s="23">
        <v>1</v>
      </c>
      <c r="K25" s="24">
        <v>46267</v>
      </c>
      <c r="L25" s="24">
        <v>46267</v>
      </c>
      <c r="M25" s="24">
        <v>46267</v>
      </c>
      <c r="N25" s="21" t="s">
        <v>733</v>
      </c>
      <c r="O25" s="21"/>
      <c r="P25" s="21"/>
      <c r="Q25" s="21"/>
      <c r="R25" s="21"/>
      <c r="S25" s="21"/>
      <c r="T25" s="21"/>
      <c r="U25" s="21"/>
      <c r="V25" s="21" t="s">
        <v>797</v>
      </c>
      <c r="W25" s="21" t="s">
        <v>798</v>
      </c>
    </row>
    <row r="26" spans="1:24" ht="120" x14ac:dyDescent="0.2">
      <c r="A26" s="20">
        <f t="shared" si="0"/>
        <v>25</v>
      </c>
      <c r="B26" s="21" t="s">
        <v>729</v>
      </c>
      <c r="C26" s="22"/>
      <c r="D26" s="21" t="s">
        <v>799</v>
      </c>
      <c r="E26" s="22" t="s">
        <v>109</v>
      </c>
      <c r="F26" s="22" t="s">
        <v>163</v>
      </c>
      <c r="G26" s="22" t="s">
        <v>179</v>
      </c>
      <c r="H26" s="22" t="s">
        <v>731</v>
      </c>
      <c r="I26" s="22"/>
      <c r="J26" s="23">
        <v>1</v>
      </c>
      <c r="K26" s="24">
        <v>46268</v>
      </c>
      <c r="L26" s="24">
        <v>46268</v>
      </c>
      <c r="M26" s="24">
        <v>46268</v>
      </c>
      <c r="N26" s="21" t="s">
        <v>733</v>
      </c>
      <c r="O26" s="21"/>
      <c r="P26" s="21"/>
      <c r="Q26" s="21"/>
      <c r="R26" s="21"/>
      <c r="S26" s="21"/>
      <c r="T26" s="21"/>
      <c r="U26" s="21"/>
      <c r="V26" s="21" t="s">
        <v>800</v>
      </c>
      <c r="W26" s="21" t="s">
        <v>801</v>
      </c>
    </row>
    <row r="27" spans="1:24" ht="75" x14ac:dyDescent="0.2">
      <c r="A27" s="20">
        <f t="shared" si="0"/>
        <v>26</v>
      </c>
      <c r="B27" s="21" t="s">
        <v>729</v>
      </c>
      <c r="C27" s="22"/>
      <c r="D27" s="21" t="s">
        <v>802</v>
      </c>
      <c r="E27" s="22" t="s">
        <v>109</v>
      </c>
      <c r="F27" s="22" t="s">
        <v>172</v>
      </c>
      <c r="G27" s="22" t="s">
        <v>179</v>
      </c>
      <c r="H27" s="22" t="s">
        <v>731</v>
      </c>
      <c r="I27" s="22"/>
      <c r="J27" s="23">
        <v>1</v>
      </c>
      <c r="K27" s="24">
        <v>46269</v>
      </c>
      <c r="L27" s="24">
        <v>46269</v>
      </c>
      <c r="M27" s="24">
        <v>46269</v>
      </c>
      <c r="N27" s="21" t="s">
        <v>733</v>
      </c>
      <c r="O27" s="21"/>
      <c r="P27" s="21"/>
      <c r="Q27" s="21"/>
      <c r="R27" s="21"/>
      <c r="S27" s="21"/>
      <c r="T27" s="21"/>
      <c r="U27" s="21"/>
      <c r="V27" s="21" t="s">
        <v>803</v>
      </c>
      <c r="W27" s="21" t="s">
        <v>804</v>
      </c>
    </row>
    <row r="28" spans="1:24" ht="90" x14ac:dyDescent="0.2">
      <c r="A28" s="20">
        <f t="shared" si="0"/>
        <v>27</v>
      </c>
      <c r="B28" s="21" t="s">
        <v>729</v>
      </c>
      <c r="C28" s="22"/>
      <c r="D28" s="21" t="s">
        <v>805</v>
      </c>
      <c r="E28" s="22" t="s">
        <v>109</v>
      </c>
      <c r="F28" s="22" t="s">
        <v>172</v>
      </c>
      <c r="G28" s="22" t="s">
        <v>179</v>
      </c>
      <c r="H28" s="22" t="s">
        <v>731</v>
      </c>
      <c r="I28" s="22"/>
      <c r="J28" s="23">
        <v>1</v>
      </c>
      <c r="K28" s="24">
        <v>46269</v>
      </c>
      <c r="L28" s="24">
        <v>46272</v>
      </c>
      <c r="M28" s="24">
        <v>46272</v>
      </c>
      <c r="N28" s="21" t="s">
        <v>733</v>
      </c>
      <c r="O28" s="21"/>
      <c r="P28" s="21"/>
      <c r="Q28" s="21"/>
      <c r="R28" s="21"/>
      <c r="S28" s="21"/>
      <c r="T28" s="21"/>
      <c r="U28" s="21"/>
      <c r="V28" s="21" t="s">
        <v>806</v>
      </c>
      <c r="W28" s="21" t="s">
        <v>807</v>
      </c>
      <c r="X28" s="17" t="s">
        <v>808</v>
      </c>
    </row>
    <row r="29" spans="1:24" ht="120" x14ac:dyDescent="0.2">
      <c r="A29" s="20">
        <f t="shared" si="0"/>
        <v>28</v>
      </c>
      <c r="B29" s="21" t="s">
        <v>729</v>
      </c>
      <c r="C29" s="22"/>
      <c r="D29" s="21" t="s">
        <v>809</v>
      </c>
      <c r="E29" s="22" t="s">
        <v>109</v>
      </c>
      <c r="F29" s="22" t="s">
        <v>172</v>
      </c>
      <c r="G29" s="22" t="s">
        <v>179</v>
      </c>
      <c r="H29" s="22" t="s">
        <v>731</v>
      </c>
      <c r="I29" s="22"/>
      <c r="J29" s="23">
        <v>1</v>
      </c>
      <c r="K29" s="24">
        <v>46269</v>
      </c>
      <c r="L29" s="24">
        <v>46274</v>
      </c>
      <c r="M29" s="24">
        <v>46273</v>
      </c>
      <c r="N29" s="21" t="s">
        <v>733</v>
      </c>
      <c r="O29" s="21"/>
      <c r="P29" s="21"/>
      <c r="Q29" s="21"/>
      <c r="R29" s="21"/>
      <c r="S29" s="21"/>
      <c r="T29" s="21"/>
      <c r="U29" s="21"/>
      <c r="V29" s="21" t="s">
        <v>810</v>
      </c>
      <c r="W29" s="21" t="s">
        <v>811</v>
      </c>
      <c r="X29" s="17" t="s">
        <v>812</v>
      </c>
    </row>
    <row r="30" spans="1:24" ht="105" x14ac:dyDescent="0.2">
      <c r="A30" s="20">
        <f t="shared" si="0"/>
        <v>29</v>
      </c>
      <c r="B30" s="21" t="s">
        <v>813</v>
      </c>
      <c r="C30" s="22"/>
      <c r="D30" s="21" t="s">
        <v>814</v>
      </c>
      <c r="E30" s="22" t="s">
        <v>109</v>
      </c>
      <c r="F30" s="22" t="s">
        <v>294</v>
      </c>
      <c r="G30" s="22" t="s">
        <v>200</v>
      </c>
      <c r="H30" s="22" t="s">
        <v>815</v>
      </c>
      <c r="I30" s="22"/>
      <c r="J30" s="23">
        <v>1</v>
      </c>
      <c r="K30" s="24">
        <v>46274</v>
      </c>
      <c r="L30" s="24">
        <v>46274</v>
      </c>
      <c r="M30" s="24">
        <v>46274</v>
      </c>
      <c r="N30" s="21" t="s">
        <v>733</v>
      </c>
      <c r="O30" s="21"/>
      <c r="P30" s="21"/>
      <c r="Q30" s="21"/>
      <c r="R30" s="21"/>
      <c r="S30" s="21"/>
      <c r="T30" s="21"/>
      <c r="U30" s="21"/>
      <c r="V30" s="21" t="s">
        <v>816</v>
      </c>
      <c r="W30" s="21" t="s">
        <v>817</v>
      </c>
      <c r="X30" s="17" t="s">
        <v>818</v>
      </c>
    </row>
    <row r="31" spans="1:24" ht="60" x14ac:dyDescent="0.2">
      <c r="A31" s="20">
        <f t="shared" si="0"/>
        <v>30</v>
      </c>
      <c r="B31" s="21" t="s">
        <v>729</v>
      </c>
      <c r="C31" s="22"/>
      <c r="D31" s="21" t="s">
        <v>819</v>
      </c>
      <c r="E31" s="22" t="s">
        <v>109</v>
      </c>
      <c r="F31" s="22" t="s">
        <v>172</v>
      </c>
      <c r="G31" s="22" t="s">
        <v>179</v>
      </c>
      <c r="H31" s="22" t="s">
        <v>731</v>
      </c>
      <c r="I31" s="22"/>
      <c r="J31" s="23">
        <v>1</v>
      </c>
      <c r="K31" s="24">
        <v>46275</v>
      </c>
      <c r="L31" s="24">
        <v>46275</v>
      </c>
      <c r="M31" s="24">
        <v>46275</v>
      </c>
      <c r="N31" s="21" t="s">
        <v>733</v>
      </c>
      <c r="O31" s="21"/>
      <c r="P31" s="21"/>
      <c r="Q31" s="21"/>
      <c r="R31" s="21"/>
      <c r="S31" s="21"/>
      <c r="T31" s="21"/>
      <c r="U31" s="21"/>
      <c r="V31" s="21" t="s">
        <v>820</v>
      </c>
      <c r="W31" s="21" t="s">
        <v>821</v>
      </c>
      <c r="X31" s="17" t="s">
        <v>822</v>
      </c>
    </row>
    <row r="32" spans="1:24" ht="60" x14ac:dyDescent="0.2">
      <c r="A32" s="20">
        <f t="shared" si="0"/>
        <v>31</v>
      </c>
      <c r="B32" s="21" t="s">
        <v>813</v>
      </c>
      <c r="C32" s="22"/>
      <c r="D32" s="21" t="s">
        <v>823</v>
      </c>
      <c r="E32" s="22" t="s">
        <v>109</v>
      </c>
      <c r="F32" s="22" t="s">
        <v>294</v>
      </c>
      <c r="G32" s="22" t="s">
        <v>200</v>
      </c>
      <c r="H32" s="22" t="s">
        <v>815</v>
      </c>
      <c r="I32" s="22"/>
      <c r="J32" s="23">
        <v>1</v>
      </c>
      <c r="K32" s="24">
        <v>46276</v>
      </c>
      <c r="L32" s="24">
        <v>46276</v>
      </c>
      <c r="M32" s="24">
        <v>46276</v>
      </c>
      <c r="N32" s="21" t="s">
        <v>733</v>
      </c>
      <c r="O32" s="21"/>
      <c r="P32" s="21"/>
      <c r="Q32" s="21"/>
      <c r="R32" s="21"/>
      <c r="S32" s="21"/>
      <c r="T32" s="21"/>
      <c r="U32" s="21"/>
      <c r="V32" s="21" t="s">
        <v>824</v>
      </c>
      <c r="W32" s="21" t="s">
        <v>825</v>
      </c>
      <c r="X32" s="17" t="s">
        <v>826</v>
      </c>
    </row>
    <row r="33" spans="1:24" ht="75" x14ac:dyDescent="0.2">
      <c r="A33" s="20">
        <f t="shared" si="0"/>
        <v>32</v>
      </c>
      <c r="B33" s="21" t="s">
        <v>813</v>
      </c>
      <c r="C33" s="22"/>
      <c r="D33" s="21" t="s">
        <v>827</v>
      </c>
      <c r="E33" s="22" t="s">
        <v>109</v>
      </c>
      <c r="F33" s="22" t="s">
        <v>294</v>
      </c>
      <c r="G33" s="22" t="s">
        <v>200</v>
      </c>
      <c r="H33" s="22" t="s">
        <v>815</v>
      </c>
      <c r="I33" s="22"/>
      <c r="J33" s="23">
        <v>1</v>
      </c>
      <c r="K33" s="24">
        <v>46279</v>
      </c>
      <c r="L33" s="24">
        <v>46279</v>
      </c>
      <c r="M33" s="24">
        <v>46279</v>
      </c>
      <c r="N33" s="21" t="s">
        <v>733</v>
      </c>
      <c r="O33" s="21"/>
      <c r="P33" s="21"/>
      <c r="Q33" s="21"/>
      <c r="R33" s="21"/>
      <c r="S33" s="21"/>
      <c r="T33" s="21"/>
      <c r="U33" s="21"/>
      <c r="V33" s="21" t="s">
        <v>828</v>
      </c>
      <c r="W33" s="21" t="s">
        <v>829</v>
      </c>
      <c r="X33" s="17" t="s">
        <v>830</v>
      </c>
    </row>
    <row r="34" spans="1:24" ht="105" x14ac:dyDescent="0.2">
      <c r="A34" s="20">
        <f t="shared" ref="A34:A65" si="1">IF(OR(D34&lt;&gt;"", B34&lt;&gt;""), ROW()-1, "")</f>
        <v>33</v>
      </c>
      <c r="B34" s="21" t="s">
        <v>813</v>
      </c>
      <c r="C34" s="22"/>
      <c r="D34" s="21" t="s">
        <v>831</v>
      </c>
      <c r="E34" s="22" t="s">
        <v>109</v>
      </c>
      <c r="F34" s="22" t="s">
        <v>163</v>
      </c>
      <c r="G34" s="22" t="s">
        <v>179</v>
      </c>
      <c r="H34" s="22" t="s">
        <v>815</v>
      </c>
      <c r="I34" s="22"/>
      <c r="J34" s="23">
        <v>1</v>
      </c>
      <c r="K34" s="24">
        <v>46280</v>
      </c>
      <c r="L34" s="24">
        <v>46280</v>
      </c>
      <c r="M34" s="24">
        <v>46280</v>
      </c>
      <c r="N34" s="21" t="s">
        <v>733</v>
      </c>
      <c r="O34" s="21"/>
      <c r="P34" s="21"/>
      <c r="Q34" s="21"/>
      <c r="R34" s="21"/>
      <c r="S34" s="21"/>
      <c r="T34" s="21"/>
      <c r="U34" s="21"/>
      <c r="V34" s="21" t="s">
        <v>832</v>
      </c>
      <c r="W34" s="21" t="s">
        <v>833</v>
      </c>
      <c r="X34" s="17" t="s">
        <v>834</v>
      </c>
    </row>
    <row r="35" spans="1:24" ht="105" x14ac:dyDescent="0.2">
      <c r="A35" s="20">
        <f t="shared" si="1"/>
        <v>34</v>
      </c>
      <c r="B35" s="21" t="s">
        <v>729</v>
      </c>
      <c r="C35" s="22"/>
      <c r="D35" s="21" t="s">
        <v>835</v>
      </c>
      <c r="E35" s="22" t="s">
        <v>109</v>
      </c>
      <c r="F35" s="22" t="s">
        <v>172</v>
      </c>
      <c r="G35" s="22" t="s">
        <v>179</v>
      </c>
      <c r="H35" s="22" t="s">
        <v>731</v>
      </c>
      <c r="I35" s="22"/>
      <c r="J35" s="23">
        <v>1</v>
      </c>
      <c r="K35" s="24">
        <v>46281</v>
      </c>
      <c r="L35" s="24">
        <v>46281</v>
      </c>
      <c r="M35" s="24">
        <v>46281</v>
      </c>
      <c r="N35" s="21" t="s">
        <v>733</v>
      </c>
      <c r="O35" s="21"/>
      <c r="P35" s="21"/>
      <c r="Q35" s="21"/>
      <c r="R35" s="21"/>
      <c r="S35" s="21"/>
      <c r="T35" s="21"/>
      <c r="U35" s="21"/>
      <c r="V35" s="21" t="s">
        <v>836</v>
      </c>
      <c r="W35" s="21" t="s">
        <v>837</v>
      </c>
      <c r="X35" s="17" t="s">
        <v>838</v>
      </c>
    </row>
    <row r="36" spans="1:24" ht="75" x14ac:dyDescent="0.2">
      <c r="A36" s="20">
        <f t="shared" si="1"/>
        <v>35</v>
      </c>
      <c r="B36" s="21" t="s">
        <v>813</v>
      </c>
      <c r="C36" s="22"/>
      <c r="D36" s="21" t="s">
        <v>839</v>
      </c>
      <c r="E36" s="22" t="s">
        <v>109</v>
      </c>
      <c r="F36" s="22" t="s">
        <v>163</v>
      </c>
      <c r="G36" s="22" t="s">
        <v>179</v>
      </c>
      <c r="H36" s="22" t="s">
        <v>815</v>
      </c>
      <c r="I36" s="22"/>
      <c r="J36" s="23">
        <v>1</v>
      </c>
      <c r="K36" s="24">
        <v>46282</v>
      </c>
      <c r="L36" s="24">
        <v>46282</v>
      </c>
      <c r="M36" s="24">
        <v>46282</v>
      </c>
      <c r="N36" s="21" t="s">
        <v>733</v>
      </c>
      <c r="O36" s="21"/>
      <c r="P36" s="21"/>
      <c r="Q36" s="21"/>
      <c r="R36" s="21"/>
      <c r="S36" s="21"/>
      <c r="T36" s="21"/>
      <c r="U36" s="21"/>
      <c r="V36" s="21" t="s">
        <v>840</v>
      </c>
      <c r="W36" s="21" t="s">
        <v>841</v>
      </c>
      <c r="X36" s="17" t="s">
        <v>842</v>
      </c>
    </row>
    <row r="37" spans="1:24" ht="75" x14ac:dyDescent="0.2">
      <c r="A37" s="20">
        <f t="shared" si="1"/>
        <v>36</v>
      </c>
      <c r="B37" s="21" t="s">
        <v>813</v>
      </c>
      <c r="C37" s="22"/>
      <c r="D37" s="21" t="s">
        <v>843</v>
      </c>
      <c r="E37" s="22" t="s">
        <v>109</v>
      </c>
      <c r="F37" s="22" t="s">
        <v>163</v>
      </c>
      <c r="G37" s="22" t="s">
        <v>179</v>
      </c>
      <c r="H37" s="22" t="s">
        <v>815</v>
      </c>
      <c r="I37" s="22"/>
      <c r="J37" s="23">
        <v>1</v>
      </c>
      <c r="K37" s="24">
        <v>46283</v>
      </c>
      <c r="L37" s="24">
        <v>46283</v>
      </c>
      <c r="M37" s="24">
        <v>46283</v>
      </c>
      <c r="N37" s="21" t="s">
        <v>733</v>
      </c>
      <c r="O37" s="21"/>
      <c r="P37" s="21"/>
      <c r="Q37" s="21"/>
      <c r="R37" s="21"/>
      <c r="S37" s="21"/>
      <c r="T37" s="21"/>
      <c r="U37" s="21"/>
      <c r="V37" s="21" t="s">
        <v>844</v>
      </c>
      <c r="W37" s="21" t="s">
        <v>845</v>
      </c>
      <c r="X37" s="17" t="s">
        <v>846</v>
      </c>
    </row>
    <row r="38" spans="1:24" ht="90" x14ac:dyDescent="0.2">
      <c r="A38" s="20">
        <f t="shared" si="1"/>
        <v>37</v>
      </c>
      <c r="B38" s="21" t="s">
        <v>813</v>
      </c>
      <c r="C38" s="22"/>
      <c r="D38" s="21" t="s">
        <v>847</v>
      </c>
      <c r="E38" s="22" t="s">
        <v>109</v>
      </c>
      <c r="F38" s="22" t="s">
        <v>163</v>
      </c>
      <c r="G38" s="22" t="s">
        <v>179</v>
      </c>
      <c r="H38" s="22" t="s">
        <v>815</v>
      </c>
      <c r="I38" s="22"/>
      <c r="J38" s="23">
        <v>1</v>
      </c>
      <c r="K38" s="24">
        <v>46286</v>
      </c>
      <c r="L38" s="24">
        <v>46286</v>
      </c>
      <c r="M38" s="24">
        <v>46286</v>
      </c>
      <c r="N38" s="21" t="s">
        <v>733</v>
      </c>
      <c r="O38" s="21"/>
      <c r="P38" s="21"/>
      <c r="Q38" s="21"/>
      <c r="R38" s="21"/>
      <c r="S38" s="21"/>
      <c r="T38" s="21"/>
      <c r="U38" s="21"/>
      <c r="V38" s="21" t="s">
        <v>848</v>
      </c>
      <c r="W38" s="21" t="s">
        <v>849</v>
      </c>
      <c r="X38" s="17" t="s">
        <v>850</v>
      </c>
    </row>
    <row r="39" spans="1:24" ht="90" x14ac:dyDescent="0.2">
      <c r="A39" s="20">
        <f t="shared" si="1"/>
        <v>38</v>
      </c>
      <c r="B39" s="21" t="s">
        <v>813</v>
      </c>
      <c r="C39" s="22"/>
      <c r="D39" s="21" t="s">
        <v>851</v>
      </c>
      <c r="E39" s="22" t="s">
        <v>109</v>
      </c>
      <c r="F39" s="22" t="s">
        <v>163</v>
      </c>
      <c r="G39" s="22" t="s">
        <v>179</v>
      </c>
      <c r="H39" s="22" t="s">
        <v>815</v>
      </c>
      <c r="I39" s="22"/>
      <c r="J39" s="23">
        <v>1</v>
      </c>
      <c r="K39" s="24">
        <v>46287</v>
      </c>
      <c r="L39" s="24">
        <v>46287</v>
      </c>
      <c r="M39" s="24">
        <v>46287</v>
      </c>
      <c r="N39" s="21" t="s">
        <v>733</v>
      </c>
      <c r="O39" s="21"/>
      <c r="P39" s="21"/>
      <c r="Q39" s="21"/>
      <c r="R39" s="21"/>
      <c r="S39" s="21"/>
      <c r="T39" s="21"/>
      <c r="U39" s="21"/>
      <c r="V39" s="21" t="s">
        <v>852</v>
      </c>
      <c r="W39" s="21" t="s">
        <v>853</v>
      </c>
      <c r="X39" s="17" t="s">
        <v>854</v>
      </c>
    </row>
    <row r="40" spans="1:24" ht="105" x14ac:dyDescent="0.2">
      <c r="A40" s="20">
        <f t="shared" si="1"/>
        <v>39</v>
      </c>
      <c r="B40" s="21" t="s">
        <v>813</v>
      </c>
      <c r="C40" s="22"/>
      <c r="D40" s="21" t="s">
        <v>855</v>
      </c>
      <c r="E40" s="22" t="s">
        <v>109</v>
      </c>
      <c r="F40" s="22" t="s">
        <v>163</v>
      </c>
      <c r="G40" s="22" t="s">
        <v>179</v>
      </c>
      <c r="H40" s="22" t="s">
        <v>815</v>
      </c>
      <c r="I40" s="22"/>
      <c r="J40" s="23">
        <v>1</v>
      </c>
      <c r="K40" s="24">
        <v>46288</v>
      </c>
      <c r="L40" s="24">
        <v>46288</v>
      </c>
      <c r="M40" s="24">
        <v>46288</v>
      </c>
      <c r="N40" s="21" t="s">
        <v>733</v>
      </c>
      <c r="O40" s="21"/>
      <c r="P40" s="21"/>
      <c r="Q40" s="21"/>
      <c r="R40" s="21"/>
      <c r="S40" s="21"/>
      <c r="T40" s="21"/>
      <c r="U40" s="21"/>
      <c r="V40" s="21" t="s">
        <v>856</v>
      </c>
      <c r="W40" s="21" t="s">
        <v>857</v>
      </c>
      <c r="X40" s="17" t="s">
        <v>858</v>
      </c>
    </row>
    <row r="41" spans="1:24" ht="75" x14ac:dyDescent="0.2">
      <c r="A41" s="20">
        <f t="shared" si="1"/>
        <v>40</v>
      </c>
      <c r="B41" s="21" t="s">
        <v>813</v>
      </c>
      <c r="C41" s="22"/>
      <c r="D41" s="21" t="s">
        <v>859</v>
      </c>
      <c r="E41" s="22" t="s">
        <v>109</v>
      </c>
      <c r="F41" s="22" t="s">
        <v>163</v>
      </c>
      <c r="G41" s="22" t="s">
        <v>179</v>
      </c>
      <c r="H41" s="22" t="s">
        <v>815</v>
      </c>
      <c r="I41" s="22"/>
      <c r="J41" s="23">
        <v>1</v>
      </c>
      <c r="K41" s="24">
        <v>46289</v>
      </c>
      <c r="L41" s="24">
        <v>46289</v>
      </c>
      <c r="M41" s="24">
        <v>46289</v>
      </c>
      <c r="N41" s="21" t="s">
        <v>733</v>
      </c>
      <c r="O41" s="21"/>
      <c r="P41" s="21"/>
      <c r="Q41" s="21"/>
      <c r="R41" s="21"/>
      <c r="S41" s="21"/>
      <c r="T41" s="21"/>
      <c r="U41" s="21"/>
      <c r="V41" s="21" t="s">
        <v>860</v>
      </c>
      <c r="W41" s="21" t="s">
        <v>861</v>
      </c>
      <c r="X41" s="17" t="s">
        <v>862</v>
      </c>
    </row>
    <row r="42" spans="1:24" ht="75" x14ac:dyDescent="0.2">
      <c r="A42" s="20">
        <f t="shared" si="1"/>
        <v>41</v>
      </c>
      <c r="B42" s="21" t="s">
        <v>863</v>
      </c>
      <c r="C42" s="22"/>
      <c r="D42" s="21" t="s">
        <v>864</v>
      </c>
      <c r="E42" s="22" t="s">
        <v>109</v>
      </c>
      <c r="F42" s="22" t="s">
        <v>163</v>
      </c>
      <c r="G42" s="22" t="s">
        <v>200</v>
      </c>
      <c r="H42" s="22" t="s">
        <v>863</v>
      </c>
      <c r="I42" s="22"/>
      <c r="J42" s="23">
        <v>1</v>
      </c>
      <c r="K42" s="24">
        <v>46290</v>
      </c>
      <c r="L42" s="24">
        <v>46290</v>
      </c>
      <c r="M42" s="24">
        <v>46290</v>
      </c>
      <c r="N42" s="21" t="s">
        <v>733</v>
      </c>
      <c r="O42" s="21"/>
      <c r="P42" s="21"/>
      <c r="Q42" s="21"/>
      <c r="R42" s="21"/>
      <c r="S42" s="21"/>
      <c r="T42" s="21"/>
      <c r="U42" s="21"/>
      <c r="V42" s="21" t="s">
        <v>865</v>
      </c>
      <c r="W42" s="21" t="s">
        <v>866</v>
      </c>
      <c r="X42" s="17" t="s">
        <v>867</v>
      </c>
    </row>
    <row r="43" spans="1:24" ht="75" x14ac:dyDescent="0.2">
      <c r="A43" s="20">
        <f t="shared" si="1"/>
        <v>42</v>
      </c>
      <c r="B43" s="21" t="s">
        <v>863</v>
      </c>
      <c r="C43" s="22"/>
      <c r="D43" s="21" t="s">
        <v>868</v>
      </c>
      <c r="E43" s="22" t="s">
        <v>109</v>
      </c>
      <c r="F43" s="22" t="s">
        <v>163</v>
      </c>
      <c r="G43" s="22" t="s">
        <v>200</v>
      </c>
      <c r="H43" s="22" t="s">
        <v>863</v>
      </c>
      <c r="I43" s="22"/>
      <c r="J43" s="23">
        <v>1</v>
      </c>
      <c r="K43" s="24">
        <v>46293</v>
      </c>
      <c r="L43" s="24">
        <v>46293</v>
      </c>
      <c r="M43" s="24">
        <v>46293</v>
      </c>
      <c r="N43" s="21" t="s">
        <v>733</v>
      </c>
      <c r="O43" s="21"/>
      <c r="P43" s="21"/>
      <c r="Q43" s="21"/>
      <c r="R43" s="21"/>
      <c r="S43" s="21"/>
      <c r="T43" s="21"/>
      <c r="U43" s="21"/>
      <c r="V43" s="21" t="s">
        <v>869</v>
      </c>
      <c r="W43" s="21" t="s">
        <v>870</v>
      </c>
      <c r="X43" s="17" t="s">
        <v>871</v>
      </c>
    </row>
    <row r="44" spans="1:24" ht="75" x14ac:dyDescent="0.2">
      <c r="A44" s="20">
        <f t="shared" si="1"/>
        <v>43</v>
      </c>
      <c r="B44" s="21" t="s">
        <v>813</v>
      </c>
      <c r="C44" s="22"/>
      <c r="D44" s="21" t="s">
        <v>872</v>
      </c>
      <c r="E44" s="22" t="s">
        <v>109</v>
      </c>
      <c r="F44" s="22" t="s">
        <v>294</v>
      </c>
      <c r="G44" s="22" t="s">
        <v>200</v>
      </c>
      <c r="H44" s="22" t="s">
        <v>815</v>
      </c>
      <c r="I44" s="22"/>
      <c r="J44" s="23">
        <v>1</v>
      </c>
      <c r="K44" s="24">
        <v>46294</v>
      </c>
      <c r="L44" s="24">
        <v>46294</v>
      </c>
      <c r="M44" s="24">
        <v>46294</v>
      </c>
      <c r="N44" s="21" t="s">
        <v>733</v>
      </c>
      <c r="O44" s="21"/>
      <c r="P44" s="21"/>
      <c r="Q44" s="21"/>
      <c r="R44" s="21"/>
      <c r="S44" s="21"/>
      <c r="T44" s="21"/>
      <c r="U44" s="21"/>
      <c r="V44" s="21" t="s">
        <v>873</v>
      </c>
      <c r="W44" s="21" t="s">
        <v>874</v>
      </c>
      <c r="X44" s="17" t="s">
        <v>875</v>
      </c>
    </row>
    <row r="45" spans="1:24" ht="105" x14ac:dyDescent="0.2">
      <c r="A45" s="20">
        <f t="shared" si="1"/>
        <v>44</v>
      </c>
      <c r="B45" s="21" t="s">
        <v>876</v>
      </c>
      <c r="C45" s="22"/>
      <c r="D45" s="21" t="s">
        <v>877</v>
      </c>
      <c r="E45" s="22" t="s">
        <v>109</v>
      </c>
      <c r="F45" s="22" t="s">
        <v>163</v>
      </c>
      <c r="G45" s="22" t="s">
        <v>200</v>
      </c>
      <c r="H45" s="22" t="s">
        <v>165</v>
      </c>
      <c r="I45" s="22"/>
      <c r="J45" s="23">
        <v>1</v>
      </c>
      <c r="K45" s="24">
        <v>46295</v>
      </c>
      <c r="L45" s="24">
        <v>46295</v>
      </c>
      <c r="M45" s="24">
        <v>46295</v>
      </c>
      <c r="N45" s="21" t="s">
        <v>733</v>
      </c>
      <c r="O45" s="21"/>
      <c r="P45" s="21"/>
      <c r="Q45" s="21"/>
      <c r="R45" s="21"/>
      <c r="S45" s="21"/>
      <c r="T45" s="21"/>
      <c r="U45" s="21"/>
      <c r="V45" s="21" t="s">
        <v>878</v>
      </c>
      <c r="W45" s="21" t="s">
        <v>879</v>
      </c>
      <c r="X45" s="17"/>
    </row>
    <row r="46" spans="1:24" ht="105" x14ac:dyDescent="0.2">
      <c r="A46" s="20">
        <f t="shared" si="1"/>
        <v>45</v>
      </c>
      <c r="B46" s="21" t="s">
        <v>876</v>
      </c>
      <c r="C46" s="22"/>
      <c r="D46" s="21" t="s">
        <v>880</v>
      </c>
      <c r="E46" s="22" t="s">
        <v>109</v>
      </c>
      <c r="F46" s="22" t="s">
        <v>172</v>
      </c>
      <c r="G46" s="22" t="s">
        <v>200</v>
      </c>
      <c r="H46" s="22" t="s">
        <v>165</v>
      </c>
      <c r="I46" s="22"/>
      <c r="J46" s="23">
        <v>1</v>
      </c>
      <c r="K46" s="24">
        <v>46296</v>
      </c>
      <c r="L46" s="24">
        <v>46296</v>
      </c>
      <c r="M46" s="24">
        <v>46296</v>
      </c>
      <c r="N46" s="82" t="s">
        <v>733</v>
      </c>
      <c r="O46" s="21"/>
      <c r="P46" s="21"/>
      <c r="Q46" s="21"/>
      <c r="R46" s="21"/>
      <c r="S46" s="21"/>
      <c r="T46" s="21"/>
      <c r="U46" s="21"/>
      <c r="V46" s="21" t="s">
        <v>881</v>
      </c>
      <c r="W46" s="21" t="s">
        <v>882</v>
      </c>
      <c r="X46" s="17" t="s">
        <v>883</v>
      </c>
    </row>
    <row r="47" spans="1:24" ht="105" x14ac:dyDescent="0.2">
      <c r="A47" s="20">
        <f t="shared" si="1"/>
        <v>46</v>
      </c>
      <c r="B47" s="21" t="s">
        <v>876</v>
      </c>
      <c r="C47" s="22"/>
      <c r="D47" s="21" t="s">
        <v>884</v>
      </c>
      <c r="E47" s="22" t="s">
        <v>109</v>
      </c>
      <c r="F47" s="22" t="s">
        <v>172</v>
      </c>
      <c r="G47" s="22" t="s">
        <v>200</v>
      </c>
      <c r="H47" s="22" t="s">
        <v>165</v>
      </c>
      <c r="I47" s="22"/>
      <c r="J47" s="23">
        <v>1</v>
      </c>
      <c r="K47" s="24">
        <v>46297</v>
      </c>
      <c r="L47" s="24">
        <v>46297</v>
      </c>
      <c r="M47" s="24">
        <v>46297</v>
      </c>
      <c r="N47" s="82" t="s">
        <v>733</v>
      </c>
      <c r="O47" s="21"/>
      <c r="P47" s="21"/>
      <c r="Q47" s="21"/>
      <c r="R47" s="21"/>
      <c r="S47" s="21"/>
      <c r="T47" s="21"/>
      <c r="U47" s="21"/>
      <c r="V47" s="21" t="s">
        <v>885</v>
      </c>
      <c r="W47" s="21" t="s">
        <v>886</v>
      </c>
      <c r="X47" s="17"/>
    </row>
    <row r="48" spans="1:24" ht="60" x14ac:dyDescent="0.2">
      <c r="A48" s="20">
        <f t="shared" si="1"/>
        <v>47</v>
      </c>
      <c r="B48" s="21" t="s">
        <v>876</v>
      </c>
      <c r="C48" s="22"/>
      <c r="D48" s="21" t="s">
        <v>887</v>
      </c>
      <c r="E48" s="22" t="s">
        <v>109</v>
      </c>
      <c r="F48" s="22" t="s">
        <v>172</v>
      </c>
      <c r="G48" s="22" t="s">
        <v>200</v>
      </c>
      <c r="H48" s="22" t="s">
        <v>165</v>
      </c>
      <c r="I48" s="22"/>
      <c r="J48" s="23">
        <v>1</v>
      </c>
      <c r="K48" s="24">
        <v>46300</v>
      </c>
      <c r="L48" s="24">
        <v>46300</v>
      </c>
      <c r="M48" s="24">
        <v>46300</v>
      </c>
      <c r="N48" s="82" t="s">
        <v>733</v>
      </c>
      <c r="O48" s="21"/>
      <c r="P48" s="21"/>
      <c r="Q48" s="21"/>
      <c r="R48" s="21"/>
      <c r="S48" s="21"/>
      <c r="T48" s="21"/>
      <c r="U48" s="21"/>
      <c r="V48" s="21" t="s">
        <v>888</v>
      </c>
      <c r="W48" s="21" t="s">
        <v>889</v>
      </c>
      <c r="X48" s="17"/>
    </row>
    <row r="49" spans="1:24" ht="90" x14ac:dyDescent="0.2">
      <c r="A49" s="20">
        <f t="shared" si="1"/>
        <v>48</v>
      </c>
      <c r="B49" s="21" t="s">
        <v>876</v>
      </c>
      <c r="C49" s="22"/>
      <c r="D49" s="21" t="s">
        <v>890</v>
      </c>
      <c r="E49" s="22" t="s">
        <v>110</v>
      </c>
      <c r="F49" s="22" t="s">
        <v>172</v>
      </c>
      <c r="G49" s="22" t="s">
        <v>200</v>
      </c>
      <c r="H49" s="22" t="s">
        <v>165</v>
      </c>
      <c r="I49" s="22"/>
      <c r="J49" s="23">
        <v>1</v>
      </c>
      <c r="K49" s="24">
        <v>46300</v>
      </c>
      <c r="L49" s="24">
        <v>46305</v>
      </c>
      <c r="M49" s="24">
        <v>46304</v>
      </c>
      <c r="N49" s="82" t="s">
        <v>733</v>
      </c>
      <c r="O49" s="21"/>
      <c r="P49" s="21"/>
      <c r="Q49" s="21"/>
      <c r="R49" s="21"/>
      <c r="S49" s="21"/>
      <c r="T49" s="21"/>
      <c r="U49" s="21"/>
      <c r="V49" s="21" t="s">
        <v>891</v>
      </c>
      <c r="W49" s="21" t="s">
        <v>892</v>
      </c>
      <c r="X49" s="17"/>
    </row>
    <row r="50" spans="1:24" ht="90" x14ac:dyDescent="0.2">
      <c r="A50" s="20">
        <f t="shared" si="1"/>
        <v>49</v>
      </c>
      <c r="B50" s="21" t="s">
        <v>876</v>
      </c>
      <c r="C50" s="22"/>
      <c r="D50" s="21" t="s">
        <v>893</v>
      </c>
      <c r="E50" s="22" t="s">
        <v>109</v>
      </c>
      <c r="F50" s="22" t="s">
        <v>172</v>
      </c>
      <c r="G50" s="22" t="s">
        <v>200</v>
      </c>
      <c r="H50" s="22" t="s">
        <v>165</v>
      </c>
      <c r="I50" s="22"/>
      <c r="J50" s="23">
        <v>1</v>
      </c>
      <c r="K50" s="24">
        <v>46304</v>
      </c>
      <c r="L50" s="24">
        <v>46312</v>
      </c>
      <c r="M50" s="24">
        <v>46307</v>
      </c>
      <c r="N50" s="82" t="s">
        <v>733</v>
      </c>
      <c r="O50" s="21"/>
      <c r="P50" s="21"/>
      <c r="Q50" s="21"/>
      <c r="R50" s="21"/>
      <c r="S50" s="21"/>
      <c r="T50" s="21"/>
      <c r="U50" s="21"/>
      <c r="V50" s="21" t="s">
        <v>894</v>
      </c>
      <c r="W50" s="21" t="s">
        <v>895</v>
      </c>
      <c r="X50" s="17" t="s">
        <v>896</v>
      </c>
    </row>
    <row r="51" spans="1:24" ht="60" x14ac:dyDescent="0.2">
      <c r="A51" s="20">
        <f t="shared" si="1"/>
        <v>50</v>
      </c>
      <c r="B51" s="21" t="s">
        <v>729</v>
      </c>
      <c r="C51" s="22"/>
      <c r="D51" s="21" t="s">
        <v>897</v>
      </c>
      <c r="E51" s="22" t="s">
        <v>109</v>
      </c>
      <c r="F51" s="22" t="s">
        <v>163</v>
      </c>
      <c r="G51" s="22" t="s">
        <v>685</v>
      </c>
      <c r="H51" s="22" t="s">
        <v>731</v>
      </c>
      <c r="I51" s="22" t="s">
        <v>898</v>
      </c>
      <c r="J51" s="23">
        <v>1</v>
      </c>
      <c r="K51" s="24">
        <v>46308</v>
      </c>
      <c r="L51" s="24">
        <v>46308</v>
      </c>
      <c r="M51" s="24">
        <v>46308</v>
      </c>
      <c r="N51" s="82" t="s">
        <v>733</v>
      </c>
      <c r="O51" s="21"/>
      <c r="P51" s="21"/>
      <c r="Q51" s="21"/>
      <c r="R51" s="21"/>
      <c r="S51" s="21"/>
      <c r="T51" s="21"/>
      <c r="U51" s="21"/>
      <c r="V51" s="21" t="s">
        <v>899</v>
      </c>
      <c r="W51" s="21" t="s">
        <v>900</v>
      </c>
      <c r="X51" s="17" t="s">
        <v>901</v>
      </c>
    </row>
    <row r="52" spans="1:24" ht="120" x14ac:dyDescent="0.2">
      <c r="A52" s="20">
        <f t="shared" si="1"/>
        <v>51</v>
      </c>
      <c r="B52" s="21" t="s">
        <v>729</v>
      </c>
      <c r="C52" s="22"/>
      <c r="D52" s="21" t="s">
        <v>902</v>
      </c>
      <c r="E52" s="22" t="s">
        <v>109</v>
      </c>
      <c r="F52" s="22" t="s">
        <v>163</v>
      </c>
      <c r="G52" s="22" t="s">
        <v>685</v>
      </c>
      <c r="H52" s="22" t="s">
        <v>731</v>
      </c>
      <c r="I52" s="22" t="s">
        <v>903</v>
      </c>
      <c r="J52" s="23">
        <v>1</v>
      </c>
      <c r="K52" s="24">
        <v>46309</v>
      </c>
      <c r="L52" s="24">
        <v>46309</v>
      </c>
      <c r="M52" s="24">
        <v>46309</v>
      </c>
      <c r="N52" s="82" t="s">
        <v>733</v>
      </c>
      <c r="O52" s="21"/>
      <c r="P52" s="21"/>
      <c r="Q52" s="21"/>
      <c r="R52" s="21"/>
      <c r="S52" s="21"/>
      <c r="T52" s="21"/>
      <c r="U52" s="21"/>
      <c r="V52" s="21" t="s">
        <v>904</v>
      </c>
      <c r="W52" s="21" t="s">
        <v>905</v>
      </c>
      <c r="X52" s="17" t="s">
        <v>906</v>
      </c>
    </row>
    <row r="53" spans="1:24" ht="120" x14ac:dyDescent="0.2">
      <c r="A53" s="20">
        <f t="shared" si="1"/>
        <v>52</v>
      </c>
      <c r="B53" s="21" t="s">
        <v>729</v>
      </c>
      <c r="C53" s="22"/>
      <c r="D53" s="21" t="s">
        <v>907</v>
      </c>
      <c r="E53" s="22" t="s">
        <v>109</v>
      </c>
      <c r="F53" s="22" t="s">
        <v>163</v>
      </c>
      <c r="G53" s="22" t="s">
        <v>685</v>
      </c>
      <c r="H53" s="22" t="s">
        <v>731</v>
      </c>
      <c r="I53" s="22" t="s">
        <v>903</v>
      </c>
      <c r="J53" s="23">
        <v>1</v>
      </c>
      <c r="K53" s="24">
        <v>46310</v>
      </c>
      <c r="L53" s="24">
        <v>46310</v>
      </c>
      <c r="M53" s="24">
        <v>46310</v>
      </c>
      <c r="N53" s="82" t="s">
        <v>733</v>
      </c>
      <c r="O53" s="21"/>
      <c r="P53" s="21"/>
      <c r="Q53" s="21"/>
      <c r="R53" s="21"/>
      <c r="S53" s="21"/>
      <c r="T53" s="21"/>
      <c r="U53" s="21"/>
      <c r="V53" s="21" t="s">
        <v>908</v>
      </c>
      <c r="W53" s="21" t="s">
        <v>909</v>
      </c>
      <c r="X53" s="17" t="s">
        <v>910</v>
      </c>
    </row>
    <row r="54" spans="1:24" ht="105" x14ac:dyDescent="0.2">
      <c r="A54" s="20">
        <f t="shared" si="1"/>
        <v>53</v>
      </c>
      <c r="B54" s="21" t="s">
        <v>876</v>
      </c>
      <c r="C54" s="22"/>
      <c r="D54" s="21" t="s">
        <v>911</v>
      </c>
      <c r="E54" s="22" t="s">
        <v>109</v>
      </c>
      <c r="F54" s="22" t="s">
        <v>163</v>
      </c>
      <c r="G54" s="22" t="s">
        <v>179</v>
      </c>
      <c r="H54" s="22" t="s">
        <v>165</v>
      </c>
      <c r="I54" s="22" t="s">
        <v>732</v>
      </c>
      <c r="J54" s="23">
        <v>1</v>
      </c>
      <c r="K54" s="24">
        <v>46311</v>
      </c>
      <c r="L54" s="24">
        <v>46311</v>
      </c>
      <c r="M54" s="24">
        <v>46311</v>
      </c>
      <c r="N54" s="82" t="s">
        <v>733</v>
      </c>
      <c r="O54" s="21"/>
      <c r="P54" s="21"/>
      <c r="Q54" s="21"/>
      <c r="R54" s="21"/>
      <c r="S54" s="21"/>
      <c r="T54" s="21"/>
      <c r="U54" s="21"/>
      <c r="V54" s="21" t="s">
        <v>912</v>
      </c>
      <c r="W54" s="21" t="s">
        <v>913</v>
      </c>
      <c r="X54" s="17" t="s">
        <v>914</v>
      </c>
    </row>
    <row r="55" spans="1:24" ht="105" x14ac:dyDescent="0.2">
      <c r="A55" s="20">
        <f t="shared" si="1"/>
        <v>54</v>
      </c>
      <c r="B55" s="21" t="s">
        <v>876</v>
      </c>
      <c r="C55" s="22"/>
      <c r="D55" s="21" t="s">
        <v>915</v>
      </c>
      <c r="E55" s="22" t="s">
        <v>109</v>
      </c>
      <c r="F55" s="22" t="s">
        <v>163</v>
      </c>
      <c r="G55" s="22" t="s">
        <v>179</v>
      </c>
      <c r="H55" s="22" t="s">
        <v>165</v>
      </c>
      <c r="I55" s="22" t="s">
        <v>732</v>
      </c>
      <c r="J55" s="23">
        <v>1</v>
      </c>
      <c r="K55" s="24">
        <v>46314</v>
      </c>
      <c r="L55" s="24">
        <v>46314</v>
      </c>
      <c r="M55" s="24">
        <v>46314</v>
      </c>
      <c r="N55" s="82" t="s">
        <v>733</v>
      </c>
      <c r="O55" s="21"/>
      <c r="P55" s="21"/>
      <c r="Q55" s="21"/>
      <c r="R55" s="21"/>
      <c r="S55" s="21"/>
      <c r="T55" s="21"/>
      <c r="U55" s="21"/>
      <c r="V55" s="21" t="s">
        <v>916</v>
      </c>
      <c r="W55" s="21" t="s">
        <v>917</v>
      </c>
      <c r="X55" s="17" t="s">
        <v>918</v>
      </c>
    </row>
    <row r="56" spans="1:24" ht="60" x14ac:dyDescent="0.2">
      <c r="A56" s="20">
        <f t="shared" si="1"/>
        <v>55</v>
      </c>
      <c r="B56" s="21" t="s">
        <v>876</v>
      </c>
      <c r="C56" s="22"/>
      <c r="D56" s="21" t="s">
        <v>919</v>
      </c>
      <c r="E56" s="22" t="s">
        <v>109</v>
      </c>
      <c r="F56" s="22" t="s">
        <v>163</v>
      </c>
      <c r="G56" s="22" t="s">
        <v>179</v>
      </c>
      <c r="H56" s="22" t="s">
        <v>165</v>
      </c>
      <c r="I56" s="22" t="s">
        <v>732</v>
      </c>
      <c r="J56" s="23">
        <v>1</v>
      </c>
      <c r="K56" s="24">
        <v>46315</v>
      </c>
      <c r="L56" s="24">
        <v>46315</v>
      </c>
      <c r="M56" s="24">
        <v>46315</v>
      </c>
      <c r="N56" s="82" t="s">
        <v>733</v>
      </c>
      <c r="O56" s="21"/>
      <c r="P56" s="21"/>
      <c r="Q56" s="21"/>
      <c r="R56" s="21"/>
      <c r="S56" s="21"/>
      <c r="T56" s="21"/>
      <c r="U56" s="21"/>
      <c r="V56" s="21" t="s">
        <v>920</v>
      </c>
      <c r="W56" s="21" t="s">
        <v>921</v>
      </c>
      <c r="X56" s="17" t="s">
        <v>922</v>
      </c>
    </row>
    <row r="57" spans="1:24" ht="75" x14ac:dyDescent="0.2">
      <c r="A57" s="20">
        <f t="shared" si="1"/>
        <v>56</v>
      </c>
      <c r="B57" s="21" t="s">
        <v>876</v>
      </c>
      <c r="C57" s="22"/>
      <c r="D57" s="21" t="s">
        <v>923</v>
      </c>
      <c r="E57" s="22" t="s">
        <v>109</v>
      </c>
      <c r="F57" s="22" t="s">
        <v>163</v>
      </c>
      <c r="G57" s="22" t="s">
        <v>179</v>
      </c>
      <c r="H57" s="22" t="s">
        <v>165</v>
      </c>
      <c r="I57" s="22" t="s">
        <v>732</v>
      </c>
      <c r="J57" s="23">
        <v>1</v>
      </c>
      <c r="K57" s="24">
        <v>46316</v>
      </c>
      <c r="L57" s="24">
        <v>46316</v>
      </c>
      <c r="M57" s="24">
        <v>46316</v>
      </c>
      <c r="N57" s="82" t="s">
        <v>733</v>
      </c>
      <c r="O57" s="21"/>
      <c r="P57" s="21"/>
      <c r="Q57" s="21"/>
      <c r="R57" s="21"/>
      <c r="S57" s="21"/>
      <c r="T57" s="21"/>
      <c r="U57" s="21"/>
      <c r="V57" s="21" t="s">
        <v>924</v>
      </c>
      <c r="W57" s="21" t="s">
        <v>925</v>
      </c>
      <c r="X57" s="17" t="s">
        <v>922</v>
      </c>
    </row>
    <row r="58" spans="1:24" ht="60" x14ac:dyDescent="0.2">
      <c r="A58" s="20">
        <f t="shared" si="1"/>
        <v>57</v>
      </c>
      <c r="B58" s="21" t="s">
        <v>729</v>
      </c>
      <c r="C58" s="22"/>
      <c r="D58" s="21" t="s">
        <v>926</v>
      </c>
      <c r="E58" s="22" t="s">
        <v>109</v>
      </c>
      <c r="F58" s="22" t="s">
        <v>163</v>
      </c>
      <c r="G58" s="22" t="s">
        <v>179</v>
      </c>
      <c r="H58" s="22" t="s">
        <v>731</v>
      </c>
      <c r="I58" s="22" t="s">
        <v>732</v>
      </c>
      <c r="J58" s="23">
        <v>1</v>
      </c>
      <c r="K58" s="24">
        <v>46317</v>
      </c>
      <c r="L58" s="24">
        <v>46317</v>
      </c>
      <c r="M58" s="24">
        <v>46317</v>
      </c>
      <c r="N58" s="82" t="s">
        <v>733</v>
      </c>
      <c r="O58" s="21"/>
      <c r="P58" s="21"/>
      <c r="Q58" s="21"/>
      <c r="R58" s="21"/>
      <c r="S58" s="21"/>
      <c r="T58" s="21"/>
      <c r="U58" s="21"/>
      <c r="V58" s="21" t="s">
        <v>927</v>
      </c>
      <c r="W58" s="21" t="s">
        <v>928</v>
      </c>
      <c r="X58" s="17"/>
    </row>
    <row r="59" spans="1:24" ht="60" x14ac:dyDescent="0.2">
      <c r="A59" s="20">
        <f t="shared" si="1"/>
        <v>58</v>
      </c>
      <c r="B59" s="21" t="s">
        <v>729</v>
      </c>
      <c r="C59" s="22"/>
      <c r="D59" s="21" t="s">
        <v>929</v>
      </c>
      <c r="E59" s="22" t="s">
        <v>109</v>
      </c>
      <c r="F59" s="22" t="s">
        <v>163</v>
      </c>
      <c r="G59" s="22" t="s">
        <v>179</v>
      </c>
      <c r="H59" s="22"/>
      <c r="I59" s="22"/>
      <c r="J59" s="23">
        <v>1</v>
      </c>
      <c r="K59" s="24">
        <v>46318</v>
      </c>
      <c r="L59" s="24">
        <v>46318</v>
      </c>
      <c r="M59" s="24">
        <v>46318</v>
      </c>
      <c r="N59" s="82" t="s">
        <v>733</v>
      </c>
      <c r="O59" s="21"/>
      <c r="P59" s="21"/>
      <c r="Q59" s="21"/>
      <c r="R59" s="21"/>
      <c r="S59" s="21"/>
      <c r="T59" s="21"/>
      <c r="U59" s="21"/>
      <c r="V59" s="21" t="s">
        <v>930</v>
      </c>
      <c r="W59" s="21" t="s">
        <v>931</v>
      </c>
    </row>
    <row r="60" spans="1:24" x14ac:dyDescent="0.2">
      <c r="A60" s="20" t="str">
        <f t="shared" si="1"/>
        <v/>
      </c>
      <c r="B60" s="21"/>
      <c r="C60" s="22"/>
      <c r="D60" s="21"/>
      <c r="E60" s="22"/>
      <c r="F60" s="22"/>
      <c r="G60" s="22"/>
      <c r="H60" s="22"/>
      <c r="I60" s="22"/>
      <c r="J60" s="22"/>
      <c r="K60" s="22"/>
      <c r="L60" s="22"/>
      <c r="M60" s="22"/>
      <c r="N60" s="21"/>
      <c r="O60" s="21"/>
      <c r="P60" s="21"/>
      <c r="Q60" s="21"/>
      <c r="R60" s="21"/>
      <c r="S60" s="21"/>
      <c r="T60" s="21"/>
      <c r="U60" s="21"/>
      <c r="V60" s="21"/>
      <c r="W60" s="21"/>
    </row>
    <row r="61" spans="1:24" x14ac:dyDescent="0.2">
      <c r="A61" s="20" t="str">
        <f t="shared" si="1"/>
        <v/>
      </c>
      <c r="B61" s="21"/>
      <c r="C61" s="22"/>
      <c r="D61" s="21"/>
      <c r="E61" s="22"/>
      <c r="F61" s="22"/>
      <c r="G61" s="22"/>
      <c r="H61" s="22"/>
      <c r="I61" s="22"/>
      <c r="J61" s="22"/>
      <c r="K61" s="22"/>
      <c r="L61" s="22"/>
      <c r="M61" s="22"/>
      <c r="N61" s="21"/>
      <c r="O61" s="21"/>
      <c r="P61" s="21"/>
      <c r="Q61" s="21"/>
      <c r="R61" s="21"/>
      <c r="S61" s="21"/>
      <c r="T61" s="21"/>
      <c r="U61" s="21"/>
      <c r="V61" s="21"/>
      <c r="W61" s="21"/>
    </row>
    <row r="62" spans="1:24" x14ac:dyDescent="0.2">
      <c r="A62" s="20" t="str">
        <f t="shared" si="1"/>
        <v/>
      </c>
      <c r="B62" s="21"/>
      <c r="C62" s="22"/>
      <c r="D62" s="21"/>
      <c r="E62" s="22"/>
      <c r="F62" s="22"/>
      <c r="G62" s="22"/>
      <c r="H62" s="22"/>
      <c r="I62" s="22"/>
      <c r="J62" s="22"/>
      <c r="K62" s="22"/>
      <c r="L62" s="22"/>
      <c r="M62" s="22"/>
      <c r="N62" s="21"/>
      <c r="O62" s="21"/>
      <c r="P62" s="21"/>
      <c r="Q62" s="21"/>
      <c r="R62" s="21"/>
      <c r="S62" s="21"/>
      <c r="T62" s="21"/>
      <c r="U62" s="21"/>
      <c r="V62" s="21"/>
      <c r="W62" s="21"/>
    </row>
    <row r="63" spans="1:24" x14ac:dyDescent="0.2">
      <c r="A63" s="20" t="str">
        <f t="shared" si="1"/>
        <v/>
      </c>
      <c r="B63" s="21"/>
      <c r="C63" s="22"/>
      <c r="D63" s="21"/>
      <c r="E63" s="22"/>
      <c r="F63" s="22"/>
      <c r="G63" s="22"/>
      <c r="H63" s="22"/>
      <c r="I63" s="22"/>
      <c r="J63" s="22"/>
      <c r="K63" s="22"/>
      <c r="L63" s="22"/>
      <c r="M63" s="22"/>
      <c r="N63" s="21"/>
      <c r="O63" s="21"/>
      <c r="P63" s="21"/>
      <c r="Q63" s="21"/>
      <c r="R63" s="21"/>
      <c r="S63" s="21"/>
      <c r="T63" s="21"/>
      <c r="U63" s="21"/>
      <c r="V63" s="21"/>
      <c r="W63" s="21"/>
    </row>
    <row r="64" spans="1:24" x14ac:dyDescent="0.2">
      <c r="A64" s="20" t="str">
        <f t="shared" si="1"/>
        <v/>
      </c>
      <c r="B64" s="21"/>
      <c r="C64" s="22"/>
      <c r="D64" s="21"/>
      <c r="E64" s="22"/>
      <c r="F64" s="22"/>
      <c r="G64" s="22"/>
      <c r="H64" s="22"/>
      <c r="I64" s="22"/>
      <c r="J64" s="22"/>
      <c r="K64" s="22"/>
      <c r="L64" s="22"/>
      <c r="M64" s="22"/>
      <c r="N64" s="21"/>
      <c r="O64" s="21"/>
      <c r="P64" s="21"/>
      <c r="Q64" s="21"/>
      <c r="R64" s="21"/>
      <c r="S64" s="21"/>
      <c r="T64" s="21"/>
      <c r="U64" s="21"/>
      <c r="V64" s="21"/>
      <c r="W64" s="21"/>
    </row>
    <row r="65" spans="1:23" x14ac:dyDescent="0.2">
      <c r="A65" s="20" t="str">
        <f t="shared" si="1"/>
        <v/>
      </c>
      <c r="B65" s="21"/>
      <c r="C65" s="22"/>
      <c r="D65" s="21"/>
      <c r="E65" s="22"/>
      <c r="F65" s="22"/>
      <c r="G65" s="22"/>
      <c r="H65" s="22"/>
      <c r="I65" s="22"/>
      <c r="J65" s="22"/>
      <c r="K65" s="22"/>
      <c r="L65" s="22"/>
      <c r="M65" s="22"/>
      <c r="N65" s="21"/>
      <c r="O65" s="21"/>
      <c r="P65" s="21"/>
      <c r="Q65" s="21"/>
      <c r="R65" s="21"/>
      <c r="S65" s="21"/>
      <c r="T65" s="21"/>
      <c r="U65" s="21"/>
      <c r="V65" s="21"/>
      <c r="W65" s="21"/>
    </row>
    <row r="66" spans="1:23" x14ac:dyDescent="0.2">
      <c r="A66" s="20" t="str">
        <f t="shared" ref="A66:A97" si="2">IF(OR(D66&lt;&gt;"", B66&lt;&gt;""), ROW()-1, "")</f>
        <v/>
      </c>
      <c r="B66" s="21"/>
      <c r="C66" s="22"/>
      <c r="D66" s="21"/>
      <c r="E66" s="22"/>
      <c r="F66" s="22"/>
      <c r="G66" s="22"/>
      <c r="H66" s="22"/>
      <c r="I66" s="22"/>
      <c r="J66" s="22"/>
      <c r="K66" s="22"/>
      <c r="L66" s="22"/>
      <c r="M66" s="22"/>
      <c r="N66" s="21"/>
      <c r="O66" s="21"/>
      <c r="P66" s="21"/>
      <c r="Q66" s="21"/>
      <c r="R66" s="21"/>
      <c r="S66" s="21"/>
      <c r="T66" s="21"/>
      <c r="U66" s="21"/>
      <c r="V66" s="21"/>
      <c r="W66" s="21"/>
    </row>
    <row r="67" spans="1:23" x14ac:dyDescent="0.2">
      <c r="A67" s="20" t="str">
        <f t="shared" si="2"/>
        <v/>
      </c>
      <c r="B67" s="21"/>
      <c r="C67" s="22"/>
      <c r="D67" s="21"/>
      <c r="E67" s="22"/>
      <c r="F67" s="22"/>
      <c r="G67" s="22"/>
      <c r="H67" s="22"/>
      <c r="I67" s="22"/>
      <c r="J67" s="22"/>
      <c r="K67" s="22"/>
      <c r="L67" s="22"/>
      <c r="M67" s="22"/>
      <c r="N67" s="21"/>
      <c r="O67" s="21"/>
      <c r="P67" s="21"/>
      <c r="Q67" s="21"/>
      <c r="R67" s="21"/>
      <c r="S67" s="21"/>
      <c r="T67" s="21"/>
      <c r="U67" s="21"/>
      <c r="V67" s="21"/>
      <c r="W67" s="21"/>
    </row>
    <row r="68" spans="1:23" x14ac:dyDescent="0.2">
      <c r="A68" s="20" t="str">
        <f t="shared" si="2"/>
        <v/>
      </c>
      <c r="B68" s="21"/>
      <c r="C68" s="22"/>
      <c r="D68" s="21"/>
      <c r="E68" s="22"/>
      <c r="F68" s="22"/>
      <c r="G68" s="22"/>
      <c r="H68" s="22"/>
      <c r="I68" s="22"/>
      <c r="J68" s="22"/>
      <c r="K68" s="22"/>
      <c r="L68" s="22"/>
      <c r="M68" s="22"/>
      <c r="N68" s="21"/>
      <c r="O68" s="21"/>
      <c r="P68" s="21"/>
      <c r="Q68" s="21"/>
      <c r="R68" s="21"/>
      <c r="S68" s="21"/>
      <c r="T68" s="21"/>
      <c r="U68" s="21"/>
      <c r="V68" s="21"/>
      <c r="W68" s="21"/>
    </row>
    <row r="69" spans="1:23" x14ac:dyDescent="0.2">
      <c r="A69" s="20" t="str">
        <f t="shared" si="2"/>
        <v/>
      </c>
      <c r="B69" s="21"/>
      <c r="C69" s="22"/>
      <c r="D69" s="21"/>
      <c r="E69" s="22"/>
      <c r="F69" s="22"/>
      <c r="G69" s="22"/>
      <c r="H69" s="22"/>
      <c r="I69" s="22"/>
      <c r="J69" s="22"/>
      <c r="K69" s="22"/>
      <c r="L69" s="22"/>
      <c r="M69" s="22"/>
      <c r="N69" s="21"/>
      <c r="O69" s="21"/>
      <c r="P69" s="21"/>
      <c r="Q69" s="21"/>
      <c r="R69" s="21"/>
      <c r="S69" s="21"/>
      <c r="T69" s="21"/>
      <c r="U69" s="21"/>
      <c r="V69" s="21"/>
      <c r="W69" s="21"/>
    </row>
    <row r="70" spans="1:23" x14ac:dyDescent="0.2">
      <c r="A70" s="20" t="str">
        <f t="shared" si="2"/>
        <v/>
      </c>
      <c r="B70" s="21"/>
      <c r="C70" s="22"/>
      <c r="D70" s="21"/>
      <c r="E70" s="22"/>
      <c r="F70" s="22"/>
      <c r="G70" s="22"/>
      <c r="H70" s="22"/>
      <c r="I70" s="22"/>
      <c r="J70" s="22"/>
      <c r="K70" s="22"/>
      <c r="L70" s="22"/>
      <c r="M70" s="22"/>
      <c r="N70" s="21"/>
      <c r="O70" s="21"/>
      <c r="P70" s="21"/>
      <c r="Q70" s="21"/>
      <c r="R70" s="21"/>
      <c r="S70" s="21"/>
      <c r="T70" s="21"/>
      <c r="U70" s="21"/>
      <c r="V70" s="21"/>
      <c r="W70" s="21"/>
    </row>
    <row r="71" spans="1:23" x14ac:dyDescent="0.2">
      <c r="A71" s="20" t="str">
        <f t="shared" si="2"/>
        <v/>
      </c>
      <c r="B71" s="21"/>
      <c r="C71" s="22"/>
      <c r="D71" s="21"/>
      <c r="E71" s="22"/>
      <c r="F71" s="22"/>
      <c r="G71" s="22"/>
      <c r="H71" s="22"/>
      <c r="I71" s="22"/>
      <c r="J71" s="22"/>
      <c r="K71" s="22"/>
      <c r="L71" s="22"/>
      <c r="M71" s="22"/>
      <c r="N71" s="21"/>
      <c r="O71" s="21"/>
      <c r="P71" s="21"/>
      <c r="Q71" s="21"/>
      <c r="R71" s="21"/>
      <c r="S71" s="21"/>
      <c r="T71" s="21"/>
      <c r="U71" s="21"/>
      <c r="V71" s="21"/>
      <c r="W71" s="21"/>
    </row>
    <row r="72" spans="1:23" x14ac:dyDescent="0.2">
      <c r="A72" s="20" t="str">
        <f t="shared" si="2"/>
        <v/>
      </c>
      <c r="B72" s="21"/>
      <c r="C72" s="22"/>
      <c r="D72" s="21"/>
      <c r="E72" s="22"/>
      <c r="F72" s="22"/>
      <c r="G72" s="22"/>
      <c r="H72" s="22"/>
      <c r="I72" s="22"/>
      <c r="J72" s="22"/>
      <c r="K72" s="22"/>
      <c r="L72" s="22"/>
      <c r="M72" s="22"/>
      <c r="N72" s="21"/>
      <c r="O72" s="21"/>
      <c r="P72" s="21"/>
      <c r="Q72" s="21"/>
      <c r="R72" s="21"/>
      <c r="S72" s="21"/>
      <c r="T72" s="21"/>
      <c r="U72" s="21"/>
      <c r="V72" s="21"/>
      <c r="W72" s="21"/>
    </row>
    <row r="73" spans="1:23" x14ac:dyDescent="0.2">
      <c r="A73" s="20" t="str">
        <f t="shared" si="2"/>
        <v/>
      </c>
      <c r="B73" s="21"/>
      <c r="C73" s="22"/>
      <c r="D73" s="21"/>
      <c r="E73" s="22"/>
      <c r="F73" s="22"/>
      <c r="G73" s="22"/>
      <c r="H73" s="22"/>
      <c r="I73" s="22"/>
      <c r="J73" s="22"/>
      <c r="K73" s="22"/>
      <c r="L73" s="22"/>
      <c r="M73" s="22"/>
      <c r="N73" s="21"/>
      <c r="O73" s="21"/>
      <c r="P73" s="21"/>
      <c r="Q73" s="21"/>
      <c r="R73" s="21"/>
      <c r="S73" s="21"/>
      <c r="T73" s="21"/>
      <c r="U73" s="21"/>
      <c r="V73" s="21"/>
      <c r="W73" s="21"/>
    </row>
    <row r="74" spans="1:23" x14ac:dyDescent="0.2">
      <c r="A74" s="20" t="str">
        <f t="shared" si="2"/>
        <v/>
      </c>
      <c r="B74" s="21"/>
      <c r="C74" s="22"/>
      <c r="D74" s="21"/>
      <c r="E74" s="22"/>
      <c r="F74" s="22"/>
      <c r="G74" s="22"/>
      <c r="H74" s="22"/>
      <c r="I74" s="22"/>
      <c r="J74" s="22"/>
      <c r="K74" s="22"/>
      <c r="L74" s="22"/>
      <c r="M74" s="22"/>
      <c r="N74" s="21"/>
      <c r="O74" s="21"/>
      <c r="P74" s="21"/>
      <c r="Q74" s="21"/>
      <c r="R74" s="21"/>
      <c r="S74" s="21"/>
      <c r="T74" s="21"/>
      <c r="U74" s="21"/>
      <c r="V74" s="21"/>
      <c r="W74" s="21"/>
    </row>
    <row r="75" spans="1:23" x14ac:dyDescent="0.2">
      <c r="A75" s="20" t="str">
        <f t="shared" si="2"/>
        <v/>
      </c>
      <c r="B75" s="21"/>
      <c r="C75" s="22"/>
      <c r="D75" s="21"/>
      <c r="E75" s="22"/>
      <c r="F75" s="22"/>
      <c r="G75" s="22"/>
      <c r="H75" s="22"/>
      <c r="I75" s="22"/>
      <c r="J75" s="22"/>
      <c r="K75" s="22"/>
      <c r="L75" s="22"/>
      <c r="M75" s="22"/>
      <c r="N75" s="21"/>
      <c r="O75" s="21"/>
      <c r="P75" s="21"/>
      <c r="Q75" s="21"/>
      <c r="R75" s="21"/>
      <c r="S75" s="21"/>
      <c r="T75" s="21"/>
      <c r="U75" s="21"/>
      <c r="V75" s="21"/>
      <c r="W75" s="21"/>
    </row>
    <row r="76" spans="1:23" x14ac:dyDescent="0.2">
      <c r="A76" s="20" t="str">
        <f t="shared" si="2"/>
        <v/>
      </c>
      <c r="B76" s="21"/>
      <c r="C76" s="22"/>
      <c r="D76" s="21"/>
      <c r="E76" s="22"/>
      <c r="F76" s="22"/>
      <c r="G76" s="22"/>
      <c r="H76" s="22"/>
      <c r="I76" s="22"/>
      <c r="J76" s="22"/>
      <c r="K76" s="22"/>
      <c r="L76" s="22"/>
      <c r="M76" s="22"/>
      <c r="N76" s="21"/>
      <c r="O76" s="21"/>
      <c r="P76" s="21"/>
      <c r="Q76" s="21"/>
      <c r="R76" s="21"/>
      <c r="S76" s="21"/>
      <c r="T76" s="21"/>
      <c r="U76" s="21"/>
      <c r="V76" s="21"/>
      <c r="W76" s="21"/>
    </row>
    <row r="77" spans="1:23" x14ac:dyDescent="0.2">
      <c r="A77" s="20" t="str">
        <f t="shared" si="2"/>
        <v/>
      </c>
      <c r="B77" s="21"/>
      <c r="C77" s="22"/>
      <c r="D77" s="21"/>
      <c r="E77" s="22"/>
      <c r="F77" s="22"/>
      <c r="G77" s="22"/>
      <c r="H77" s="22"/>
      <c r="I77" s="22"/>
      <c r="J77" s="22"/>
      <c r="K77" s="22"/>
      <c r="L77" s="22"/>
      <c r="M77" s="22"/>
      <c r="N77" s="21"/>
      <c r="O77" s="21"/>
      <c r="P77" s="21"/>
      <c r="Q77" s="21"/>
      <c r="R77" s="21"/>
      <c r="S77" s="21"/>
      <c r="T77" s="21"/>
      <c r="U77" s="21"/>
      <c r="V77" s="21"/>
      <c r="W77" s="21"/>
    </row>
    <row r="78" spans="1:23" x14ac:dyDescent="0.2">
      <c r="A78" s="20" t="str">
        <f t="shared" si="2"/>
        <v/>
      </c>
      <c r="B78" s="21"/>
      <c r="C78" s="22"/>
      <c r="D78" s="21"/>
      <c r="E78" s="22"/>
      <c r="F78" s="22"/>
      <c r="G78" s="22"/>
      <c r="H78" s="22"/>
      <c r="I78" s="22"/>
      <c r="J78" s="22"/>
      <c r="K78" s="22"/>
      <c r="L78" s="22"/>
      <c r="M78" s="22"/>
      <c r="N78" s="21"/>
      <c r="O78" s="21"/>
      <c r="P78" s="21"/>
      <c r="Q78" s="21"/>
      <c r="R78" s="21"/>
      <c r="S78" s="21"/>
      <c r="T78" s="21"/>
      <c r="U78" s="21"/>
      <c r="V78" s="21"/>
      <c r="W78" s="21"/>
    </row>
    <row r="79" spans="1:23" x14ac:dyDescent="0.2">
      <c r="A79" s="20" t="str">
        <f t="shared" si="2"/>
        <v/>
      </c>
      <c r="B79" s="21"/>
      <c r="C79" s="22"/>
      <c r="D79" s="21"/>
      <c r="E79" s="22"/>
      <c r="F79" s="22"/>
      <c r="G79" s="22"/>
      <c r="H79" s="22"/>
      <c r="I79" s="22"/>
      <c r="J79" s="22"/>
      <c r="K79" s="22"/>
      <c r="L79" s="22"/>
      <c r="M79" s="22"/>
      <c r="N79" s="21"/>
      <c r="O79" s="21"/>
      <c r="P79" s="21"/>
      <c r="Q79" s="21"/>
      <c r="R79" s="21"/>
      <c r="S79" s="21"/>
      <c r="T79" s="21"/>
      <c r="U79" s="21"/>
      <c r="V79" s="21"/>
      <c r="W79" s="21"/>
    </row>
    <row r="80" spans="1:23" x14ac:dyDescent="0.2">
      <c r="A80" s="20" t="str">
        <f t="shared" si="2"/>
        <v/>
      </c>
      <c r="B80" s="21"/>
      <c r="C80" s="22"/>
      <c r="D80" s="21"/>
      <c r="E80" s="22"/>
      <c r="F80" s="22"/>
      <c r="G80" s="22"/>
      <c r="H80" s="22"/>
      <c r="I80" s="22"/>
      <c r="J80" s="22"/>
      <c r="K80" s="22"/>
      <c r="L80" s="22"/>
      <c r="M80" s="22"/>
      <c r="N80" s="21"/>
      <c r="O80" s="21"/>
      <c r="P80" s="21"/>
      <c r="Q80" s="21"/>
      <c r="R80" s="21"/>
      <c r="S80" s="21"/>
      <c r="T80" s="21"/>
      <c r="U80" s="21"/>
      <c r="V80" s="21"/>
      <c r="W80" s="21"/>
    </row>
    <row r="81" spans="1:23" x14ac:dyDescent="0.2">
      <c r="A81" s="20" t="str">
        <f t="shared" si="2"/>
        <v/>
      </c>
      <c r="B81" s="21"/>
      <c r="C81" s="22"/>
      <c r="D81" s="21"/>
      <c r="E81" s="22"/>
      <c r="F81" s="22"/>
      <c r="G81" s="22"/>
      <c r="H81" s="22"/>
      <c r="I81" s="22"/>
      <c r="J81" s="22"/>
      <c r="K81" s="22"/>
      <c r="L81" s="22"/>
      <c r="M81" s="22"/>
      <c r="N81" s="21"/>
      <c r="O81" s="21"/>
      <c r="P81" s="21"/>
      <c r="Q81" s="21"/>
      <c r="R81" s="21"/>
      <c r="S81" s="21"/>
      <c r="T81" s="21"/>
      <c r="U81" s="21"/>
      <c r="V81" s="21"/>
      <c r="W81" s="21"/>
    </row>
    <row r="82" spans="1:23"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21"/>
    </row>
    <row r="83" spans="1:23"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21"/>
    </row>
    <row r="84" spans="1:23"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21"/>
    </row>
    <row r="85" spans="1:23"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21"/>
    </row>
    <row r="86" spans="1:23"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21"/>
    </row>
    <row r="87" spans="1:23"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21"/>
    </row>
    <row r="88" spans="1:23"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21"/>
    </row>
    <row r="89" spans="1:23"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21"/>
    </row>
    <row r="90" spans="1:23"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21"/>
    </row>
    <row r="91" spans="1:23"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21"/>
    </row>
    <row r="92" spans="1:23"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21"/>
    </row>
    <row r="93" spans="1:23"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21"/>
    </row>
    <row r="94" spans="1:23"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21"/>
    </row>
    <row r="95" spans="1:23"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21"/>
    </row>
    <row r="96" spans="1:23"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21"/>
    </row>
    <row r="97" spans="1:23"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21"/>
    </row>
    <row r="98" spans="1:23" x14ac:dyDescent="0.2">
      <c r="A98" s="20" t="str">
        <f t="shared" ref="A98:A129" si="3">IF(OR(D98&lt;&gt;"", B98&lt;&gt;""), ROW()-1, "")</f>
        <v/>
      </c>
      <c r="B98" s="21"/>
      <c r="C98" s="22"/>
      <c r="D98" s="21"/>
      <c r="E98" s="22"/>
      <c r="F98" s="22"/>
      <c r="G98" s="22"/>
      <c r="H98" s="22"/>
      <c r="I98" s="22"/>
      <c r="J98" s="22"/>
      <c r="K98" s="22"/>
      <c r="L98" s="22"/>
      <c r="M98" s="22"/>
      <c r="N98" s="21"/>
      <c r="O98" s="21"/>
      <c r="P98" s="21"/>
      <c r="Q98" s="21"/>
      <c r="R98" s="21"/>
      <c r="S98" s="21"/>
      <c r="T98" s="21"/>
      <c r="U98" s="21"/>
      <c r="V98" s="21"/>
      <c r="W98" s="21"/>
    </row>
    <row r="99" spans="1:23" x14ac:dyDescent="0.2">
      <c r="A99" s="20" t="str">
        <f t="shared" si="3"/>
        <v/>
      </c>
      <c r="B99" s="21"/>
      <c r="C99" s="22"/>
      <c r="D99" s="21"/>
      <c r="E99" s="22"/>
      <c r="F99" s="22"/>
      <c r="G99" s="22"/>
      <c r="H99" s="22"/>
      <c r="I99" s="22"/>
      <c r="J99" s="22"/>
      <c r="K99" s="22"/>
      <c r="L99" s="22"/>
      <c r="M99" s="22"/>
      <c r="N99" s="21"/>
      <c r="O99" s="21"/>
      <c r="P99" s="21"/>
      <c r="Q99" s="21"/>
      <c r="R99" s="21"/>
      <c r="S99" s="21"/>
      <c r="T99" s="21"/>
      <c r="U99" s="21"/>
      <c r="V99" s="21"/>
      <c r="W99" s="21"/>
    </row>
    <row r="100" spans="1:23" x14ac:dyDescent="0.2">
      <c r="A100" s="20" t="str">
        <f t="shared" si="3"/>
        <v/>
      </c>
      <c r="B100" s="21"/>
      <c r="C100" s="22"/>
      <c r="D100" s="21"/>
      <c r="E100" s="22"/>
      <c r="F100" s="22"/>
      <c r="G100" s="22"/>
      <c r="H100" s="22"/>
      <c r="I100" s="22"/>
      <c r="J100" s="22"/>
      <c r="K100" s="22"/>
      <c r="L100" s="22"/>
      <c r="M100" s="22"/>
      <c r="N100" s="21"/>
      <c r="O100" s="21"/>
      <c r="P100" s="21"/>
      <c r="Q100" s="21"/>
      <c r="R100" s="21"/>
      <c r="S100" s="21"/>
      <c r="T100" s="21"/>
      <c r="U100" s="21"/>
      <c r="V100" s="21"/>
      <c r="W100" s="21"/>
    </row>
    <row r="101" spans="1:23" x14ac:dyDescent="0.2">
      <c r="A101" s="20" t="str">
        <f t="shared" si="3"/>
        <v/>
      </c>
      <c r="B101" s="21"/>
      <c r="C101" s="22"/>
      <c r="D101" s="21"/>
      <c r="E101" s="22"/>
      <c r="F101" s="22"/>
      <c r="G101" s="22"/>
      <c r="H101" s="22"/>
      <c r="I101" s="22"/>
      <c r="J101" s="22"/>
      <c r="K101" s="22"/>
      <c r="L101" s="22"/>
      <c r="M101" s="22"/>
      <c r="N101" s="21"/>
      <c r="O101" s="21"/>
      <c r="P101" s="21"/>
      <c r="Q101" s="21"/>
      <c r="R101" s="21"/>
      <c r="S101" s="21"/>
      <c r="T101" s="21"/>
      <c r="U101" s="21"/>
      <c r="V101" s="21"/>
      <c r="W101" s="21"/>
    </row>
    <row r="102" spans="1:23" x14ac:dyDescent="0.2">
      <c r="A102" s="20" t="str">
        <f t="shared" si="3"/>
        <v/>
      </c>
      <c r="B102" s="21"/>
      <c r="C102" s="22"/>
      <c r="D102" s="21"/>
      <c r="E102" s="22"/>
      <c r="F102" s="22"/>
      <c r="G102" s="22"/>
      <c r="H102" s="22"/>
      <c r="I102" s="22"/>
      <c r="J102" s="22"/>
      <c r="K102" s="22"/>
      <c r="L102" s="22"/>
      <c r="M102" s="22"/>
      <c r="N102" s="21"/>
      <c r="O102" s="21"/>
      <c r="P102" s="21"/>
      <c r="Q102" s="21"/>
      <c r="R102" s="21"/>
      <c r="S102" s="21"/>
      <c r="T102" s="21"/>
      <c r="U102" s="21"/>
      <c r="V102" s="21"/>
      <c r="W102" s="21"/>
    </row>
    <row r="103" spans="1:23" x14ac:dyDescent="0.2">
      <c r="A103" s="20" t="str">
        <f t="shared" si="3"/>
        <v/>
      </c>
      <c r="B103" s="21"/>
      <c r="C103" s="22"/>
      <c r="D103" s="21"/>
      <c r="E103" s="22"/>
      <c r="F103" s="22"/>
      <c r="G103" s="22"/>
      <c r="H103" s="22"/>
      <c r="I103" s="22"/>
      <c r="J103" s="22"/>
      <c r="K103" s="22"/>
      <c r="L103" s="22"/>
      <c r="M103" s="22"/>
      <c r="N103" s="21"/>
      <c r="O103" s="21"/>
      <c r="P103" s="21"/>
      <c r="Q103" s="21"/>
      <c r="R103" s="21"/>
      <c r="S103" s="21"/>
      <c r="T103" s="21"/>
      <c r="U103" s="21"/>
      <c r="V103" s="21"/>
      <c r="W103" s="21"/>
    </row>
    <row r="104" spans="1:23" x14ac:dyDescent="0.2">
      <c r="A104" s="20" t="str">
        <f t="shared" si="3"/>
        <v/>
      </c>
      <c r="B104" s="21"/>
      <c r="C104" s="22"/>
      <c r="D104" s="21"/>
      <c r="E104" s="22"/>
      <c r="F104" s="22"/>
      <c r="G104" s="22"/>
      <c r="H104" s="22"/>
      <c r="I104" s="22"/>
      <c r="J104" s="22"/>
      <c r="K104" s="22"/>
      <c r="L104" s="22"/>
      <c r="M104" s="22"/>
      <c r="N104" s="21"/>
      <c r="O104" s="21"/>
      <c r="P104" s="21"/>
      <c r="Q104" s="21"/>
      <c r="R104" s="21"/>
      <c r="S104" s="21"/>
      <c r="T104" s="21"/>
      <c r="U104" s="21"/>
      <c r="V104" s="21"/>
      <c r="W104" s="21"/>
    </row>
    <row r="105" spans="1:23" x14ac:dyDescent="0.2">
      <c r="A105" s="20" t="str">
        <f t="shared" si="3"/>
        <v/>
      </c>
      <c r="B105" s="21"/>
      <c r="C105" s="22"/>
      <c r="D105" s="21"/>
      <c r="E105" s="22"/>
      <c r="F105" s="22"/>
      <c r="G105" s="22"/>
      <c r="H105" s="22"/>
      <c r="I105" s="22"/>
      <c r="J105" s="22"/>
      <c r="K105" s="22"/>
      <c r="L105" s="22"/>
      <c r="M105" s="22"/>
      <c r="N105" s="21"/>
      <c r="O105" s="21"/>
      <c r="P105" s="21"/>
      <c r="Q105" s="21"/>
      <c r="R105" s="21"/>
      <c r="S105" s="21"/>
      <c r="T105" s="21"/>
      <c r="U105" s="21"/>
      <c r="V105" s="21"/>
      <c r="W105" s="21"/>
    </row>
    <row r="106" spans="1:23" x14ac:dyDescent="0.2">
      <c r="A106" s="20" t="str">
        <f t="shared" si="3"/>
        <v/>
      </c>
      <c r="B106" s="21"/>
      <c r="C106" s="22"/>
      <c r="D106" s="21"/>
      <c r="E106" s="22"/>
      <c r="F106" s="22"/>
      <c r="G106" s="22"/>
      <c r="H106" s="22"/>
      <c r="I106" s="22"/>
      <c r="J106" s="22"/>
      <c r="K106" s="22"/>
      <c r="L106" s="22"/>
      <c r="M106" s="22"/>
      <c r="N106" s="21"/>
      <c r="O106" s="21"/>
      <c r="P106" s="21"/>
      <c r="Q106" s="21"/>
      <c r="R106" s="21"/>
      <c r="S106" s="21"/>
      <c r="T106" s="21"/>
      <c r="U106" s="21"/>
      <c r="V106" s="21"/>
      <c r="W106" s="21"/>
    </row>
    <row r="107" spans="1:23" x14ac:dyDescent="0.2">
      <c r="A107" s="20" t="str">
        <f t="shared" si="3"/>
        <v/>
      </c>
      <c r="B107" s="21"/>
      <c r="C107" s="22"/>
      <c r="D107" s="21"/>
      <c r="E107" s="22"/>
      <c r="F107" s="22"/>
      <c r="G107" s="22"/>
      <c r="H107" s="22"/>
      <c r="I107" s="22"/>
      <c r="J107" s="22"/>
      <c r="K107" s="22"/>
      <c r="L107" s="22"/>
      <c r="M107" s="22"/>
      <c r="N107" s="21"/>
      <c r="O107" s="21"/>
      <c r="P107" s="21"/>
      <c r="Q107" s="21"/>
      <c r="R107" s="21"/>
      <c r="S107" s="21"/>
      <c r="T107" s="21"/>
      <c r="U107" s="21"/>
      <c r="V107" s="21"/>
      <c r="W107" s="21"/>
    </row>
    <row r="108" spans="1:23" x14ac:dyDescent="0.2">
      <c r="A108" s="20" t="str">
        <f t="shared" si="3"/>
        <v/>
      </c>
      <c r="B108" s="21"/>
      <c r="C108" s="22"/>
      <c r="D108" s="21"/>
      <c r="E108" s="22"/>
      <c r="F108" s="22"/>
      <c r="G108" s="22"/>
      <c r="H108" s="22"/>
      <c r="I108" s="22"/>
      <c r="J108" s="22"/>
      <c r="K108" s="22"/>
      <c r="L108" s="22"/>
      <c r="M108" s="22"/>
      <c r="N108" s="21"/>
      <c r="O108" s="21"/>
      <c r="P108" s="21"/>
      <c r="Q108" s="21"/>
      <c r="R108" s="21"/>
      <c r="S108" s="21"/>
      <c r="T108" s="21"/>
      <c r="U108" s="21"/>
      <c r="V108" s="21"/>
      <c r="W108" s="21"/>
    </row>
    <row r="109" spans="1:23" x14ac:dyDescent="0.2">
      <c r="A109" s="20" t="str">
        <f t="shared" si="3"/>
        <v/>
      </c>
      <c r="B109" s="21"/>
      <c r="C109" s="22"/>
      <c r="D109" s="21"/>
      <c r="E109" s="22"/>
      <c r="F109" s="22"/>
      <c r="G109" s="22"/>
      <c r="H109" s="22"/>
      <c r="I109" s="22"/>
      <c r="J109" s="22"/>
      <c r="K109" s="22"/>
      <c r="L109" s="22"/>
      <c r="M109" s="22"/>
      <c r="N109" s="21"/>
      <c r="O109" s="21"/>
      <c r="P109" s="21"/>
      <c r="Q109" s="21"/>
      <c r="R109" s="21"/>
      <c r="S109" s="21"/>
      <c r="T109" s="21"/>
      <c r="U109" s="21"/>
      <c r="V109" s="21"/>
      <c r="W109" s="21"/>
    </row>
    <row r="110" spans="1:23" x14ac:dyDescent="0.2">
      <c r="A110" s="20" t="str">
        <f t="shared" si="3"/>
        <v/>
      </c>
      <c r="B110" s="21"/>
      <c r="C110" s="22"/>
      <c r="D110" s="21"/>
      <c r="E110" s="22"/>
      <c r="F110" s="22"/>
      <c r="G110" s="22"/>
      <c r="H110" s="22"/>
      <c r="I110" s="22"/>
      <c r="J110" s="22"/>
      <c r="K110" s="22"/>
      <c r="L110" s="22"/>
      <c r="M110" s="22"/>
      <c r="N110" s="21"/>
      <c r="O110" s="21"/>
      <c r="P110" s="21"/>
      <c r="Q110" s="21"/>
      <c r="R110" s="21"/>
      <c r="S110" s="21"/>
      <c r="T110" s="21"/>
      <c r="U110" s="21"/>
      <c r="V110" s="21"/>
      <c r="W110" s="21"/>
    </row>
    <row r="111" spans="1:23" x14ac:dyDescent="0.2">
      <c r="A111" s="20" t="str">
        <f t="shared" si="3"/>
        <v/>
      </c>
      <c r="B111" s="21"/>
      <c r="C111" s="22"/>
      <c r="D111" s="21"/>
      <c r="E111" s="22"/>
      <c r="F111" s="22"/>
      <c r="G111" s="22"/>
      <c r="H111" s="22"/>
      <c r="I111" s="22"/>
      <c r="J111" s="22"/>
      <c r="K111" s="22"/>
      <c r="L111" s="22"/>
      <c r="M111" s="22"/>
      <c r="N111" s="21"/>
      <c r="O111" s="21"/>
      <c r="P111" s="21"/>
      <c r="Q111" s="21"/>
      <c r="R111" s="21"/>
      <c r="S111" s="21"/>
      <c r="T111" s="21"/>
      <c r="U111" s="21"/>
      <c r="V111" s="21"/>
      <c r="W111" s="21"/>
    </row>
    <row r="112" spans="1:23" x14ac:dyDescent="0.2">
      <c r="A112" s="20" t="str">
        <f t="shared" si="3"/>
        <v/>
      </c>
      <c r="B112" s="21"/>
      <c r="C112" s="22"/>
      <c r="D112" s="21"/>
      <c r="E112" s="22"/>
      <c r="F112" s="22"/>
      <c r="G112" s="22"/>
      <c r="H112" s="22"/>
      <c r="I112" s="22"/>
      <c r="J112" s="22"/>
      <c r="K112" s="22"/>
      <c r="L112" s="22"/>
      <c r="M112" s="22"/>
      <c r="N112" s="21"/>
      <c r="O112" s="21"/>
      <c r="P112" s="21"/>
      <c r="Q112" s="21"/>
      <c r="R112" s="21"/>
      <c r="S112" s="21"/>
      <c r="T112" s="21"/>
      <c r="U112" s="21"/>
      <c r="V112" s="21"/>
      <c r="W112" s="21"/>
    </row>
    <row r="113" spans="1:23" x14ac:dyDescent="0.2">
      <c r="A113" s="20" t="str">
        <f t="shared" si="3"/>
        <v/>
      </c>
      <c r="B113" s="21"/>
      <c r="C113" s="22"/>
      <c r="D113" s="21"/>
      <c r="E113" s="22"/>
      <c r="F113" s="22"/>
      <c r="G113" s="22"/>
      <c r="H113" s="22"/>
      <c r="I113" s="22"/>
      <c r="J113" s="22"/>
      <c r="K113" s="22"/>
      <c r="L113" s="22"/>
      <c r="M113" s="22"/>
      <c r="N113" s="21"/>
      <c r="O113" s="21"/>
      <c r="P113" s="21"/>
      <c r="Q113" s="21"/>
      <c r="R113" s="21"/>
      <c r="S113" s="21"/>
      <c r="T113" s="21"/>
      <c r="U113" s="21"/>
      <c r="V113" s="21"/>
      <c r="W113" s="21"/>
    </row>
    <row r="114" spans="1:23" x14ac:dyDescent="0.2">
      <c r="A114" s="20" t="str">
        <f t="shared" si="3"/>
        <v/>
      </c>
      <c r="B114" s="21"/>
      <c r="C114" s="22"/>
      <c r="D114" s="21"/>
      <c r="E114" s="22"/>
      <c r="F114" s="22"/>
      <c r="G114" s="22"/>
      <c r="H114" s="22"/>
      <c r="I114" s="22"/>
      <c r="J114" s="22"/>
      <c r="K114" s="22"/>
      <c r="L114" s="22"/>
      <c r="M114" s="22"/>
      <c r="N114" s="21"/>
      <c r="O114" s="21"/>
      <c r="P114" s="21"/>
      <c r="Q114" s="21"/>
      <c r="R114" s="21"/>
      <c r="S114" s="21"/>
      <c r="T114" s="21"/>
      <c r="U114" s="21"/>
      <c r="V114" s="21"/>
      <c r="W114" s="21"/>
    </row>
    <row r="115" spans="1:23" x14ac:dyDescent="0.2">
      <c r="A115" s="20" t="str">
        <f t="shared" si="3"/>
        <v/>
      </c>
      <c r="B115" s="21"/>
      <c r="C115" s="22"/>
      <c r="D115" s="21"/>
      <c r="E115" s="22"/>
      <c r="F115" s="22"/>
      <c r="G115" s="22"/>
      <c r="H115" s="22"/>
      <c r="I115" s="22"/>
      <c r="J115" s="22"/>
      <c r="K115" s="22"/>
      <c r="L115" s="22"/>
      <c r="M115" s="22"/>
      <c r="N115" s="21"/>
      <c r="O115" s="21"/>
      <c r="P115" s="21"/>
      <c r="Q115" s="21"/>
      <c r="R115" s="21"/>
      <c r="S115" s="21"/>
      <c r="T115" s="21"/>
      <c r="U115" s="21"/>
      <c r="V115" s="21"/>
      <c r="W115" s="21"/>
    </row>
    <row r="116" spans="1:23" x14ac:dyDescent="0.2">
      <c r="A116" s="20" t="str">
        <f t="shared" si="3"/>
        <v/>
      </c>
      <c r="B116" s="21"/>
      <c r="C116" s="22"/>
      <c r="D116" s="21"/>
      <c r="E116" s="22"/>
      <c r="F116" s="22"/>
      <c r="G116" s="22"/>
      <c r="H116" s="22"/>
      <c r="I116" s="22"/>
      <c r="J116" s="22"/>
      <c r="K116" s="22"/>
      <c r="L116" s="22"/>
      <c r="M116" s="22"/>
      <c r="N116" s="21"/>
      <c r="O116" s="21"/>
      <c r="P116" s="21"/>
      <c r="Q116" s="21"/>
      <c r="R116" s="21"/>
      <c r="S116" s="21"/>
      <c r="T116" s="21"/>
      <c r="U116" s="21"/>
      <c r="V116" s="21"/>
      <c r="W116" s="21"/>
    </row>
    <row r="117" spans="1:23"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21"/>
    </row>
    <row r="118" spans="1:23"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21"/>
    </row>
    <row r="119" spans="1:23"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21"/>
    </row>
    <row r="120" spans="1:23"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21"/>
    </row>
    <row r="121" spans="1:23"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21"/>
    </row>
    <row r="122" spans="1:23"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21"/>
    </row>
    <row r="123" spans="1:23"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21"/>
    </row>
    <row r="124" spans="1:23"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21"/>
    </row>
    <row r="125" spans="1:23"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21"/>
    </row>
    <row r="126" spans="1:23" x14ac:dyDescent="0.2">
      <c r="A126" s="20" t="str">
        <f t="shared" si="3"/>
        <v/>
      </c>
      <c r="B126" s="21"/>
      <c r="C126" s="22"/>
      <c r="D126" s="21"/>
      <c r="E126" s="22"/>
      <c r="F126" s="22"/>
      <c r="G126" s="22"/>
      <c r="H126" s="22"/>
      <c r="I126" s="22"/>
      <c r="J126" s="22"/>
      <c r="K126" s="22"/>
      <c r="L126" s="22"/>
      <c r="M126" s="22"/>
      <c r="N126" s="21"/>
      <c r="O126" s="21"/>
      <c r="P126" s="21"/>
      <c r="Q126" s="21"/>
      <c r="R126" s="21"/>
      <c r="S126" s="21"/>
      <c r="T126" s="21"/>
      <c r="U126" s="21"/>
      <c r="V126" s="21"/>
      <c r="W126" s="21"/>
    </row>
    <row r="127" spans="1:23" x14ac:dyDescent="0.2">
      <c r="A127" s="20" t="str">
        <f t="shared" si="3"/>
        <v/>
      </c>
      <c r="B127" s="21"/>
      <c r="C127" s="22"/>
      <c r="D127" s="21"/>
      <c r="E127" s="22"/>
      <c r="F127" s="22"/>
      <c r="G127" s="22"/>
      <c r="H127" s="22"/>
      <c r="I127" s="22"/>
      <c r="J127" s="22"/>
      <c r="K127" s="22"/>
      <c r="L127" s="22"/>
      <c r="M127" s="22"/>
      <c r="N127" s="21"/>
      <c r="O127" s="21"/>
      <c r="P127" s="21"/>
      <c r="Q127" s="21"/>
      <c r="R127" s="21"/>
      <c r="S127" s="21"/>
      <c r="T127" s="21"/>
      <c r="U127" s="21"/>
      <c r="V127" s="21"/>
      <c r="W127" s="21"/>
    </row>
    <row r="128" spans="1:23" x14ac:dyDescent="0.2">
      <c r="A128" s="20" t="str">
        <f t="shared" si="3"/>
        <v/>
      </c>
      <c r="B128" s="21"/>
      <c r="C128" s="22"/>
      <c r="D128" s="21"/>
      <c r="E128" s="22"/>
      <c r="F128" s="22"/>
      <c r="G128" s="22"/>
      <c r="H128" s="22"/>
      <c r="I128" s="22"/>
      <c r="J128" s="22"/>
      <c r="K128" s="22"/>
      <c r="L128" s="22"/>
      <c r="M128" s="22"/>
      <c r="N128" s="21"/>
      <c r="O128" s="21"/>
      <c r="P128" s="21"/>
      <c r="Q128" s="21"/>
      <c r="R128" s="21"/>
      <c r="S128" s="21"/>
      <c r="T128" s="21"/>
      <c r="U128" s="21"/>
      <c r="V128" s="21"/>
      <c r="W128" s="21"/>
    </row>
    <row r="129" spans="1:23" x14ac:dyDescent="0.2">
      <c r="A129" s="20" t="str">
        <f t="shared" si="3"/>
        <v/>
      </c>
      <c r="B129" s="21"/>
      <c r="C129" s="22"/>
      <c r="D129" s="21"/>
      <c r="E129" s="22"/>
      <c r="F129" s="22"/>
      <c r="G129" s="22"/>
      <c r="H129" s="22"/>
      <c r="I129" s="22"/>
      <c r="J129" s="22"/>
      <c r="K129" s="22"/>
      <c r="L129" s="22"/>
      <c r="M129" s="22"/>
      <c r="N129" s="21"/>
      <c r="O129" s="21"/>
      <c r="P129" s="21"/>
      <c r="Q129" s="21"/>
      <c r="R129" s="21"/>
      <c r="S129" s="21"/>
      <c r="T129" s="21"/>
      <c r="U129" s="21"/>
      <c r="V129" s="21"/>
      <c r="W129" s="21"/>
    </row>
    <row r="130" spans="1:23" x14ac:dyDescent="0.2">
      <c r="A130" s="20" t="str">
        <f t="shared" ref="A130:A150" si="4">IF(OR(D130&lt;&gt;"", B130&lt;&gt;""), ROW()-1, "")</f>
        <v/>
      </c>
      <c r="B130" s="21"/>
      <c r="C130" s="22"/>
      <c r="D130" s="21"/>
      <c r="E130" s="22"/>
      <c r="F130" s="22"/>
      <c r="G130" s="22"/>
      <c r="H130" s="22"/>
      <c r="I130" s="22"/>
      <c r="J130" s="22"/>
      <c r="K130" s="22"/>
      <c r="L130" s="22"/>
      <c r="M130" s="22"/>
      <c r="N130" s="21"/>
      <c r="O130" s="21"/>
      <c r="P130" s="21"/>
      <c r="Q130" s="21"/>
      <c r="R130" s="21"/>
      <c r="S130" s="21"/>
      <c r="T130" s="21"/>
      <c r="U130" s="21"/>
      <c r="V130" s="21"/>
      <c r="W130" s="21"/>
    </row>
    <row r="131" spans="1:23" x14ac:dyDescent="0.2">
      <c r="A131" s="20" t="str">
        <f t="shared" si="4"/>
        <v/>
      </c>
      <c r="B131" s="21"/>
      <c r="C131" s="22"/>
      <c r="D131" s="21"/>
      <c r="E131" s="22"/>
      <c r="F131" s="22"/>
      <c r="G131" s="22"/>
      <c r="H131" s="22"/>
      <c r="I131" s="22"/>
      <c r="J131" s="22"/>
      <c r="K131" s="22"/>
      <c r="L131" s="22"/>
      <c r="M131" s="22"/>
      <c r="N131" s="21"/>
      <c r="O131" s="21"/>
      <c r="P131" s="21"/>
      <c r="Q131" s="21"/>
      <c r="R131" s="21"/>
      <c r="S131" s="21"/>
      <c r="T131" s="21"/>
      <c r="U131" s="21"/>
      <c r="V131" s="21"/>
      <c r="W131" s="21"/>
    </row>
    <row r="132" spans="1:23" x14ac:dyDescent="0.2">
      <c r="A132" s="20" t="str">
        <f t="shared" si="4"/>
        <v/>
      </c>
      <c r="B132" s="21"/>
      <c r="C132" s="22"/>
      <c r="D132" s="21"/>
      <c r="E132" s="22"/>
      <c r="F132" s="22"/>
      <c r="G132" s="22"/>
      <c r="H132" s="22"/>
      <c r="I132" s="22"/>
      <c r="J132" s="22"/>
      <c r="K132" s="22"/>
      <c r="L132" s="22"/>
      <c r="M132" s="22"/>
      <c r="N132" s="21"/>
      <c r="O132" s="21"/>
      <c r="P132" s="21"/>
      <c r="Q132" s="21"/>
      <c r="R132" s="21"/>
      <c r="S132" s="21"/>
      <c r="T132" s="21"/>
      <c r="U132" s="21"/>
      <c r="V132" s="21"/>
      <c r="W132" s="21"/>
    </row>
    <row r="133" spans="1:23" x14ac:dyDescent="0.2">
      <c r="A133" s="20" t="str">
        <f t="shared" si="4"/>
        <v/>
      </c>
      <c r="B133" s="21"/>
      <c r="C133" s="22"/>
      <c r="D133" s="21"/>
      <c r="E133" s="22"/>
      <c r="F133" s="22"/>
      <c r="G133" s="22"/>
      <c r="H133" s="22"/>
      <c r="I133" s="22"/>
      <c r="J133" s="22"/>
      <c r="K133" s="22"/>
      <c r="L133" s="22"/>
      <c r="M133" s="22"/>
      <c r="N133" s="21"/>
      <c r="O133" s="21"/>
      <c r="P133" s="21"/>
      <c r="Q133" s="21"/>
      <c r="R133" s="21"/>
      <c r="S133" s="21"/>
      <c r="T133" s="21"/>
      <c r="U133" s="21"/>
      <c r="V133" s="21"/>
      <c r="W133" s="21"/>
    </row>
    <row r="134" spans="1:23" x14ac:dyDescent="0.2">
      <c r="A134" s="20" t="str">
        <f t="shared" si="4"/>
        <v/>
      </c>
      <c r="B134" s="21"/>
      <c r="C134" s="22"/>
      <c r="D134" s="21"/>
      <c r="E134" s="22"/>
      <c r="F134" s="22"/>
      <c r="G134" s="22"/>
      <c r="H134" s="22"/>
      <c r="I134" s="22"/>
      <c r="J134" s="22"/>
      <c r="K134" s="22"/>
      <c r="L134" s="22"/>
      <c r="M134" s="22"/>
      <c r="N134" s="21"/>
      <c r="O134" s="21"/>
      <c r="P134" s="21"/>
      <c r="Q134" s="21"/>
      <c r="R134" s="21"/>
      <c r="S134" s="21"/>
      <c r="T134" s="21"/>
      <c r="U134" s="21"/>
      <c r="V134" s="21"/>
      <c r="W134" s="21"/>
    </row>
    <row r="135" spans="1:23" x14ac:dyDescent="0.2">
      <c r="A135" s="20" t="str">
        <f t="shared" si="4"/>
        <v/>
      </c>
      <c r="B135" s="21"/>
      <c r="C135" s="22"/>
      <c r="D135" s="21"/>
      <c r="E135" s="22"/>
      <c r="F135" s="22"/>
      <c r="G135" s="22"/>
      <c r="H135" s="22"/>
      <c r="I135" s="22"/>
      <c r="J135" s="22"/>
      <c r="K135" s="22"/>
      <c r="L135" s="22"/>
      <c r="M135" s="22"/>
      <c r="N135" s="21"/>
      <c r="O135" s="21"/>
      <c r="P135" s="21"/>
      <c r="Q135" s="21"/>
      <c r="R135" s="21"/>
      <c r="S135" s="21"/>
      <c r="T135" s="21"/>
      <c r="U135" s="21"/>
      <c r="V135" s="21"/>
      <c r="W135" s="21"/>
    </row>
    <row r="136" spans="1:23" x14ac:dyDescent="0.2">
      <c r="A136" s="20" t="str">
        <f t="shared" si="4"/>
        <v/>
      </c>
      <c r="B136" s="21"/>
      <c r="C136" s="22"/>
      <c r="D136" s="21"/>
      <c r="E136" s="22"/>
      <c r="F136" s="22"/>
      <c r="G136" s="22"/>
      <c r="H136" s="22"/>
      <c r="I136" s="22"/>
      <c r="J136" s="22"/>
      <c r="K136" s="22"/>
      <c r="L136" s="22"/>
      <c r="M136" s="22"/>
      <c r="N136" s="21"/>
      <c r="O136" s="21"/>
      <c r="P136" s="21"/>
      <c r="Q136" s="21"/>
      <c r="R136" s="21"/>
      <c r="S136" s="21"/>
      <c r="T136" s="21"/>
      <c r="U136" s="21"/>
      <c r="V136" s="21"/>
      <c r="W136" s="21"/>
    </row>
    <row r="137" spans="1:23" x14ac:dyDescent="0.2">
      <c r="A137" s="20" t="str">
        <f t="shared" si="4"/>
        <v/>
      </c>
      <c r="B137" s="21"/>
      <c r="C137" s="22"/>
      <c r="D137" s="21"/>
      <c r="E137" s="22"/>
      <c r="F137" s="22"/>
      <c r="G137" s="22"/>
      <c r="H137" s="22"/>
      <c r="I137" s="22"/>
      <c r="J137" s="22"/>
      <c r="K137" s="22"/>
      <c r="L137" s="22"/>
      <c r="M137" s="22"/>
      <c r="N137" s="21"/>
      <c r="O137" s="21"/>
      <c r="P137" s="21"/>
      <c r="Q137" s="21"/>
      <c r="R137" s="21"/>
      <c r="S137" s="21"/>
      <c r="T137" s="21"/>
      <c r="U137" s="21"/>
      <c r="V137" s="21"/>
      <c r="W137" s="21"/>
    </row>
    <row r="138" spans="1:23" x14ac:dyDescent="0.2">
      <c r="A138" s="20" t="str">
        <f t="shared" si="4"/>
        <v/>
      </c>
      <c r="B138" s="21"/>
      <c r="C138" s="22"/>
      <c r="D138" s="21"/>
      <c r="E138" s="22"/>
      <c r="F138" s="22"/>
      <c r="G138" s="22"/>
      <c r="H138" s="22"/>
      <c r="I138" s="22"/>
      <c r="J138" s="22"/>
      <c r="K138" s="22"/>
      <c r="L138" s="22"/>
      <c r="M138" s="22"/>
      <c r="N138" s="21"/>
      <c r="O138" s="21"/>
      <c r="P138" s="21"/>
      <c r="Q138" s="21"/>
      <c r="R138" s="21"/>
      <c r="S138" s="21"/>
      <c r="T138" s="21"/>
      <c r="U138" s="21"/>
      <c r="V138" s="21"/>
      <c r="W138" s="21"/>
    </row>
    <row r="139" spans="1:23" x14ac:dyDescent="0.2">
      <c r="A139" s="20" t="str">
        <f t="shared" si="4"/>
        <v/>
      </c>
      <c r="B139" s="21"/>
      <c r="C139" s="22"/>
      <c r="D139" s="21"/>
      <c r="E139" s="22"/>
      <c r="F139" s="22"/>
      <c r="G139" s="22"/>
      <c r="H139" s="22"/>
      <c r="I139" s="22"/>
      <c r="J139" s="22"/>
      <c r="K139" s="22"/>
      <c r="L139" s="22"/>
      <c r="M139" s="22"/>
      <c r="N139" s="21"/>
      <c r="O139" s="21"/>
      <c r="P139" s="21"/>
      <c r="Q139" s="21"/>
      <c r="R139" s="21"/>
      <c r="S139" s="21"/>
      <c r="T139" s="21"/>
      <c r="U139" s="21"/>
      <c r="V139" s="21"/>
      <c r="W139" s="21"/>
    </row>
    <row r="140" spans="1:23" x14ac:dyDescent="0.2">
      <c r="A140" s="20" t="str">
        <f t="shared" si="4"/>
        <v/>
      </c>
      <c r="B140" s="21"/>
      <c r="C140" s="22"/>
      <c r="D140" s="21"/>
      <c r="E140" s="22"/>
      <c r="F140" s="22"/>
      <c r="G140" s="22"/>
      <c r="H140" s="22"/>
      <c r="I140" s="22"/>
      <c r="J140" s="22"/>
      <c r="K140" s="22"/>
      <c r="L140" s="22"/>
      <c r="M140" s="22"/>
      <c r="N140" s="21"/>
      <c r="O140" s="21"/>
      <c r="P140" s="21"/>
      <c r="Q140" s="21"/>
      <c r="R140" s="21"/>
      <c r="S140" s="21"/>
      <c r="T140" s="21"/>
      <c r="U140" s="21"/>
      <c r="V140" s="21"/>
      <c r="W140" s="21"/>
    </row>
    <row r="141" spans="1:23" x14ac:dyDescent="0.2">
      <c r="A141" s="20" t="str">
        <f t="shared" si="4"/>
        <v/>
      </c>
      <c r="B141" s="21"/>
      <c r="C141" s="22"/>
      <c r="D141" s="21"/>
      <c r="E141" s="22"/>
      <c r="F141" s="22"/>
      <c r="G141" s="22"/>
      <c r="H141" s="22"/>
      <c r="I141" s="22"/>
      <c r="J141" s="22"/>
      <c r="K141" s="22"/>
      <c r="L141" s="22"/>
      <c r="M141" s="22"/>
      <c r="N141" s="21"/>
      <c r="O141" s="21"/>
      <c r="P141" s="21"/>
      <c r="Q141" s="21"/>
      <c r="R141" s="21"/>
      <c r="S141" s="21"/>
      <c r="T141" s="21"/>
      <c r="U141" s="21"/>
      <c r="V141" s="21"/>
      <c r="W141" s="21"/>
    </row>
    <row r="142" spans="1:23" x14ac:dyDescent="0.2">
      <c r="A142" s="20" t="str">
        <f t="shared" si="4"/>
        <v/>
      </c>
      <c r="B142" s="21"/>
      <c r="C142" s="22"/>
      <c r="D142" s="21"/>
      <c r="E142" s="22"/>
      <c r="F142" s="22"/>
      <c r="G142" s="22"/>
      <c r="H142" s="22"/>
      <c r="I142" s="22"/>
      <c r="J142" s="22"/>
      <c r="K142" s="22"/>
      <c r="L142" s="22"/>
      <c r="M142" s="22"/>
      <c r="N142" s="21"/>
      <c r="O142" s="21"/>
      <c r="P142" s="21"/>
      <c r="Q142" s="21"/>
      <c r="R142" s="21"/>
      <c r="S142" s="21"/>
      <c r="T142" s="21"/>
      <c r="U142" s="21"/>
      <c r="V142" s="21"/>
      <c r="W142" s="21"/>
    </row>
    <row r="143" spans="1:23" x14ac:dyDescent="0.2">
      <c r="A143" s="20" t="str">
        <f t="shared" si="4"/>
        <v/>
      </c>
      <c r="B143" s="21"/>
      <c r="C143" s="22"/>
      <c r="D143" s="21"/>
      <c r="E143" s="22"/>
      <c r="F143" s="22"/>
      <c r="G143" s="22"/>
      <c r="H143" s="22"/>
      <c r="I143" s="22"/>
      <c r="J143" s="22"/>
      <c r="K143" s="22"/>
      <c r="L143" s="22"/>
      <c r="M143" s="22"/>
      <c r="N143" s="21"/>
      <c r="O143" s="21"/>
      <c r="P143" s="21"/>
      <c r="Q143" s="21"/>
      <c r="R143" s="21"/>
      <c r="S143" s="21"/>
      <c r="T143" s="21"/>
      <c r="U143" s="21"/>
      <c r="V143" s="21"/>
      <c r="W143" s="21"/>
    </row>
    <row r="144" spans="1:23" x14ac:dyDescent="0.2">
      <c r="A144" s="20" t="str">
        <f t="shared" si="4"/>
        <v/>
      </c>
      <c r="B144" s="21"/>
      <c r="C144" s="22"/>
      <c r="D144" s="21"/>
      <c r="E144" s="22"/>
      <c r="F144" s="22"/>
      <c r="G144" s="22"/>
      <c r="H144" s="22"/>
      <c r="I144" s="22"/>
      <c r="J144" s="22"/>
      <c r="K144" s="22"/>
      <c r="L144" s="22"/>
      <c r="M144" s="22"/>
      <c r="N144" s="21"/>
      <c r="O144" s="21"/>
      <c r="P144" s="21"/>
      <c r="Q144" s="21"/>
      <c r="R144" s="21"/>
      <c r="S144" s="21"/>
      <c r="T144" s="21"/>
      <c r="U144" s="21"/>
      <c r="V144" s="21"/>
      <c r="W144" s="21"/>
    </row>
    <row r="145" spans="1:23" x14ac:dyDescent="0.2">
      <c r="A145" s="20" t="str">
        <f t="shared" si="4"/>
        <v/>
      </c>
      <c r="B145" s="21"/>
      <c r="C145" s="22"/>
      <c r="D145" s="21"/>
      <c r="E145" s="22"/>
      <c r="F145" s="22"/>
      <c r="G145" s="22"/>
      <c r="H145" s="22"/>
      <c r="I145" s="22"/>
      <c r="J145" s="22"/>
      <c r="K145" s="22"/>
      <c r="L145" s="22"/>
      <c r="M145" s="22"/>
      <c r="N145" s="21"/>
      <c r="O145" s="21"/>
      <c r="P145" s="21"/>
      <c r="Q145" s="21"/>
      <c r="R145" s="21"/>
      <c r="S145" s="21"/>
      <c r="T145" s="21"/>
      <c r="U145" s="21"/>
      <c r="V145" s="21"/>
      <c r="W145" s="21"/>
    </row>
    <row r="146" spans="1:23" x14ac:dyDescent="0.2">
      <c r="A146" s="20" t="str">
        <f t="shared" si="4"/>
        <v/>
      </c>
      <c r="B146" s="21"/>
      <c r="C146" s="22"/>
      <c r="D146" s="21"/>
      <c r="E146" s="22"/>
      <c r="F146" s="22"/>
      <c r="G146" s="22"/>
      <c r="H146" s="22"/>
      <c r="I146" s="22"/>
      <c r="J146" s="22"/>
      <c r="K146" s="22"/>
      <c r="L146" s="22"/>
      <c r="M146" s="22"/>
      <c r="N146" s="21"/>
      <c r="O146" s="21"/>
      <c r="P146" s="21"/>
      <c r="Q146" s="21"/>
      <c r="R146" s="21"/>
      <c r="S146" s="21"/>
      <c r="T146" s="21"/>
      <c r="U146" s="21"/>
      <c r="V146" s="21"/>
      <c r="W146" s="21"/>
    </row>
    <row r="147" spans="1:23" x14ac:dyDescent="0.2">
      <c r="A147" s="20" t="str">
        <f t="shared" si="4"/>
        <v/>
      </c>
      <c r="B147" s="21"/>
      <c r="C147" s="22"/>
      <c r="D147" s="21"/>
      <c r="E147" s="22"/>
      <c r="F147" s="22"/>
      <c r="G147" s="22"/>
      <c r="H147" s="22"/>
      <c r="I147" s="22"/>
      <c r="J147" s="22"/>
      <c r="K147" s="22"/>
      <c r="L147" s="22"/>
      <c r="M147" s="22"/>
      <c r="N147" s="21"/>
      <c r="O147" s="21"/>
      <c r="P147" s="21"/>
      <c r="Q147" s="21"/>
      <c r="R147" s="21"/>
      <c r="S147" s="21"/>
      <c r="T147" s="21"/>
      <c r="U147" s="21"/>
      <c r="V147" s="21"/>
      <c r="W147" s="21"/>
    </row>
    <row r="148" spans="1:23" x14ac:dyDescent="0.2">
      <c r="A148" s="20" t="str">
        <f t="shared" si="4"/>
        <v/>
      </c>
      <c r="B148" s="21"/>
      <c r="C148" s="22"/>
      <c r="D148" s="21"/>
      <c r="E148" s="22"/>
      <c r="F148" s="22"/>
      <c r="G148" s="22"/>
      <c r="H148" s="22"/>
      <c r="I148" s="22"/>
      <c r="J148" s="22"/>
      <c r="K148" s="22"/>
      <c r="L148" s="22"/>
      <c r="M148" s="22"/>
      <c r="N148" s="21"/>
      <c r="O148" s="21"/>
      <c r="P148" s="21"/>
      <c r="Q148" s="21"/>
      <c r="R148" s="21"/>
      <c r="S148" s="21"/>
      <c r="T148" s="21"/>
      <c r="U148" s="21"/>
      <c r="V148" s="21"/>
      <c r="W148" s="21"/>
    </row>
    <row r="149" spans="1:23" x14ac:dyDescent="0.2">
      <c r="A149" s="20" t="str">
        <f t="shared" si="4"/>
        <v/>
      </c>
      <c r="B149" s="21"/>
      <c r="C149" s="22"/>
      <c r="D149" s="21"/>
      <c r="E149" s="22"/>
      <c r="F149" s="22"/>
      <c r="G149" s="22"/>
      <c r="H149" s="22"/>
      <c r="I149" s="22"/>
      <c r="J149" s="22"/>
      <c r="K149" s="22"/>
      <c r="L149" s="22"/>
      <c r="M149" s="22"/>
      <c r="N149" s="21"/>
      <c r="O149" s="21"/>
      <c r="P149" s="21"/>
      <c r="Q149" s="21"/>
      <c r="R149" s="21"/>
      <c r="S149" s="21"/>
      <c r="T149" s="21"/>
      <c r="U149" s="21"/>
      <c r="V149" s="21"/>
      <c r="W149" s="21"/>
    </row>
    <row r="150" spans="1:23" x14ac:dyDescent="0.2">
      <c r="A150" s="20" t="str">
        <f t="shared" si="4"/>
        <v/>
      </c>
      <c r="B150" s="21"/>
      <c r="C150" s="22"/>
      <c r="D150" s="21"/>
      <c r="E150" s="22"/>
      <c r="F150" s="22"/>
      <c r="G150" s="22"/>
      <c r="H150" s="22"/>
      <c r="I150" s="22"/>
      <c r="J150" s="22"/>
      <c r="K150" s="22"/>
      <c r="L150" s="22"/>
      <c r="M150" s="22"/>
      <c r="N150" s="21"/>
      <c r="O150" s="21"/>
      <c r="P150" s="21"/>
      <c r="Q150" s="21"/>
      <c r="R150" s="21"/>
      <c r="S150" s="21"/>
      <c r="T150" s="21"/>
      <c r="U150" s="21"/>
      <c r="V150" s="21"/>
      <c r="W150" s="21"/>
    </row>
  </sheetData>
  <dataValidations count="6">
    <dataValidation type="list" allowBlank="1" sqref="E2:E500" xr:uid="{00000000-0002-0000-0800-000000000000}">
      <formula1>"TODO,IN_PROGRESS,IN_REVIEW,DONE"</formula1>
    </dataValidation>
    <dataValidation type="list" allowBlank="1" sqref="F2:F500" xr:uid="{00000000-0002-0000-0800-000001000000}">
      <formula1>"LOW,MEDIUM,HIGH,CRITICAL"</formula1>
    </dataValidation>
    <dataValidation type="list" allowBlank="1" sqref="G2:G500" xr:uid="{00000000-0002-0000-0800-000002000000}">
      <formula1>"NEW_APPLICATION,ENHANCEMENT,BUG,MAINTENANCE,MIGRATION"</formula1>
    </dataValidation>
    <dataValidation type="list" allowBlank="1" sqref="H2:H500" xr:uid="{00000000-0002-0000-08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2:I500" xr:uid="{00000000-0002-0000-0800-000004000000}">
      <formula1>"UI_BUG,FUNCTIONAL_BUG,INTEGRATION_BUG,DATA_BUG,PERFORMANCE_BUG,SECURITY_BUG,OTHER"</formula1>
    </dataValidation>
    <dataValidation type="list" allowBlank="1" showInputMessage="1" showErrorMessage="1" sqref="Z2:Z1048576" xr:uid="{731DAD02-7124-4AC0-8898-0E39857A7178}">
      <formula1>"Requirement,System Design,Implementation,Testing,Deployment,Maintenance"</formula1>
    </dataValidation>
  </dataValidations>
  <hyperlinks>
    <hyperlink ref="X28" r:id="rId1" xr:uid="{EDC9E098-40ED-40A7-9D83-88EAF0060068}"/>
    <hyperlink ref="X29" r:id="rId2" xr:uid="{37024C6C-97D5-430E-86D8-EC4DB860C2AA}"/>
    <hyperlink ref="X30" r:id="rId3" xr:uid="{A303171A-AEFA-4CFC-ADDA-9B2935A2B645}"/>
    <hyperlink ref="X31" r:id="rId4" xr:uid="{2D00F434-FFE8-43C5-AD3D-702769FE810D}"/>
    <hyperlink ref="X32" r:id="rId5" xr:uid="{C146C1C2-732D-49F6-B933-9ACD83FB9F1C}"/>
    <hyperlink ref="X33" r:id="rId6" xr:uid="{BBF059EB-F481-414B-97AD-0B19BD9AF63A}"/>
    <hyperlink ref="X34" r:id="rId7" xr:uid="{B5AA7418-DA3C-44F7-A4FA-44609599FE2B}"/>
    <hyperlink ref="X35" r:id="rId8" xr:uid="{B4619B37-B9EB-4BE6-A69F-0CF3AAC8EA93}"/>
    <hyperlink ref="X36" r:id="rId9" xr:uid="{3BCD4909-EE79-4F5E-8E90-81B3CDE2B7B9}"/>
    <hyperlink ref="X37" r:id="rId10" xr:uid="{CA70796F-BCB9-4287-914A-9AFC101AB8C8}"/>
    <hyperlink ref="X38" r:id="rId11" xr:uid="{3BDE8293-5102-49C5-B3D7-1070DAEFDFA3}"/>
    <hyperlink ref="X39" r:id="rId12" xr:uid="{BFE61BE4-844A-4C24-B339-D78C9C4B00D4}"/>
    <hyperlink ref="X40" r:id="rId13" xr:uid="{3C265AA6-DB9C-4A76-A6C3-1D99D3C1E70B}"/>
    <hyperlink ref="X41" r:id="rId14" xr:uid="{0D2880D0-BD26-432E-A436-4F6263278013}"/>
    <hyperlink ref="X42" r:id="rId15" xr:uid="{4D9A9629-BE7D-461C-82D4-0238272B6ACA}"/>
    <hyperlink ref="X43" r:id="rId16" xr:uid="{80E9C94D-0EA6-428C-8D69-079764A5B93C}"/>
    <hyperlink ref="X44" r:id="rId17" xr:uid="{48ED7FF3-225E-4DF0-A91C-1479877C1A50}"/>
    <hyperlink ref="N46" r:id="rId18" xr:uid="{33D40972-C8C9-4633-AFDA-0061ABB05627}"/>
    <hyperlink ref="X46" r:id="rId19" display="https://tugu.sharepoint.com/:i:/r/sites/TUGUFILESHARING/Documents/IT/External%20Share/2026%20Manage%20Service%20Elistec/TICS%20Policy%20Corporate/September%202026/Screenshot%20from%202026-10-02%2010-23-20.png?d=w668836fb9a994cc3bb1ad7e72f38694a&amp;csf=1&amp;web=1&amp;e=BD3waq" xr:uid="{AB6B6B30-75DA-468D-A81A-7C1AE52C449E}"/>
    <hyperlink ref="N47" r:id="rId20" xr:uid="{D89875B5-83F7-459E-807B-828804702C88}"/>
    <hyperlink ref="N48" r:id="rId21" xr:uid="{C730EFB4-F32A-4899-8CB9-30A9215469EF}"/>
    <hyperlink ref="N49" r:id="rId22" xr:uid="{AA0EFAB0-46E1-4C60-8E8F-05EDAA5224C8}"/>
    <hyperlink ref="N50" r:id="rId23" xr:uid="{DAAD84E3-75D5-4B90-B4E0-26CC12ED0C98}"/>
    <hyperlink ref="X50" r:id="rId24" xr:uid="{9A2B0244-F949-4138-898B-4565307DAC56}"/>
    <hyperlink ref="X51" r:id="rId25" xr:uid="{4F83C691-D9D3-47CA-B80A-580C20E7C968}"/>
    <hyperlink ref="N51" r:id="rId26" xr:uid="{4EEAD7C9-D4C3-46E1-A686-E3CF303FB8B7}"/>
    <hyperlink ref="N52" r:id="rId27" xr:uid="{A00595C4-4163-45DC-96FD-64FB0A86CCBE}"/>
    <hyperlink ref="N53" r:id="rId28" xr:uid="{9CAD5A8F-64D7-4610-88BA-B9860F0C7D26}"/>
    <hyperlink ref="X52" r:id="rId29" xr:uid="{733515E5-D079-46B9-BC8F-901AE05B22C6}"/>
    <hyperlink ref="X53" r:id="rId30" xr:uid="{568A271A-FD2B-43A8-B3CD-7E448F7CEE4F}"/>
    <hyperlink ref="N54" r:id="rId31" xr:uid="{31D4B8E4-1C2C-4852-951C-DB1C39C653AE}"/>
    <hyperlink ref="X54" r:id="rId32" xr:uid="{5D339480-FAD9-4AB5-8B34-C21794C5DCA8}"/>
    <hyperlink ref="N55" r:id="rId33" xr:uid="{E9BF03A3-27F9-4E8B-99A9-DC3BA4D9C78B}"/>
    <hyperlink ref="X55" r:id="rId34" xr:uid="{E47FA89A-4D87-4B04-8D7F-6BBD04391417}"/>
    <hyperlink ref="N56" r:id="rId35" xr:uid="{6FBB015F-6760-4755-B437-C5247A0B8E13}"/>
    <hyperlink ref="N57" r:id="rId36" xr:uid="{44E69173-7419-40D8-91D5-306D4A6E2827}"/>
    <hyperlink ref="X56" r:id="rId37" xr:uid="{01A8CBFE-3250-4903-880A-51537B9CF8E5}"/>
    <hyperlink ref="X57" r:id="rId38" xr:uid="{953B9FDC-C937-48CE-8833-571EBA136F46}"/>
    <hyperlink ref="N58" r:id="rId39" xr:uid="{AC7939EE-780A-471C-8DA5-3E2678DB4F0C}"/>
    <hyperlink ref="N59" r:id="rId40" xr:uid="{69D0ECFA-5A55-45D9-8FFE-F5B57FDDDE6A}"/>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F3E8BB9-8481-474C-83BA-5977AC528F5C}">
          <x14:formula1>
            <xm:f>Master_Project_Name!$A$2:$A$100</xm:f>
          </x14:formula1>
          <xm:sqref>B2:B500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49"/>
  <sheetViews>
    <sheetView zoomScale="115" workbookViewId="0">
      <pane ySplit="1" topLeftCell="A32" activePane="bottomLeft" state="frozen"/>
      <selection pane="bottomLeft" activeCell="D45" sqref="D45"/>
    </sheetView>
  </sheetViews>
  <sheetFormatPr baseColWidth="10" defaultColWidth="8.83203125" defaultRowHeight="15" x14ac:dyDescent="0.2"/>
  <cols>
    <col min="1" max="1" width="6" customWidth="1"/>
    <col min="2" max="2" width="32.1640625" customWidth="1"/>
    <col min="3" max="3" width="18" customWidth="1"/>
    <col min="4" max="4" width="50.5" customWidth="1"/>
    <col min="5" max="5" width="15" customWidth="1"/>
    <col min="6" max="6" width="13" customWidth="1"/>
    <col min="7" max="7" width="20" customWidth="1"/>
    <col min="8" max="8" width="22"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2" width="49.83203125" customWidth="1"/>
    <col min="23" max="23" width="54.6640625" customWidth="1"/>
    <col min="24" max="24" width="54" bestFit="1" customWidth="1"/>
    <col min="25" max="25" width="11.6640625" customWidth="1"/>
  </cols>
  <sheetData>
    <row r="1" spans="1:26" ht="28" customHeight="1" x14ac:dyDescent="0.2">
      <c r="A1" s="35" t="s">
        <v>138</v>
      </c>
      <c r="B1" s="35" t="s">
        <v>0</v>
      </c>
      <c r="C1" s="35" t="s">
        <v>1</v>
      </c>
      <c r="D1" s="35" t="s">
        <v>139</v>
      </c>
      <c r="E1" s="35" t="s">
        <v>140</v>
      </c>
      <c r="F1" s="35" t="s">
        <v>141</v>
      </c>
      <c r="G1" s="35" t="s">
        <v>142</v>
      </c>
      <c r="H1" s="35" t="s">
        <v>143</v>
      </c>
      <c r="I1" s="35" t="s">
        <v>144</v>
      </c>
      <c r="J1" s="35" t="s">
        <v>145</v>
      </c>
      <c r="K1" s="35" t="s">
        <v>146</v>
      </c>
      <c r="L1" s="35" t="s">
        <v>147</v>
      </c>
      <c r="M1" s="35" t="s">
        <v>148</v>
      </c>
      <c r="N1" s="35" t="s">
        <v>149</v>
      </c>
      <c r="O1" s="35" t="s">
        <v>150</v>
      </c>
      <c r="P1" s="35" t="s">
        <v>151</v>
      </c>
      <c r="Q1" s="35" t="s">
        <v>152</v>
      </c>
      <c r="R1" s="35" t="s">
        <v>153</v>
      </c>
      <c r="S1" s="35" t="s">
        <v>154</v>
      </c>
      <c r="T1" s="35" t="s">
        <v>155</v>
      </c>
      <c r="U1" s="35" t="s">
        <v>156</v>
      </c>
      <c r="V1" s="35" t="s">
        <v>157</v>
      </c>
      <c r="W1" s="64" t="s">
        <v>158</v>
      </c>
      <c r="X1" s="64" t="s">
        <v>159</v>
      </c>
      <c r="Y1" s="64" t="s">
        <v>160</v>
      </c>
      <c r="Z1" s="64" t="s">
        <v>161</v>
      </c>
    </row>
    <row r="2" spans="1:26" x14ac:dyDescent="0.2">
      <c r="A2" s="20">
        <f t="shared" ref="A2:A16" si="0">IF(OR(D2&lt;&gt;"", B2&lt;&gt;""), ROW()-1, "")</f>
        <v>1</v>
      </c>
      <c r="B2" s="21" t="s">
        <v>932</v>
      </c>
      <c r="C2" s="22"/>
      <c r="D2" s="21" t="s">
        <v>933</v>
      </c>
      <c r="E2" s="22" t="s">
        <v>109</v>
      </c>
      <c r="F2" s="22" t="s">
        <v>163</v>
      </c>
      <c r="G2" s="22" t="s">
        <v>164</v>
      </c>
      <c r="H2" s="22" t="s">
        <v>131</v>
      </c>
      <c r="I2" s="22"/>
      <c r="J2" s="23">
        <v>1</v>
      </c>
      <c r="K2" s="24">
        <v>46239</v>
      </c>
      <c r="L2" s="24">
        <v>46239</v>
      </c>
      <c r="M2" s="24">
        <v>46239</v>
      </c>
      <c r="N2" s="21" t="s">
        <v>388</v>
      </c>
      <c r="O2" s="21"/>
      <c r="P2" s="21"/>
      <c r="Q2" s="21"/>
      <c r="R2" s="21"/>
      <c r="S2" s="21"/>
      <c r="T2" s="21"/>
      <c r="U2" s="21"/>
      <c r="V2" s="21"/>
      <c r="W2" s="36"/>
      <c r="X2" s="48"/>
    </row>
    <row r="3" spans="1:26" x14ac:dyDescent="0.2">
      <c r="A3" s="20">
        <f t="shared" si="0"/>
        <v>2</v>
      </c>
      <c r="B3" s="21" t="s">
        <v>934</v>
      </c>
      <c r="C3" s="22"/>
      <c r="D3" s="21" t="s">
        <v>935</v>
      </c>
      <c r="E3" s="22" t="s">
        <v>109</v>
      </c>
      <c r="F3" s="22" t="s">
        <v>163</v>
      </c>
      <c r="G3" s="22" t="s">
        <v>179</v>
      </c>
      <c r="H3" s="22" t="s">
        <v>387</v>
      </c>
      <c r="I3" s="22"/>
      <c r="J3" s="23">
        <v>1</v>
      </c>
      <c r="K3" s="24">
        <v>46240</v>
      </c>
      <c r="L3" s="24">
        <v>46240</v>
      </c>
      <c r="M3" s="24">
        <v>46240</v>
      </c>
      <c r="N3" s="21" t="s">
        <v>388</v>
      </c>
      <c r="O3" s="21"/>
      <c r="P3" s="21"/>
      <c r="Q3" s="21"/>
      <c r="R3" s="21"/>
      <c r="S3" s="21"/>
      <c r="T3" s="21"/>
      <c r="U3" s="21"/>
      <c r="V3" s="21"/>
      <c r="W3" s="36"/>
      <c r="X3" s="48"/>
    </row>
    <row r="4" spans="1:26" x14ac:dyDescent="0.2">
      <c r="A4" s="20">
        <f t="shared" si="0"/>
        <v>3</v>
      </c>
      <c r="B4" s="21" t="s">
        <v>932</v>
      </c>
      <c r="C4" s="22"/>
      <c r="D4" s="21" t="s">
        <v>936</v>
      </c>
      <c r="E4" s="22" t="s">
        <v>109</v>
      </c>
      <c r="F4" s="22" t="s">
        <v>163</v>
      </c>
      <c r="G4" s="22" t="s">
        <v>164</v>
      </c>
      <c r="H4" s="22" t="s">
        <v>131</v>
      </c>
      <c r="I4" s="22"/>
      <c r="J4" s="23">
        <v>1</v>
      </c>
      <c r="K4" s="24">
        <v>46240</v>
      </c>
      <c r="L4" s="24">
        <v>46240</v>
      </c>
      <c r="M4" s="24">
        <v>46240</v>
      </c>
      <c r="N4" s="21" t="s">
        <v>388</v>
      </c>
      <c r="O4" s="21"/>
      <c r="P4" s="21"/>
      <c r="Q4" s="21"/>
      <c r="R4" s="21"/>
      <c r="S4" s="21"/>
      <c r="T4" s="21"/>
      <c r="U4" s="21"/>
      <c r="V4" s="21"/>
      <c r="W4" s="36"/>
      <c r="X4" s="48"/>
    </row>
    <row r="5" spans="1:26" x14ac:dyDescent="0.2">
      <c r="A5" s="20">
        <f t="shared" si="0"/>
        <v>4</v>
      </c>
      <c r="B5" s="21" t="s">
        <v>934</v>
      </c>
      <c r="C5" s="22"/>
      <c r="D5" s="21" t="s">
        <v>937</v>
      </c>
      <c r="E5" s="22" t="s">
        <v>109</v>
      </c>
      <c r="F5" s="22" t="s">
        <v>294</v>
      </c>
      <c r="G5" s="22" t="s">
        <v>685</v>
      </c>
      <c r="H5" s="22" t="s">
        <v>387</v>
      </c>
      <c r="I5" s="22" t="s">
        <v>732</v>
      </c>
      <c r="J5" s="23">
        <v>1</v>
      </c>
      <c r="K5" s="24">
        <v>46241</v>
      </c>
      <c r="L5" s="24">
        <v>46241</v>
      </c>
      <c r="M5" s="24">
        <v>46241</v>
      </c>
      <c r="N5" s="21" t="s">
        <v>388</v>
      </c>
      <c r="O5" s="21"/>
      <c r="P5" s="21"/>
      <c r="Q5" s="21"/>
      <c r="R5" s="21"/>
      <c r="S5" s="21"/>
      <c r="T5" s="21"/>
      <c r="U5" s="21"/>
      <c r="V5" s="21"/>
      <c r="W5" s="36"/>
      <c r="X5" s="48"/>
    </row>
    <row r="6" spans="1:26" ht="30" x14ac:dyDescent="0.2">
      <c r="A6" s="20">
        <f t="shared" si="0"/>
        <v>5</v>
      </c>
      <c r="B6" s="21" t="s">
        <v>934</v>
      </c>
      <c r="C6" s="22"/>
      <c r="D6" s="21" t="s">
        <v>938</v>
      </c>
      <c r="E6" s="22" t="s">
        <v>109</v>
      </c>
      <c r="F6" s="22" t="s">
        <v>163</v>
      </c>
      <c r="G6" s="22" t="s">
        <v>685</v>
      </c>
      <c r="H6" s="22" t="s">
        <v>387</v>
      </c>
      <c r="I6" s="22" t="s">
        <v>732</v>
      </c>
      <c r="J6" s="23">
        <v>1</v>
      </c>
      <c r="K6" s="24">
        <v>46244</v>
      </c>
      <c r="L6" s="24">
        <v>46244</v>
      </c>
      <c r="M6" s="24">
        <v>46244</v>
      </c>
      <c r="N6" s="21" t="s">
        <v>388</v>
      </c>
      <c r="O6" s="21"/>
      <c r="P6" s="21"/>
      <c r="Q6" s="21"/>
      <c r="R6" s="21"/>
      <c r="S6" s="21"/>
      <c r="T6" s="21"/>
      <c r="U6" s="21"/>
      <c r="V6" s="21" t="s">
        <v>939</v>
      </c>
      <c r="W6" s="36" t="s">
        <v>940</v>
      </c>
      <c r="X6" s="48"/>
    </row>
    <row r="7" spans="1:26" ht="30" x14ac:dyDescent="0.2">
      <c r="A7" s="20">
        <f t="shared" si="0"/>
        <v>6</v>
      </c>
      <c r="B7" s="21" t="s">
        <v>934</v>
      </c>
      <c r="C7" s="22"/>
      <c r="D7" s="21" t="s">
        <v>941</v>
      </c>
      <c r="E7" s="22" t="s">
        <v>109</v>
      </c>
      <c r="F7" s="22" t="s">
        <v>172</v>
      </c>
      <c r="G7" s="22" t="s">
        <v>164</v>
      </c>
      <c r="H7" s="22" t="s">
        <v>387</v>
      </c>
      <c r="I7" s="22"/>
      <c r="J7" s="23">
        <v>1</v>
      </c>
      <c r="K7" s="24">
        <v>46245</v>
      </c>
      <c r="L7" s="24">
        <v>46245</v>
      </c>
      <c r="M7" s="24">
        <v>46245</v>
      </c>
      <c r="N7" s="21" t="s">
        <v>388</v>
      </c>
      <c r="O7" s="21"/>
      <c r="P7" s="21"/>
      <c r="Q7" s="21"/>
      <c r="R7" s="21"/>
      <c r="S7" s="21"/>
      <c r="T7" s="21"/>
      <c r="U7" s="21"/>
      <c r="V7" s="21" t="s">
        <v>942</v>
      </c>
      <c r="W7" s="36" t="s">
        <v>943</v>
      </c>
      <c r="X7" s="48"/>
    </row>
    <row r="8" spans="1:26" x14ac:dyDescent="0.2">
      <c r="A8" s="20">
        <f t="shared" si="0"/>
        <v>7</v>
      </c>
      <c r="B8" s="21" t="s">
        <v>934</v>
      </c>
      <c r="C8" s="22"/>
      <c r="D8" s="21" t="s">
        <v>944</v>
      </c>
      <c r="E8" s="22" t="s">
        <v>109</v>
      </c>
      <c r="F8" s="22" t="s">
        <v>172</v>
      </c>
      <c r="G8" s="22" t="s">
        <v>164</v>
      </c>
      <c r="H8" s="22" t="s">
        <v>387</v>
      </c>
      <c r="I8" s="22"/>
      <c r="J8" s="23">
        <v>1</v>
      </c>
      <c r="K8" s="24">
        <v>46246</v>
      </c>
      <c r="L8" s="24">
        <v>46246</v>
      </c>
      <c r="M8" s="24">
        <v>46246</v>
      </c>
      <c r="N8" s="21" t="s">
        <v>388</v>
      </c>
      <c r="O8" s="21"/>
      <c r="P8" s="21"/>
      <c r="Q8" s="21"/>
      <c r="R8" s="21"/>
      <c r="S8" s="21"/>
      <c r="T8" s="21"/>
      <c r="U8" s="21"/>
      <c r="V8" s="21"/>
      <c r="W8" s="36"/>
      <c r="X8" s="48"/>
    </row>
    <row r="9" spans="1:26" x14ac:dyDescent="0.2">
      <c r="A9" s="20">
        <f t="shared" si="0"/>
        <v>8</v>
      </c>
      <c r="B9" s="21" t="s">
        <v>934</v>
      </c>
      <c r="C9" s="22"/>
      <c r="D9" s="21" t="s">
        <v>945</v>
      </c>
      <c r="E9" s="22" t="s">
        <v>109</v>
      </c>
      <c r="F9" s="22" t="s">
        <v>172</v>
      </c>
      <c r="G9" s="22" t="s">
        <v>164</v>
      </c>
      <c r="H9" s="22" t="s">
        <v>387</v>
      </c>
      <c r="I9" s="22"/>
      <c r="J9" s="23">
        <v>1</v>
      </c>
      <c r="K9" s="24">
        <v>46247</v>
      </c>
      <c r="L9" s="24">
        <v>46247</v>
      </c>
      <c r="M9" s="24">
        <v>46247</v>
      </c>
      <c r="N9" s="21" t="s">
        <v>388</v>
      </c>
      <c r="O9" s="21"/>
      <c r="P9" s="21"/>
      <c r="Q9" s="21"/>
      <c r="R9" s="21"/>
      <c r="S9" s="21"/>
      <c r="T9" s="21"/>
      <c r="U9" s="21"/>
      <c r="V9" s="21"/>
      <c r="W9" s="36"/>
      <c r="X9" s="48"/>
    </row>
    <row r="10" spans="1:26" ht="30" x14ac:dyDescent="0.2">
      <c r="A10" s="20">
        <f t="shared" si="0"/>
        <v>9</v>
      </c>
      <c r="B10" s="21" t="s">
        <v>934</v>
      </c>
      <c r="C10" s="22"/>
      <c r="D10" s="21" t="s">
        <v>946</v>
      </c>
      <c r="E10" s="22" t="s">
        <v>109</v>
      </c>
      <c r="F10" s="22" t="s">
        <v>172</v>
      </c>
      <c r="G10" s="22" t="s">
        <v>164</v>
      </c>
      <c r="H10" s="22" t="s">
        <v>387</v>
      </c>
      <c r="I10" s="22"/>
      <c r="J10" s="23">
        <v>1</v>
      </c>
      <c r="K10" s="24">
        <v>46248</v>
      </c>
      <c r="L10" s="24">
        <v>46248</v>
      </c>
      <c r="M10" s="24">
        <v>46248</v>
      </c>
      <c r="N10" s="21" t="s">
        <v>388</v>
      </c>
      <c r="O10" s="21"/>
      <c r="P10" s="21"/>
      <c r="Q10" s="21"/>
      <c r="R10" s="21"/>
      <c r="S10" s="21"/>
      <c r="T10" s="21"/>
      <c r="U10" s="21"/>
      <c r="V10" s="21" t="s">
        <v>947</v>
      </c>
      <c r="W10" s="36" t="s">
        <v>948</v>
      </c>
      <c r="X10" s="48"/>
    </row>
    <row r="11" spans="1:26" x14ac:dyDescent="0.2">
      <c r="A11" s="20">
        <f t="shared" si="0"/>
        <v>10</v>
      </c>
      <c r="B11" s="21" t="s">
        <v>934</v>
      </c>
      <c r="C11" s="22"/>
      <c r="D11" s="21" t="s">
        <v>949</v>
      </c>
      <c r="E11" s="22" t="s">
        <v>109</v>
      </c>
      <c r="F11" s="22" t="s">
        <v>172</v>
      </c>
      <c r="G11" s="22" t="s">
        <v>685</v>
      </c>
      <c r="H11" s="22" t="s">
        <v>387</v>
      </c>
      <c r="I11" s="22" t="s">
        <v>950</v>
      </c>
      <c r="J11" s="23">
        <v>1</v>
      </c>
      <c r="K11" s="24">
        <v>46252</v>
      </c>
      <c r="L11" s="24">
        <v>46253</v>
      </c>
      <c r="M11" s="24">
        <v>46253</v>
      </c>
      <c r="N11" s="21" t="s">
        <v>388</v>
      </c>
      <c r="O11" s="21"/>
      <c r="P11" s="21"/>
      <c r="Q11" s="21"/>
      <c r="R11" s="21"/>
      <c r="S11" s="21"/>
      <c r="T11" s="21"/>
      <c r="U11" s="21"/>
      <c r="V11" s="21"/>
      <c r="W11" s="36"/>
      <c r="X11" s="48"/>
    </row>
    <row r="12" spans="1:26" x14ac:dyDescent="0.2">
      <c r="A12" s="20">
        <f t="shared" si="0"/>
        <v>11</v>
      </c>
      <c r="B12" s="21" t="s">
        <v>934</v>
      </c>
      <c r="C12" s="22"/>
      <c r="D12" s="21" t="s">
        <v>951</v>
      </c>
      <c r="E12" s="22" t="s">
        <v>109</v>
      </c>
      <c r="F12" s="22" t="s">
        <v>163</v>
      </c>
      <c r="G12" s="22" t="s">
        <v>179</v>
      </c>
      <c r="H12" s="22" t="s">
        <v>387</v>
      </c>
      <c r="I12" s="22"/>
      <c r="J12" s="23">
        <v>1</v>
      </c>
      <c r="K12" s="24">
        <v>46253</v>
      </c>
      <c r="L12" s="24">
        <v>46253</v>
      </c>
      <c r="M12" s="24">
        <v>46253</v>
      </c>
      <c r="N12" s="21" t="s">
        <v>388</v>
      </c>
      <c r="O12" s="21"/>
      <c r="P12" s="21"/>
      <c r="Q12" s="21"/>
      <c r="R12" s="21"/>
      <c r="S12" s="21"/>
      <c r="T12" s="21"/>
      <c r="U12" s="21"/>
      <c r="V12" s="21" t="s">
        <v>952</v>
      </c>
      <c r="W12" s="36" t="s">
        <v>953</v>
      </c>
      <c r="X12" s="48"/>
    </row>
    <row r="13" spans="1:26" x14ac:dyDescent="0.2">
      <c r="A13" s="20">
        <f t="shared" si="0"/>
        <v>12</v>
      </c>
      <c r="B13" s="21" t="s">
        <v>934</v>
      </c>
      <c r="C13" s="22"/>
      <c r="D13" s="21" t="s">
        <v>954</v>
      </c>
      <c r="E13" s="22" t="s">
        <v>109</v>
      </c>
      <c r="F13" s="22" t="s">
        <v>163</v>
      </c>
      <c r="G13" s="22" t="s">
        <v>685</v>
      </c>
      <c r="H13" s="22" t="s">
        <v>387</v>
      </c>
      <c r="I13" s="22"/>
      <c r="J13" s="23">
        <v>1</v>
      </c>
      <c r="K13" s="24">
        <v>46254</v>
      </c>
      <c r="L13" s="24">
        <v>46254</v>
      </c>
      <c r="M13" s="24">
        <v>46254</v>
      </c>
      <c r="N13" s="21" t="s">
        <v>388</v>
      </c>
      <c r="O13" s="21"/>
      <c r="P13" s="21"/>
      <c r="Q13" s="21"/>
      <c r="R13" s="21"/>
      <c r="S13" s="21"/>
      <c r="T13" s="21"/>
      <c r="U13" s="21"/>
      <c r="V13" s="21"/>
      <c r="W13" s="36"/>
      <c r="X13" s="48"/>
    </row>
    <row r="14" spans="1:26" ht="30" x14ac:dyDescent="0.2">
      <c r="A14" s="20">
        <f t="shared" si="0"/>
        <v>13</v>
      </c>
      <c r="B14" s="21" t="s">
        <v>934</v>
      </c>
      <c r="C14" s="22"/>
      <c r="D14" s="21" t="s">
        <v>955</v>
      </c>
      <c r="E14" s="22" t="s">
        <v>109</v>
      </c>
      <c r="F14" s="22" t="s">
        <v>172</v>
      </c>
      <c r="G14" s="22" t="s">
        <v>343</v>
      </c>
      <c r="H14" s="22" t="s">
        <v>387</v>
      </c>
      <c r="I14" s="22"/>
      <c r="J14" s="23">
        <v>1</v>
      </c>
      <c r="K14" s="24">
        <v>46255</v>
      </c>
      <c r="L14" s="24">
        <v>46255</v>
      </c>
      <c r="M14" s="24">
        <v>46255</v>
      </c>
      <c r="N14" s="21" t="s">
        <v>388</v>
      </c>
      <c r="O14" s="21"/>
      <c r="P14" s="21"/>
      <c r="Q14" s="21"/>
      <c r="R14" s="21"/>
      <c r="S14" s="21"/>
      <c r="T14" s="21"/>
      <c r="U14" s="21"/>
      <c r="V14" s="21"/>
      <c r="W14" s="36"/>
      <c r="X14" s="48"/>
    </row>
    <row r="15" spans="1:26" ht="30" x14ac:dyDescent="0.2">
      <c r="A15" s="20">
        <f t="shared" si="0"/>
        <v>14</v>
      </c>
      <c r="B15" s="21" t="s">
        <v>934</v>
      </c>
      <c r="C15" s="22"/>
      <c r="D15" s="21" t="s">
        <v>956</v>
      </c>
      <c r="E15" s="22" t="s">
        <v>109</v>
      </c>
      <c r="F15" s="22" t="s">
        <v>172</v>
      </c>
      <c r="G15" s="22" t="s">
        <v>343</v>
      </c>
      <c r="H15" s="22" t="s">
        <v>387</v>
      </c>
      <c r="I15" s="22"/>
      <c r="J15" s="23">
        <v>1</v>
      </c>
      <c r="K15" s="24">
        <v>46258</v>
      </c>
      <c r="L15" s="24">
        <v>46258</v>
      </c>
      <c r="M15" s="24">
        <v>46258</v>
      </c>
      <c r="N15" s="21" t="s">
        <v>388</v>
      </c>
      <c r="O15" s="21"/>
      <c r="P15" s="21"/>
      <c r="Q15" s="21"/>
      <c r="R15" s="21"/>
      <c r="S15" s="21"/>
      <c r="T15" s="21"/>
      <c r="U15" s="21"/>
      <c r="V15" s="21"/>
      <c r="W15" s="36"/>
      <c r="X15" s="48"/>
    </row>
    <row r="16" spans="1:26" ht="96" customHeight="1" x14ac:dyDescent="0.2">
      <c r="A16" s="20">
        <f t="shared" si="0"/>
        <v>15</v>
      </c>
      <c r="B16" s="21" t="s">
        <v>934</v>
      </c>
      <c r="C16" s="22"/>
      <c r="D16" s="21" t="s">
        <v>957</v>
      </c>
      <c r="E16" s="22" t="s">
        <v>109</v>
      </c>
      <c r="F16" s="22" t="s">
        <v>172</v>
      </c>
      <c r="G16" s="22"/>
      <c r="H16" s="22" t="s">
        <v>387</v>
      </c>
      <c r="I16" s="22"/>
      <c r="J16" s="23">
        <v>1</v>
      </c>
      <c r="K16" s="24">
        <v>46259</v>
      </c>
      <c r="L16" s="24">
        <v>46260</v>
      </c>
      <c r="M16" s="24">
        <v>46260</v>
      </c>
      <c r="N16" s="21" t="s">
        <v>388</v>
      </c>
      <c r="O16" s="21"/>
      <c r="P16" s="21"/>
      <c r="Q16" s="21"/>
      <c r="R16" s="21"/>
      <c r="S16" s="21"/>
      <c r="T16" s="21"/>
      <c r="U16" s="21"/>
      <c r="V16" s="21"/>
      <c r="W16" s="36"/>
      <c r="X16" s="48"/>
    </row>
    <row r="17" spans="1:24" ht="91.5" customHeight="1" x14ac:dyDescent="0.2">
      <c r="A17" s="20"/>
      <c r="B17" s="21" t="s">
        <v>934</v>
      </c>
      <c r="C17" s="22"/>
      <c r="D17" s="21" t="s">
        <v>958</v>
      </c>
      <c r="E17" s="22" t="s">
        <v>109</v>
      </c>
      <c r="F17" s="22" t="s">
        <v>172</v>
      </c>
      <c r="G17" s="22"/>
      <c r="H17" s="22" t="s">
        <v>387</v>
      </c>
      <c r="I17" s="22"/>
      <c r="J17" s="23">
        <v>1</v>
      </c>
      <c r="K17" s="24">
        <v>46260</v>
      </c>
      <c r="L17" s="24">
        <v>46262</v>
      </c>
      <c r="M17" s="24">
        <v>46261</v>
      </c>
      <c r="N17" s="21" t="s">
        <v>388</v>
      </c>
      <c r="O17" s="21"/>
      <c r="P17" s="21"/>
      <c r="Q17" s="21"/>
      <c r="R17" s="21"/>
      <c r="S17" s="21"/>
      <c r="T17" s="21"/>
      <c r="U17" s="21"/>
      <c r="V17" s="21"/>
      <c r="W17" s="36"/>
      <c r="X17" s="48"/>
    </row>
    <row r="18" spans="1:24" ht="30" x14ac:dyDescent="0.2">
      <c r="A18" s="20">
        <f t="shared" ref="A18:A34" si="1">IF(OR(D18&lt;&gt;"", B18&lt;&gt;""), ROW()-1, "")</f>
        <v>17</v>
      </c>
      <c r="B18" s="21" t="s">
        <v>934</v>
      </c>
      <c r="C18" s="22"/>
      <c r="D18" s="21" t="s">
        <v>959</v>
      </c>
      <c r="E18" s="22" t="s">
        <v>109</v>
      </c>
      <c r="F18" s="22" t="s">
        <v>163</v>
      </c>
      <c r="G18" s="22"/>
      <c r="H18" s="22" t="s">
        <v>387</v>
      </c>
      <c r="I18" s="22"/>
      <c r="J18" s="23">
        <v>1</v>
      </c>
      <c r="K18" s="24">
        <v>46262</v>
      </c>
      <c r="L18" s="24">
        <v>46262</v>
      </c>
      <c r="M18" s="24">
        <v>46262</v>
      </c>
      <c r="N18" s="21" t="s">
        <v>388</v>
      </c>
      <c r="O18" s="21"/>
      <c r="P18" s="21"/>
      <c r="Q18" s="21"/>
      <c r="R18" s="21"/>
      <c r="S18" s="21"/>
      <c r="T18" s="21"/>
      <c r="U18" s="21"/>
      <c r="V18" s="21"/>
      <c r="W18" s="36"/>
      <c r="X18" s="48"/>
    </row>
    <row r="19" spans="1:24" ht="30" x14ac:dyDescent="0.2">
      <c r="A19" s="20">
        <f t="shared" si="1"/>
        <v>18</v>
      </c>
      <c r="B19" s="21" t="s">
        <v>934</v>
      </c>
      <c r="C19" s="22"/>
      <c r="D19" s="21" t="s">
        <v>960</v>
      </c>
      <c r="E19" s="22" t="s">
        <v>109</v>
      </c>
      <c r="F19" s="22" t="s">
        <v>172</v>
      </c>
      <c r="G19" s="22"/>
      <c r="H19" s="22" t="s">
        <v>387</v>
      </c>
      <c r="I19" s="22"/>
      <c r="J19" s="23">
        <v>1</v>
      </c>
      <c r="K19" s="24">
        <v>46262</v>
      </c>
      <c r="L19" s="24">
        <v>46262</v>
      </c>
      <c r="M19" s="24">
        <v>46262</v>
      </c>
      <c r="N19" s="21" t="s">
        <v>388</v>
      </c>
      <c r="O19" s="21"/>
      <c r="P19" s="21"/>
      <c r="Q19" s="21"/>
      <c r="R19" s="21"/>
      <c r="S19" s="21"/>
      <c r="T19" s="21"/>
      <c r="U19" s="21"/>
      <c r="V19" s="21"/>
      <c r="W19" s="36"/>
      <c r="X19" s="48"/>
    </row>
    <row r="20" spans="1:24" x14ac:dyDescent="0.2">
      <c r="A20" s="20">
        <f t="shared" si="1"/>
        <v>19</v>
      </c>
      <c r="B20" s="21" t="s">
        <v>961</v>
      </c>
      <c r="C20" s="22"/>
      <c r="D20" s="21" t="s">
        <v>962</v>
      </c>
      <c r="E20" s="22" t="s">
        <v>109</v>
      </c>
      <c r="F20" s="22" t="s">
        <v>163</v>
      </c>
      <c r="G20" s="22"/>
      <c r="H20" s="22" t="s">
        <v>963</v>
      </c>
      <c r="I20" s="22"/>
      <c r="J20" s="23">
        <v>1</v>
      </c>
      <c r="K20" s="24">
        <v>46265</v>
      </c>
      <c r="L20" s="24">
        <v>46266</v>
      </c>
      <c r="M20" s="24">
        <v>46266</v>
      </c>
      <c r="N20" s="21" t="s">
        <v>388</v>
      </c>
      <c r="O20" s="21"/>
      <c r="P20" s="21"/>
      <c r="Q20" s="21"/>
      <c r="R20" s="21"/>
      <c r="S20" s="21"/>
      <c r="T20" s="21"/>
      <c r="U20" s="21"/>
      <c r="V20" s="21"/>
      <c r="W20" s="36"/>
      <c r="X20" s="48"/>
    </row>
    <row r="21" spans="1:24" x14ac:dyDescent="0.2">
      <c r="A21" s="20">
        <f t="shared" si="1"/>
        <v>20</v>
      </c>
      <c r="B21" s="21" t="s">
        <v>961</v>
      </c>
      <c r="C21" s="22"/>
      <c r="D21" s="21" t="s">
        <v>964</v>
      </c>
      <c r="E21" s="22" t="s">
        <v>109</v>
      </c>
      <c r="F21" s="22" t="s">
        <v>163</v>
      </c>
      <c r="G21" s="22"/>
      <c r="H21" s="22" t="s">
        <v>963</v>
      </c>
      <c r="I21" s="22"/>
      <c r="J21" s="23">
        <v>1</v>
      </c>
      <c r="K21" s="24">
        <v>46266</v>
      </c>
      <c r="L21" s="24">
        <v>46266</v>
      </c>
      <c r="M21" s="24">
        <v>46266</v>
      </c>
      <c r="N21" s="21" t="s">
        <v>388</v>
      </c>
      <c r="O21" s="21"/>
      <c r="P21" s="21"/>
      <c r="Q21" s="21"/>
      <c r="R21" s="21"/>
      <c r="S21" s="21"/>
      <c r="T21" s="21"/>
      <c r="U21" s="21"/>
      <c r="V21" s="21"/>
      <c r="W21" s="36"/>
      <c r="X21" s="48"/>
    </row>
    <row r="22" spans="1:24" x14ac:dyDescent="0.2">
      <c r="A22" s="20">
        <f t="shared" si="1"/>
        <v>21</v>
      </c>
      <c r="B22" s="21" t="s">
        <v>961</v>
      </c>
      <c r="C22" s="22"/>
      <c r="D22" s="21" t="s">
        <v>965</v>
      </c>
      <c r="E22" s="22" t="s">
        <v>109</v>
      </c>
      <c r="F22" s="22" t="s">
        <v>163</v>
      </c>
      <c r="G22" s="22"/>
      <c r="H22" s="22" t="s">
        <v>963</v>
      </c>
      <c r="I22" s="22"/>
      <c r="J22" s="23">
        <v>1</v>
      </c>
      <c r="K22" s="24">
        <v>46267</v>
      </c>
      <c r="L22" s="24">
        <v>46267</v>
      </c>
      <c r="M22" s="24">
        <v>46267</v>
      </c>
      <c r="N22" s="21" t="s">
        <v>388</v>
      </c>
      <c r="O22" s="21"/>
      <c r="P22" s="21"/>
      <c r="Q22" s="21"/>
      <c r="R22" s="21"/>
      <c r="S22" s="21"/>
      <c r="T22" s="21"/>
      <c r="U22" s="21"/>
      <c r="V22" s="21"/>
      <c r="W22" s="36"/>
      <c r="X22" s="48"/>
    </row>
    <row r="23" spans="1:24" x14ac:dyDescent="0.2">
      <c r="A23" s="20">
        <f t="shared" si="1"/>
        <v>22</v>
      </c>
      <c r="B23" s="21" t="s">
        <v>966</v>
      </c>
      <c r="C23" s="22"/>
      <c r="D23" s="21" t="s">
        <v>967</v>
      </c>
      <c r="E23" s="22" t="s">
        <v>109</v>
      </c>
      <c r="F23" s="22" t="s">
        <v>163</v>
      </c>
      <c r="G23" s="22"/>
      <c r="H23" s="22" t="s">
        <v>963</v>
      </c>
      <c r="I23" s="22"/>
      <c r="J23" s="23">
        <v>1</v>
      </c>
      <c r="K23" s="24">
        <v>46268</v>
      </c>
      <c r="L23" s="24">
        <v>46268</v>
      </c>
      <c r="M23" s="24">
        <v>46268</v>
      </c>
      <c r="N23" s="21" t="s">
        <v>388</v>
      </c>
      <c r="O23" s="21"/>
      <c r="P23" s="21"/>
      <c r="Q23" s="21"/>
      <c r="R23" s="21"/>
      <c r="S23" s="21"/>
      <c r="T23" s="21"/>
      <c r="U23" s="21"/>
      <c r="V23" s="21"/>
      <c r="W23" s="36"/>
      <c r="X23" s="48"/>
    </row>
    <row r="24" spans="1:24" ht="35.25" customHeight="1" x14ac:dyDescent="0.2">
      <c r="A24" s="20">
        <f t="shared" si="1"/>
        <v>23</v>
      </c>
      <c r="B24" s="21" t="s">
        <v>966</v>
      </c>
      <c r="C24" s="22"/>
      <c r="D24" s="21" t="s">
        <v>968</v>
      </c>
      <c r="E24" s="22" t="s">
        <v>109</v>
      </c>
      <c r="F24" s="22" t="s">
        <v>163</v>
      </c>
      <c r="G24" s="22"/>
      <c r="H24" s="22" t="s">
        <v>963</v>
      </c>
      <c r="I24" s="22"/>
      <c r="J24" s="23">
        <v>1</v>
      </c>
      <c r="K24" s="24">
        <v>46269</v>
      </c>
      <c r="L24" s="24">
        <v>46269</v>
      </c>
      <c r="M24" s="24">
        <v>46269</v>
      </c>
      <c r="N24" s="21" t="s">
        <v>388</v>
      </c>
      <c r="O24" s="21"/>
      <c r="P24" s="21"/>
      <c r="Q24" s="21"/>
      <c r="R24" s="21"/>
      <c r="S24" s="21"/>
      <c r="T24" s="21"/>
      <c r="U24" s="21"/>
      <c r="V24" s="21"/>
      <c r="W24" s="36"/>
      <c r="X24" s="29" t="s">
        <v>969</v>
      </c>
    </row>
    <row r="25" spans="1:24" ht="41.25" customHeight="1" x14ac:dyDescent="0.2">
      <c r="A25" s="20">
        <f t="shared" si="1"/>
        <v>24</v>
      </c>
      <c r="B25" s="21" t="s">
        <v>934</v>
      </c>
      <c r="C25" s="22"/>
      <c r="D25" s="21" t="s">
        <v>970</v>
      </c>
      <c r="E25" s="22" t="s">
        <v>109</v>
      </c>
      <c r="F25" s="22" t="s">
        <v>163</v>
      </c>
      <c r="G25" s="22"/>
      <c r="H25" s="22" t="s">
        <v>387</v>
      </c>
      <c r="I25" s="22"/>
      <c r="J25" s="23">
        <v>1</v>
      </c>
      <c r="K25" s="24">
        <v>46272</v>
      </c>
      <c r="L25" s="24">
        <v>46272</v>
      </c>
      <c r="M25" s="24">
        <v>46272</v>
      </c>
      <c r="N25" s="21" t="s">
        <v>388</v>
      </c>
      <c r="O25" s="21"/>
      <c r="P25" s="21"/>
      <c r="Q25" s="21"/>
      <c r="R25" s="21"/>
      <c r="S25" s="21"/>
      <c r="T25" s="21"/>
      <c r="U25" s="21"/>
      <c r="V25" s="21"/>
      <c r="W25" s="36"/>
      <c r="X25" s="29" t="s">
        <v>971</v>
      </c>
    </row>
    <row r="26" spans="1:24" ht="30" x14ac:dyDescent="0.2">
      <c r="A26" s="20">
        <f t="shared" si="1"/>
        <v>25</v>
      </c>
      <c r="B26" s="21" t="s">
        <v>934</v>
      </c>
      <c r="C26" s="22"/>
      <c r="D26" s="21" t="s">
        <v>956</v>
      </c>
      <c r="E26" s="22" t="s">
        <v>109</v>
      </c>
      <c r="F26" s="22" t="s">
        <v>163</v>
      </c>
      <c r="G26" s="22"/>
      <c r="H26" s="22" t="s">
        <v>387</v>
      </c>
      <c r="I26" s="22"/>
      <c r="J26" s="23">
        <v>1</v>
      </c>
      <c r="K26" s="24">
        <v>46272</v>
      </c>
      <c r="L26" s="24">
        <v>46272</v>
      </c>
      <c r="M26" s="24">
        <v>46272</v>
      </c>
      <c r="N26" s="21" t="s">
        <v>388</v>
      </c>
      <c r="O26" s="21"/>
      <c r="P26" s="21"/>
      <c r="Q26" s="21"/>
      <c r="R26" s="21"/>
      <c r="S26" s="21"/>
      <c r="T26" s="21"/>
      <c r="U26" s="21"/>
      <c r="V26" s="21"/>
      <c r="W26" s="36"/>
      <c r="X26" s="29" t="s">
        <v>971</v>
      </c>
    </row>
    <row r="27" spans="1:24" x14ac:dyDescent="0.2">
      <c r="A27" s="20">
        <f t="shared" si="1"/>
        <v>26</v>
      </c>
      <c r="B27" s="21" t="s">
        <v>934</v>
      </c>
      <c r="C27" s="22"/>
      <c r="D27" s="21" t="s">
        <v>972</v>
      </c>
      <c r="E27" s="22" t="s">
        <v>109</v>
      </c>
      <c r="F27" s="22" t="s">
        <v>163</v>
      </c>
      <c r="G27" s="22"/>
      <c r="H27" s="22" t="s">
        <v>387</v>
      </c>
      <c r="I27" s="22"/>
      <c r="J27" s="23">
        <v>1</v>
      </c>
      <c r="K27" s="24">
        <v>46273</v>
      </c>
      <c r="L27" s="24">
        <v>46273</v>
      </c>
      <c r="M27" s="24">
        <v>46273</v>
      </c>
      <c r="N27" s="21" t="s">
        <v>388</v>
      </c>
      <c r="O27" s="21"/>
      <c r="P27" s="21"/>
      <c r="Q27" s="21"/>
      <c r="R27" s="21"/>
      <c r="S27" s="21"/>
      <c r="T27" s="21"/>
      <c r="U27" s="21"/>
      <c r="V27" s="21" t="s">
        <v>973</v>
      </c>
      <c r="W27" s="36" t="s">
        <v>974</v>
      </c>
      <c r="X27" s="29" t="s">
        <v>971</v>
      </c>
    </row>
    <row r="28" spans="1:24" x14ac:dyDescent="0.2">
      <c r="A28" s="20">
        <f t="shared" si="1"/>
        <v>27</v>
      </c>
      <c r="B28" s="21" t="s">
        <v>934</v>
      </c>
      <c r="C28" s="22"/>
      <c r="D28" s="21" t="s">
        <v>975</v>
      </c>
      <c r="E28" s="22" t="s">
        <v>109</v>
      </c>
      <c r="F28" s="22" t="s">
        <v>163</v>
      </c>
      <c r="G28" s="22"/>
      <c r="H28" s="22" t="s">
        <v>387</v>
      </c>
      <c r="I28" s="22"/>
      <c r="J28" s="23">
        <v>1</v>
      </c>
      <c r="K28" s="24">
        <v>46273</v>
      </c>
      <c r="L28" s="24">
        <v>46274</v>
      </c>
      <c r="M28" s="24">
        <v>46274</v>
      </c>
      <c r="N28" s="21" t="s">
        <v>388</v>
      </c>
      <c r="O28" s="21"/>
      <c r="P28" s="21"/>
      <c r="Q28" s="21"/>
      <c r="R28" s="21"/>
      <c r="S28" s="21"/>
      <c r="T28" s="21"/>
      <c r="U28" s="21"/>
      <c r="V28" s="21"/>
      <c r="W28" s="36"/>
      <c r="X28" s="29" t="s">
        <v>971</v>
      </c>
    </row>
    <row r="29" spans="1:24" x14ac:dyDescent="0.2">
      <c r="A29" s="20">
        <f t="shared" si="1"/>
        <v>28</v>
      </c>
      <c r="B29" s="21" t="s">
        <v>934</v>
      </c>
      <c r="C29" s="22"/>
      <c r="D29" s="21" t="s">
        <v>976</v>
      </c>
      <c r="E29" s="22" t="s">
        <v>109</v>
      </c>
      <c r="F29" s="22" t="s">
        <v>163</v>
      </c>
      <c r="G29" s="22"/>
      <c r="H29" s="22" t="s">
        <v>387</v>
      </c>
      <c r="I29" s="22"/>
      <c r="J29" s="23">
        <v>1</v>
      </c>
      <c r="K29" s="24">
        <v>46274</v>
      </c>
      <c r="L29" s="24">
        <v>46274</v>
      </c>
      <c r="M29" s="24">
        <v>46274</v>
      </c>
      <c r="N29" s="21" t="s">
        <v>388</v>
      </c>
      <c r="O29" s="21"/>
      <c r="P29" s="21"/>
      <c r="Q29" s="21"/>
      <c r="R29" s="21"/>
      <c r="S29" s="21"/>
      <c r="T29" s="21"/>
      <c r="U29" s="21"/>
      <c r="V29" s="21"/>
      <c r="W29" s="36"/>
      <c r="X29" s="29" t="s">
        <v>971</v>
      </c>
    </row>
    <row r="30" spans="1:24" x14ac:dyDescent="0.2">
      <c r="A30" s="20">
        <f t="shared" si="1"/>
        <v>29</v>
      </c>
      <c r="B30" s="21" t="s">
        <v>977</v>
      </c>
      <c r="C30" s="22"/>
      <c r="D30" s="21" t="s">
        <v>978</v>
      </c>
      <c r="E30" s="22" t="s">
        <v>109</v>
      </c>
      <c r="F30" s="22" t="s">
        <v>163</v>
      </c>
      <c r="G30" s="22"/>
      <c r="H30" s="22" t="s">
        <v>963</v>
      </c>
      <c r="I30" s="22"/>
      <c r="J30" s="23">
        <v>1</v>
      </c>
      <c r="K30" s="24">
        <v>46274</v>
      </c>
      <c r="L30" s="24">
        <v>46274</v>
      </c>
      <c r="M30" s="24">
        <v>46274</v>
      </c>
      <c r="N30" s="21" t="s">
        <v>388</v>
      </c>
      <c r="O30" s="21"/>
      <c r="P30" s="21"/>
      <c r="Q30" s="21"/>
      <c r="R30" s="21"/>
      <c r="S30" s="21"/>
      <c r="T30" s="21"/>
      <c r="U30" s="21"/>
      <c r="V30" s="21"/>
      <c r="W30" s="36"/>
      <c r="X30" s="48"/>
    </row>
    <row r="31" spans="1:24" x14ac:dyDescent="0.2">
      <c r="A31" s="20">
        <f t="shared" si="1"/>
        <v>30</v>
      </c>
      <c r="B31" s="21" t="s">
        <v>934</v>
      </c>
      <c r="C31" s="22"/>
      <c r="D31" s="21" t="s">
        <v>979</v>
      </c>
      <c r="E31" s="22" t="s">
        <v>109</v>
      </c>
      <c r="F31" s="22" t="s">
        <v>163</v>
      </c>
      <c r="G31" s="22"/>
      <c r="H31" s="22" t="s">
        <v>387</v>
      </c>
      <c r="I31" s="22"/>
      <c r="J31" s="23">
        <v>1</v>
      </c>
      <c r="K31" s="24">
        <v>46275</v>
      </c>
      <c r="L31" s="24">
        <v>46275</v>
      </c>
      <c r="M31" s="24">
        <v>46275</v>
      </c>
      <c r="N31" s="21" t="s">
        <v>388</v>
      </c>
      <c r="O31" s="21"/>
      <c r="P31" s="21"/>
      <c r="Q31" s="21"/>
      <c r="R31" s="21"/>
      <c r="S31" s="21"/>
      <c r="T31" s="21"/>
      <c r="U31" s="21"/>
      <c r="V31" s="21"/>
      <c r="W31" s="36"/>
      <c r="X31" s="29" t="s">
        <v>971</v>
      </c>
    </row>
    <row r="32" spans="1:24" x14ac:dyDescent="0.2">
      <c r="A32" s="20">
        <f t="shared" si="1"/>
        <v>31</v>
      </c>
      <c r="B32" s="21" t="s">
        <v>934</v>
      </c>
      <c r="C32" s="22"/>
      <c r="D32" s="21" t="s">
        <v>980</v>
      </c>
      <c r="E32" s="22" t="s">
        <v>109</v>
      </c>
      <c r="F32" s="22" t="s">
        <v>163</v>
      </c>
      <c r="G32" s="22"/>
      <c r="H32" s="22" t="s">
        <v>387</v>
      </c>
      <c r="I32" s="22"/>
      <c r="J32" s="23">
        <v>1</v>
      </c>
      <c r="K32" s="24">
        <v>46276</v>
      </c>
      <c r="L32" s="24">
        <v>46276</v>
      </c>
      <c r="M32" s="24">
        <v>46276</v>
      </c>
      <c r="N32" s="21" t="s">
        <v>388</v>
      </c>
      <c r="O32" s="21"/>
      <c r="P32" s="21"/>
      <c r="Q32" s="21"/>
      <c r="R32" s="21"/>
      <c r="S32" s="21"/>
      <c r="T32" s="21"/>
      <c r="U32" s="21"/>
      <c r="V32" s="21"/>
      <c r="W32" s="36"/>
      <c r="X32" s="29" t="s">
        <v>971</v>
      </c>
    </row>
    <row r="33" spans="1:24" ht="30" x14ac:dyDescent="0.2">
      <c r="A33" s="20">
        <f t="shared" si="1"/>
        <v>32</v>
      </c>
      <c r="B33" s="21" t="s">
        <v>934</v>
      </c>
      <c r="C33" s="22"/>
      <c r="D33" s="21" t="s">
        <v>981</v>
      </c>
      <c r="E33" s="22" t="s">
        <v>109</v>
      </c>
      <c r="F33" s="22" t="s">
        <v>163</v>
      </c>
      <c r="G33" s="22"/>
      <c r="H33" s="22" t="s">
        <v>387</v>
      </c>
      <c r="I33" s="22"/>
      <c r="J33" s="23">
        <v>1</v>
      </c>
      <c r="K33" s="24">
        <v>46279</v>
      </c>
      <c r="L33" s="24">
        <v>46279</v>
      </c>
      <c r="M33" s="24">
        <v>46279</v>
      </c>
      <c r="N33" s="21" t="s">
        <v>388</v>
      </c>
      <c r="O33" s="21"/>
      <c r="P33" s="21"/>
      <c r="Q33" s="21"/>
      <c r="R33" s="21"/>
      <c r="S33" s="21"/>
      <c r="T33" s="21"/>
      <c r="U33" s="21"/>
      <c r="V33" s="21"/>
      <c r="W33" s="36"/>
      <c r="X33" s="29" t="s">
        <v>971</v>
      </c>
    </row>
    <row r="34" spans="1:24" ht="32" x14ac:dyDescent="0.2">
      <c r="A34" s="20">
        <f t="shared" si="1"/>
        <v>33</v>
      </c>
      <c r="B34" s="21" t="s">
        <v>934</v>
      </c>
      <c r="C34" s="22"/>
      <c r="D34" s="34" t="s">
        <v>982</v>
      </c>
      <c r="E34" s="22" t="s">
        <v>109</v>
      </c>
      <c r="F34" s="22" t="s">
        <v>163</v>
      </c>
      <c r="G34" s="22"/>
      <c r="H34" s="22" t="s">
        <v>387</v>
      </c>
      <c r="I34" s="22"/>
      <c r="J34" s="23">
        <v>1</v>
      </c>
      <c r="K34" s="24">
        <v>46280</v>
      </c>
      <c r="L34" s="24">
        <v>46280</v>
      </c>
      <c r="M34" s="24">
        <v>46280</v>
      </c>
      <c r="N34" s="21" t="s">
        <v>388</v>
      </c>
      <c r="O34" s="21"/>
      <c r="P34" s="21"/>
      <c r="Q34" s="21"/>
      <c r="R34" s="21"/>
      <c r="S34" s="21"/>
      <c r="T34" s="21"/>
      <c r="U34" s="21"/>
      <c r="V34" s="21"/>
      <c r="W34" s="36"/>
      <c r="X34" s="29" t="s">
        <v>971</v>
      </c>
    </row>
    <row r="35" spans="1:24" ht="32" x14ac:dyDescent="0.2">
      <c r="A35" s="20">
        <v>34</v>
      </c>
      <c r="B35" s="21" t="s">
        <v>934</v>
      </c>
      <c r="C35" s="22"/>
      <c r="D35" s="34" t="s">
        <v>983</v>
      </c>
      <c r="E35" s="22" t="s">
        <v>109</v>
      </c>
      <c r="F35" s="22" t="s">
        <v>163</v>
      </c>
      <c r="G35" s="22"/>
      <c r="H35" s="22" t="s">
        <v>387</v>
      </c>
      <c r="I35" s="22"/>
      <c r="J35" s="23">
        <v>1</v>
      </c>
      <c r="K35" s="24">
        <v>46281</v>
      </c>
      <c r="L35" s="24">
        <v>46281</v>
      </c>
      <c r="M35" s="24">
        <v>46281</v>
      </c>
      <c r="N35" s="21" t="s">
        <v>388</v>
      </c>
      <c r="O35" s="21"/>
      <c r="P35" s="21"/>
      <c r="Q35" s="21"/>
      <c r="R35" s="21"/>
      <c r="S35" s="21"/>
      <c r="T35" s="37"/>
      <c r="U35" s="37"/>
      <c r="V35" s="21"/>
      <c r="W35" s="36"/>
      <c r="X35" s="29" t="s">
        <v>971</v>
      </c>
    </row>
    <row r="36" spans="1:24" ht="128" x14ac:dyDescent="0.2">
      <c r="A36" s="20">
        <f>IF(OR(D36&lt;&gt;"", B36&lt;&gt;""), ROW()-1, "")</f>
        <v>35</v>
      </c>
      <c r="B36" s="21" t="s">
        <v>934</v>
      </c>
      <c r="C36" s="22"/>
      <c r="D36" s="39" t="s">
        <v>984</v>
      </c>
      <c r="E36" s="22" t="s">
        <v>109</v>
      </c>
      <c r="F36" s="22" t="s">
        <v>163</v>
      </c>
      <c r="G36" s="22"/>
      <c r="H36" s="22" t="s">
        <v>387</v>
      </c>
      <c r="I36" s="22"/>
      <c r="J36" s="23">
        <v>1</v>
      </c>
      <c r="K36" s="24">
        <v>46282</v>
      </c>
      <c r="L36" s="24">
        <v>46282</v>
      </c>
      <c r="M36" s="24">
        <v>46282</v>
      </c>
      <c r="N36" s="21" t="s">
        <v>388</v>
      </c>
      <c r="O36" s="21"/>
      <c r="P36" s="21"/>
      <c r="Q36" s="21"/>
      <c r="R36" s="21"/>
      <c r="S36" s="36"/>
      <c r="T36" s="48"/>
      <c r="U36" s="48"/>
      <c r="V36" s="60" t="s">
        <v>985</v>
      </c>
      <c r="W36" s="65" t="s">
        <v>986</v>
      </c>
      <c r="X36" s="29" t="s">
        <v>971</v>
      </c>
    </row>
    <row r="37" spans="1:24" x14ac:dyDescent="0.2">
      <c r="A37" s="20">
        <v>36</v>
      </c>
      <c r="B37" s="21" t="s">
        <v>934</v>
      </c>
      <c r="C37" s="22"/>
      <c r="D37" s="21" t="s">
        <v>987</v>
      </c>
      <c r="E37" s="22" t="s">
        <v>109</v>
      </c>
      <c r="F37" s="22" t="s">
        <v>163</v>
      </c>
      <c r="G37" s="22"/>
      <c r="H37" s="22" t="s">
        <v>387</v>
      </c>
      <c r="I37" s="22"/>
      <c r="J37" s="23">
        <v>1</v>
      </c>
      <c r="K37" s="24">
        <v>46283</v>
      </c>
      <c r="L37" s="24">
        <v>46283</v>
      </c>
      <c r="M37" s="24">
        <v>46283</v>
      </c>
      <c r="N37" s="21" t="s">
        <v>388</v>
      </c>
      <c r="O37" s="21"/>
      <c r="P37" s="21"/>
      <c r="Q37" s="21"/>
      <c r="R37" s="21"/>
      <c r="S37" s="21"/>
      <c r="T37" s="38"/>
      <c r="U37" s="38"/>
      <c r="V37" s="21"/>
      <c r="W37" s="36"/>
      <c r="X37" s="29" t="s">
        <v>971</v>
      </c>
    </row>
    <row r="38" spans="1:24" x14ac:dyDescent="0.2">
      <c r="A38" s="20">
        <v>37</v>
      </c>
      <c r="B38" s="21" t="s">
        <v>170</v>
      </c>
      <c r="C38" s="22"/>
      <c r="D38" s="21" t="s">
        <v>988</v>
      </c>
      <c r="E38" s="22" t="s">
        <v>109</v>
      </c>
      <c r="F38" s="22" t="s">
        <v>163</v>
      </c>
      <c r="G38" s="22"/>
      <c r="H38" s="22" t="s">
        <v>173</v>
      </c>
      <c r="I38" s="22"/>
      <c r="J38" s="23">
        <v>1</v>
      </c>
      <c r="K38" s="24">
        <v>46283</v>
      </c>
      <c r="L38" s="24">
        <v>46283</v>
      </c>
      <c r="M38" s="24">
        <v>46283</v>
      </c>
      <c r="N38" s="21" t="s">
        <v>388</v>
      </c>
      <c r="O38" s="21"/>
      <c r="P38" s="21"/>
      <c r="Q38" s="21"/>
      <c r="R38" s="21"/>
      <c r="S38" s="21"/>
      <c r="T38" s="21"/>
      <c r="U38" s="21"/>
      <c r="V38" s="21"/>
      <c r="W38" s="36"/>
      <c r="X38" s="29" t="s">
        <v>989</v>
      </c>
    </row>
    <row r="39" spans="1:24" x14ac:dyDescent="0.2">
      <c r="A39" s="20">
        <v>38</v>
      </c>
      <c r="B39" s="21" t="s">
        <v>990</v>
      </c>
      <c r="C39" s="22"/>
      <c r="D39" s="21" t="s">
        <v>991</v>
      </c>
      <c r="E39" s="22" t="s">
        <v>109</v>
      </c>
      <c r="F39" s="22" t="s">
        <v>163</v>
      </c>
      <c r="G39" s="22"/>
      <c r="H39" s="22" t="s">
        <v>632</v>
      </c>
      <c r="I39" s="22"/>
      <c r="J39" s="23">
        <v>1</v>
      </c>
      <c r="K39" s="24">
        <v>46286</v>
      </c>
      <c r="L39" s="24">
        <v>46286</v>
      </c>
      <c r="M39" s="24">
        <v>46286</v>
      </c>
      <c r="N39" s="21" t="s">
        <v>388</v>
      </c>
      <c r="O39" s="21"/>
      <c r="P39" s="21"/>
      <c r="Q39" s="21"/>
      <c r="R39" s="21"/>
      <c r="S39" s="21"/>
      <c r="T39" s="21"/>
      <c r="U39" s="21"/>
      <c r="V39" s="21"/>
      <c r="W39" s="36"/>
      <c r="X39" s="67" t="s">
        <v>989</v>
      </c>
    </row>
    <row r="40" spans="1:24" x14ac:dyDescent="0.2">
      <c r="A40" s="20">
        <v>39</v>
      </c>
      <c r="B40" s="21" t="s">
        <v>990</v>
      </c>
      <c r="C40" s="22"/>
      <c r="D40" s="21" t="s">
        <v>992</v>
      </c>
      <c r="E40" s="22" t="s">
        <v>109</v>
      </c>
      <c r="F40" s="22" t="s">
        <v>163</v>
      </c>
      <c r="G40" s="22"/>
      <c r="H40" s="22" t="s">
        <v>632</v>
      </c>
      <c r="I40" s="22"/>
      <c r="J40" s="23">
        <v>1</v>
      </c>
      <c r="K40" s="24">
        <v>46287</v>
      </c>
      <c r="L40" s="24">
        <v>46287</v>
      </c>
      <c r="M40" s="24">
        <v>46287</v>
      </c>
      <c r="N40" s="21" t="s">
        <v>388</v>
      </c>
      <c r="O40" s="21"/>
      <c r="P40" s="21"/>
      <c r="Q40" s="21"/>
      <c r="R40" s="21"/>
      <c r="S40" s="21"/>
      <c r="T40" s="21"/>
      <c r="U40" s="21"/>
      <c r="V40" s="21"/>
      <c r="W40" s="36"/>
      <c r="X40" s="29" t="s">
        <v>993</v>
      </c>
    </row>
    <row r="41" spans="1:24" x14ac:dyDescent="0.2">
      <c r="A41" s="20">
        <v>40</v>
      </c>
      <c r="B41" s="21" t="s">
        <v>994</v>
      </c>
      <c r="C41" s="22"/>
      <c r="D41" s="21" t="s">
        <v>995</v>
      </c>
      <c r="E41" s="22" t="s">
        <v>109</v>
      </c>
      <c r="F41" s="22" t="s">
        <v>163</v>
      </c>
      <c r="G41" s="22"/>
      <c r="H41" s="22" t="s">
        <v>387</v>
      </c>
      <c r="I41" s="22"/>
      <c r="J41" s="23">
        <v>1</v>
      </c>
      <c r="K41" s="24">
        <v>46288</v>
      </c>
      <c r="L41" s="24">
        <v>46288</v>
      </c>
      <c r="M41" s="24">
        <v>46288</v>
      </c>
      <c r="N41" s="21" t="s">
        <v>388</v>
      </c>
      <c r="O41" s="21"/>
      <c r="P41" s="21"/>
      <c r="Q41" s="21"/>
      <c r="R41" s="21"/>
      <c r="S41" s="21"/>
      <c r="T41" s="21"/>
      <c r="U41" s="21"/>
      <c r="V41" s="21"/>
      <c r="W41" s="36"/>
      <c r="X41" s="68"/>
    </row>
    <row r="42" spans="1:24" x14ac:dyDescent="0.2">
      <c r="A42" s="20">
        <f>IF(OR(D42&lt;&gt;"", B42&lt;&gt;""), ROW()-1, "")</f>
        <v>41</v>
      </c>
      <c r="B42" s="21" t="s">
        <v>876</v>
      </c>
      <c r="C42" s="22"/>
      <c r="D42" s="21" t="s">
        <v>996</v>
      </c>
      <c r="E42" s="22" t="s">
        <v>109</v>
      </c>
      <c r="F42" s="22" t="s">
        <v>163</v>
      </c>
      <c r="G42" s="22"/>
      <c r="H42" s="22" t="s">
        <v>632</v>
      </c>
      <c r="I42" s="22"/>
      <c r="J42" s="23">
        <v>1</v>
      </c>
      <c r="K42" s="24">
        <v>46289</v>
      </c>
      <c r="L42" s="24">
        <v>46289</v>
      </c>
      <c r="M42" s="24">
        <v>46289</v>
      </c>
      <c r="N42" s="21" t="s">
        <v>388</v>
      </c>
      <c r="O42" s="21"/>
      <c r="P42" s="21"/>
      <c r="Q42" s="21"/>
      <c r="R42" s="21"/>
      <c r="S42" s="21"/>
      <c r="T42" s="21"/>
      <c r="U42" s="21"/>
      <c r="V42" s="21"/>
      <c r="W42" s="36"/>
      <c r="X42" s="48"/>
    </row>
    <row r="43" spans="1:24" x14ac:dyDescent="0.2">
      <c r="A43" s="20">
        <v>42</v>
      </c>
      <c r="B43" s="21" t="s">
        <v>876</v>
      </c>
      <c r="C43" s="22"/>
      <c r="D43" s="21" t="s">
        <v>997</v>
      </c>
      <c r="E43" s="22" t="s">
        <v>109</v>
      </c>
      <c r="F43" s="22" t="s">
        <v>163</v>
      </c>
      <c r="G43" s="22"/>
      <c r="H43" s="22" t="s">
        <v>632</v>
      </c>
      <c r="I43" s="22"/>
      <c r="J43" s="23">
        <v>1</v>
      </c>
      <c r="K43" s="24">
        <v>46290</v>
      </c>
      <c r="L43" s="24">
        <v>46290</v>
      </c>
      <c r="M43" s="24">
        <v>46290</v>
      </c>
      <c r="N43" s="21" t="s">
        <v>388</v>
      </c>
      <c r="O43" s="21"/>
      <c r="P43" s="21"/>
      <c r="Q43" s="21"/>
      <c r="R43" s="21"/>
      <c r="S43" s="21"/>
      <c r="T43" s="21"/>
      <c r="U43" s="21"/>
      <c r="V43" s="21"/>
      <c r="W43" s="36"/>
      <c r="X43" s="48"/>
    </row>
    <row r="44" spans="1:24" x14ac:dyDescent="0.2">
      <c r="A44" s="84">
        <v>43</v>
      </c>
      <c r="B44" s="69"/>
      <c r="C44" s="83"/>
      <c r="D44" s="69"/>
      <c r="E44" s="83"/>
      <c r="F44" s="83"/>
      <c r="G44" s="83"/>
      <c r="H44" s="83"/>
      <c r="I44" s="83"/>
      <c r="J44" s="83"/>
      <c r="K44" s="85">
        <v>46293</v>
      </c>
      <c r="L44" s="85">
        <v>46293</v>
      </c>
      <c r="M44" s="85">
        <v>46293</v>
      </c>
      <c r="N44" s="69"/>
      <c r="O44" s="69"/>
      <c r="P44" s="69"/>
      <c r="Q44" s="69"/>
      <c r="R44" s="69"/>
      <c r="S44" s="69"/>
      <c r="T44" s="69"/>
      <c r="U44" s="69"/>
      <c r="V44" s="69"/>
      <c r="W44" s="86"/>
      <c r="X44" s="87" t="s">
        <v>998</v>
      </c>
    </row>
    <row r="45" spans="1:24" x14ac:dyDescent="0.2">
      <c r="A45" s="20">
        <v>44</v>
      </c>
      <c r="B45" s="21" t="s">
        <v>876</v>
      </c>
      <c r="C45" s="22"/>
      <c r="D45" s="21" t="s">
        <v>999</v>
      </c>
      <c r="E45" s="22" t="s">
        <v>109</v>
      </c>
      <c r="F45" s="22" t="s">
        <v>163</v>
      </c>
      <c r="G45" s="22"/>
      <c r="H45" s="22" t="s">
        <v>632</v>
      </c>
      <c r="I45" s="22"/>
      <c r="J45" s="23">
        <v>1</v>
      </c>
      <c r="K45" s="24">
        <v>46294</v>
      </c>
      <c r="L45" s="24">
        <v>46294</v>
      </c>
      <c r="M45" s="24">
        <v>46294</v>
      </c>
      <c r="N45" s="21" t="s">
        <v>388</v>
      </c>
      <c r="O45" s="21"/>
      <c r="P45" s="21"/>
      <c r="Q45" s="21"/>
      <c r="R45" s="21"/>
      <c r="S45" s="21"/>
      <c r="T45" s="21"/>
      <c r="U45" s="21"/>
      <c r="V45" s="21"/>
      <c r="W45" s="36"/>
      <c r="X45" s="48"/>
    </row>
    <row r="46" spans="1:24" x14ac:dyDescent="0.2">
      <c r="A46" s="20">
        <v>45</v>
      </c>
      <c r="B46" s="21" t="s">
        <v>876</v>
      </c>
      <c r="C46" s="22"/>
      <c r="D46" s="21" t="s">
        <v>1000</v>
      </c>
      <c r="E46" s="22" t="s">
        <v>109</v>
      </c>
      <c r="F46" s="22" t="s">
        <v>163</v>
      </c>
      <c r="G46" s="22"/>
      <c r="H46" s="22" t="s">
        <v>632</v>
      </c>
      <c r="I46" s="22"/>
      <c r="J46" s="23">
        <v>1</v>
      </c>
      <c r="K46" s="24">
        <v>46295</v>
      </c>
      <c r="L46" s="24">
        <v>46296</v>
      </c>
      <c r="M46" s="24">
        <v>46296</v>
      </c>
      <c r="N46" s="21" t="s">
        <v>388</v>
      </c>
      <c r="O46" s="21"/>
      <c r="P46" s="21"/>
      <c r="Q46" s="21"/>
      <c r="R46" s="21"/>
      <c r="S46" s="21"/>
      <c r="T46" s="21"/>
      <c r="U46" s="21"/>
      <c r="V46" s="21"/>
      <c r="W46" s="36"/>
      <c r="X46" s="48"/>
    </row>
    <row r="47" spans="1:24" x14ac:dyDescent="0.2">
      <c r="A47" s="20">
        <v>46</v>
      </c>
      <c r="B47" s="21" t="s">
        <v>876</v>
      </c>
      <c r="C47" s="22"/>
      <c r="D47" s="21" t="s">
        <v>1001</v>
      </c>
      <c r="E47" s="22" t="s">
        <v>109</v>
      </c>
      <c r="F47" s="22" t="s">
        <v>172</v>
      </c>
      <c r="G47" s="22"/>
      <c r="H47" s="22" t="s">
        <v>632</v>
      </c>
      <c r="I47" s="22"/>
      <c r="J47" s="23">
        <v>1</v>
      </c>
      <c r="K47" s="24">
        <v>46296</v>
      </c>
      <c r="L47" s="24">
        <v>46296</v>
      </c>
      <c r="M47" s="24">
        <v>46296</v>
      </c>
      <c r="N47" s="21" t="s">
        <v>388</v>
      </c>
      <c r="O47" s="21"/>
      <c r="P47" s="21"/>
      <c r="Q47" s="21"/>
      <c r="R47" s="21"/>
      <c r="S47" s="21"/>
      <c r="T47" s="21"/>
      <c r="U47" s="21"/>
      <c r="V47" s="21"/>
      <c r="W47" s="36"/>
      <c r="X47" s="48"/>
    </row>
    <row r="48" spans="1:24" ht="105" customHeight="1" x14ac:dyDescent="0.2">
      <c r="A48" s="20">
        <v>47</v>
      </c>
      <c r="B48" s="21" t="s">
        <v>876</v>
      </c>
      <c r="C48" s="22"/>
      <c r="D48" s="21" t="s">
        <v>1002</v>
      </c>
      <c r="E48" s="22" t="s">
        <v>109</v>
      </c>
      <c r="F48" s="22" t="s">
        <v>172</v>
      </c>
      <c r="G48" s="22"/>
      <c r="H48" s="22" t="s">
        <v>632</v>
      </c>
      <c r="I48" s="22"/>
      <c r="J48" s="23">
        <v>1</v>
      </c>
      <c r="K48" s="24">
        <v>46300</v>
      </c>
      <c r="L48" s="24">
        <v>46300</v>
      </c>
      <c r="M48" s="24">
        <v>46300</v>
      </c>
      <c r="N48" s="21" t="s">
        <v>388</v>
      </c>
      <c r="O48" s="21"/>
      <c r="P48" s="21"/>
      <c r="Q48" s="21"/>
      <c r="R48" s="21"/>
      <c r="S48" s="21"/>
      <c r="T48" s="21"/>
      <c r="U48" s="21"/>
      <c r="V48" s="21" t="s">
        <v>1003</v>
      </c>
      <c r="W48" s="36" t="s">
        <v>1004</v>
      </c>
      <c r="X48" s="48"/>
    </row>
    <row r="49" spans="1:24" ht="45" x14ac:dyDescent="0.2">
      <c r="A49" s="20">
        <v>48</v>
      </c>
      <c r="B49" s="21" t="s">
        <v>876</v>
      </c>
      <c r="C49" s="22"/>
      <c r="D49" s="21" t="s">
        <v>1005</v>
      </c>
      <c r="E49" s="22" t="s">
        <v>109</v>
      </c>
      <c r="F49" s="22" t="s">
        <v>172</v>
      </c>
      <c r="G49" s="22"/>
      <c r="H49" s="22" t="s">
        <v>632</v>
      </c>
      <c r="I49" s="22"/>
      <c r="J49" s="23">
        <v>1</v>
      </c>
      <c r="K49" s="24">
        <v>46301</v>
      </c>
      <c r="L49" s="24">
        <v>46301</v>
      </c>
      <c r="M49" s="24">
        <v>46301</v>
      </c>
      <c r="N49" s="21" t="s">
        <v>388</v>
      </c>
      <c r="O49" s="21"/>
      <c r="P49" s="21"/>
      <c r="Q49" s="21"/>
      <c r="R49" s="21"/>
      <c r="S49" s="21"/>
      <c r="T49" s="21"/>
      <c r="U49" s="21"/>
      <c r="V49" s="21" t="s">
        <v>1006</v>
      </c>
      <c r="W49" s="36" t="s">
        <v>1007</v>
      </c>
      <c r="X49" s="48"/>
    </row>
    <row r="50" spans="1:24" ht="103.5" customHeight="1" x14ac:dyDescent="0.2">
      <c r="A50" s="20">
        <v>49</v>
      </c>
      <c r="B50" s="21" t="s">
        <v>876</v>
      </c>
      <c r="C50" s="22"/>
      <c r="D50" s="21" t="s">
        <v>1008</v>
      </c>
      <c r="E50" s="22" t="s">
        <v>109</v>
      </c>
      <c r="F50" s="22" t="s">
        <v>172</v>
      </c>
      <c r="G50" s="22"/>
      <c r="H50" s="22" t="s">
        <v>632</v>
      </c>
      <c r="I50" s="22"/>
      <c r="J50" s="23">
        <v>1</v>
      </c>
      <c r="K50" s="24">
        <v>46302</v>
      </c>
      <c r="L50" s="24">
        <v>46303</v>
      </c>
      <c r="M50" s="24">
        <v>46303</v>
      </c>
      <c r="N50" s="21" t="s">
        <v>388</v>
      </c>
      <c r="O50" s="21"/>
      <c r="P50" s="21"/>
      <c r="Q50" s="21"/>
      <c r="R50" s="21"/>
      <c r="S50" s="21"/>
      <c r="T50" s="21"/>
      <c r="U50" s="21"/>
      <c r="V50" s="21" t="s">
        <v>1009</v>
      </c>
      <c r="W50" s="36" t="s">
        <v>1010</v>
      </c>
      <c r="X50" s="48"/>
    </row>
    <row r="51" spans="1:24" ht="42" customHeight="1" x14ac:dyDescent="0.2">
      <c r="A51" s="20">
        <v>50</v>
      </c>
      <c r="B51" s="21" t="s">
        <v>994</v>
      </c>
      <c r="C51" s="22"/>
      <c r="D51" s="21" t="s">
        <v>1011</v>
      </c>
      <c r="E51" s="22" t="s">
        <v>109</v>
      </c>
      <c r="F51" s="22" t="s">
        <v>163</v>
      </c>
      <c r="G51" s="22"/>
      <c r="H51" s="22" t="s">
        <v>387</v>
      </c>
      <c r="I51" s="22"/>
      <c r="J51" s="23">
        <v>1</v>
      </c>
      <c r="K51" s="24">
        <v>46304</v>
      </c>
      <c r="L51" s="24">
        <v>46304</v>
      </c>
      <c r="M51" s="24">
        <v>46304</v>
      </c>
      <c r="N51" s="21" t="s">
        <v>388</v>
      </c>
      <c r="O51" s="21"/>
      <c r="P51" s="21"/>
      <c r="Q51" s="21"/>
      <c r="R51" s="21"/>
      <c r="S51" s="21"/>
      <c r="T51" s="21"/>
      <c r="U51" s="21"/>
      <c r="V51" s="21" t="s">
        <v>1012</v>
      </c>
      <c r="W51" s="36" t="s">
        <v>1013</v>
      </c>
      <c r="X51" s="48"/>
    </row>
    <row r="52" spans="1:24" ht="96.75" customHeight="1" x14ac:dyDescent="0.2">
      <c r="A52" s="20">
        <v>51</v>
      </c>
      <c r="B52" s="21" t="s">
        <v>876</v>
      </c>
      <c r="C52" s="22"/>
      <c r="D52" s="21" t="s">
        <v>1014</v>
      </c>
      <c r="E52" s="22" t="s">
        <v>109</v>
      </c>
      <c r="F52" s="22" t="s">
        <v>172</v>
      </c>
      <c r="G52" s="22"/>
      <c r="H52" s="22" t="s">
        <v>632</v>
      </c>
      <c r="I52" s="22"/>
      <c r="J52" s="23">
        <v>1</v>
      </c>
      <c r="K52" s="24">
        <v>46307</v>
      </c>
      <c r="L52" s="24">
        <v>46307</v>
      </c>
      <c r="M52" s="24">
        <v>46307</v>
      </c>
      <c r="N52" s="21" t="s">
        <v>388</v>
      </c>
      <c r="O52" s="21"/>
      <c r="P52" s="21"/>
      <c r="Q52" s="21"/>
      <c r="R52" s="21"/>
      <c r="S52" s="21"/>
      <c r="T52" s="21"/>
      <c r="U52" s="21"/>
      <c r="V52" s="21" t="s">
        <v>1015</v>
      </c>
      <c r="W52" s="36" t="s">
        <v>1016</v>
      </c>
      <c r="X52" s="48"/>
    </row>
    <row r="53" spans="1:24" ht="80.25" customHeight="1" x14ac:dyDescent="0.2">
      <c r="A53" s="20">
        <v>52</v>
      </c>
      <c r="B53" s="21" t="s">
        <v>994</v>
      </c>
      <c r="C53" s="22"/>
      <c r="D53" s="21" t="s">
        <v>1017</v>
      </c>
      <c r="E53" s="22" t="s">
        <v>109</v>
      </c>
      <c r="F53" s="22" t="s">
        <v>163</v>
      </c>
      <c r="G53" s="22"/>
      <c r="H53" s="22" t="s">
        <v>387</v>
      </c>
      <c r="I53" s="22"/>
      <c r="J53" s="23">
        <v>1</v>
      </c>
      <c r="K53" s="24">
        <v>46307</v>
      </c>
      <c r="L53" s="24">
        <v>46307</v>
      </c>
      <c r="M53" s="24">
        <v>46307</v>
      </c>
      <c r="N53" s="21" t="s">
        <v>388</v>
      </c>
      <c r="O53" s="21"/>
      <c r="P53" s="21"/>
      <c r="Q53" s="21"/>
      <c r="R53" s="21"/>
      <c r="S53" s="21"/>
      <c r="T53" s="21"/>
      <c r="U53" s="21"/>
      <c r="V53" s="21" t="s">
        <v>1018</v>
      </c>
      <c r="W53" s="94" t="s">
        <v>1019</v>
      </c>
      <c r="X53" s="48"/>
    </row>
    <row r="54" spans="1:24" x14ac:dyDescent="0.2">
      <c r="A54" s="20">
        <v>53</v>
      </c>
      <c r="B54" s="21" t="s">
        <v>876</v>
      </c>
      <c r="C54" s="22"/>
      <c r="D54" s="21" t="s">
        <v>1020</v>
      </c>
      <c r="E54" s="22" t="s">
        <v>109</v>
      </c>
      <c r="F54" s="22" t="s">
        <v>172</v>
      </c>
      <c r="G54" s="22"/>
      <c r="H54" s="22" t="s">
        <v>632</v>
      </c>
      <c r="I54" s="22"/>
      <c r="J54" s="23">
        <v>1</v>
      </c>
      <c r="K54" s="24">
        <v>46308</v>
      </c>
      <c r="L54" s="24">
        <v>46308</v>
      </c>
      <c r="M54" s="24">
        <v>46308</v>
      </c>
      <c r="N54" s="21" t="s">
        <v>388</v>
      </c>
      <c r="O54" s="21"/>
      <c r="P54" s="21"/>
      <c r="Q54" s="21"/>
      <c r="R54" s="21"/>
      <c r="S54" s="21"/>
      <c r="T54" s="21"/>
      <c r="U54" s="21"/>
      <c r="V54" s="21" t="s">
        <v>1021</v>
      </c>
      <c r="W54" s="21" t="s">
        <v>1021</v>
      </c>
      <c r="X54" s="48"/>
    </row>
    <row r="55" spans="1:24" x14ac:dyDescent="0.2">
      <c r="A55" s="20">
        <v>54</v>
      </c>
      <c r="B55" s="21" t="s">
        <v>876</v>
      </c>
      <c r="C55" s="22"/>
      <c r="D55" s="21" t="s">
        <v>1022</v>
      </c>
      <c r="E55" s="22" t="s">
        <v>109</v>
      </c>
      <c r="F55" s="22" t="s">
        <v>172</v>
      </c>
      <c r="G55" s="22"/>
      <c r="H55" s="22" t="s">
        <v>632</v>
      </c>
      <c r="I55" s="22"/>
      <c r="J55" s="23">
        <v>1</v>
      </c>
      <c r="K55" s="24">
        <v>46309</v>
      </c>
      <c r="L55" s="24">
        <v>46309</v>
      </c>
      <c r="M55" s="24">
        <v>46309</v>
      </c>
      <c r="N55" s="21" t="s">
        <v>388</v>
      </c>
      <c r="O55" s="21"/>
      <c r="P55" s="21"/>
      <c r="Q55" s="21"/>
      <c r="R55" s="21"/>
      <c r="S55" s="21"/>
      <c r="T55" s="21"/>
      <c r="U55" s="21"/>
      <c r="V55" s="21"/>
      <c r="W55" s="36"/>
      <c r="X55" s="48"/>
    </row>
    <row r="56" spans="1:24" ht="45" x14ac:dyDescent="0.2">
      <c r="A56" s="20">
        <v>55</v>
      </c>
      <c r="B56" s="21" t="s">
        <v>876</v>
      </c>
      <c r="C56" s="22"/>
      <c r="D56" s="97" t="s">
        <v>1023</v>
      </c>
      <c r="E56" s="22" t="s">
        <v>109</v>
      </c>
      <c r="F56" s="22" t="s">
        <v>172</v>
      </c>
      <c r="G56" s="22"/>
      <c r="H56" s="22" t="s">
        <v>632</v>
      </c>
      <c r="I56" s="22"/>
      <c r="J56" s="23">
        <v>1</v>
      </c>
      <c r="K56" s="24">
        <v>46310</v>
      </c>
      <c r="L56" s="24">
        <v>46310</v>
      </c>
      <c r="M56" s="24">
        <v>46310</v>
      </c>
      <c r="N56" s="21" t="s">
        <v>388</v>
      </c>
      <c r="O56" s="21"/>
      <c r="P56" s="21"/>
      <c r="Q56" s="21"/>
      <c r="R56" s="21"/>
      <c r="S56" s="21"/>
      <c r="T56" s="21"/>
      <c r="U56" s="21"/>
      <c r="V56" s="21"/>
      <c r="W56" s="36"/>
      <c r="X56" s="48"/>
    </row>
    <row r="57" spans="1:24" ht="45" x14ac:dyDescent="0.2">
      <c r="A57" s="20">
        <f>IF(OR(D57&lt;&gt;"", B57&lt;&gt;""), ROW()-1, "")</f>
        <v>56</v>
      </c>
      <c r="B57" s="21" t="s">
        <v>876</v>
      </c>
      <c r="C57" s="22"/>
      <c r="D57" s="21" t="s">
        <v>1024</v>
      </c>
      <c r="E57" s="22" t="s">
        <v>109</v>
      </c>
      <c r="F57" s="22" t="s">
        <v>172</v>
      </c>
      <c r="G57" s="22"/>
      <c r="H57" s="22" t="s">
        <v>632</v>
      </c>
      <c r="I57" s="22"/>
      <c r="J57" s="23">
        <v>1</v>
      </c>
      <c r="K57" s="24">
        <v>46311</v>
      </c>
      <c r="L57" s="24">
        <v>46311</v>
      </c>
      <c r="M57" s="24">
        <v>46311</v>
      </c>
      <c r="N57" s="21" t="s">
        <v>388</v>
      </c>
      <c r="O57" s="21"/>
      <c r="P57" s="21"/>
      <c r="Q57" s="21"/>
      <c r="R57" s="21"/>
      <c r="S57" s="21"/>
      <c r="T57" s="21"/>
      <c r="U57" s="21"/>
      <c r="V57" s="21"/>
      <c r="W57" s="36"/>
      <c r="X57" s="48"/>
    </row>
    <row r="58" spans="1:24" ht="70.5" customHeight="1" x14ac:dyDescent="0.2">
      <c r="A58" s="20">
        <f>IF(OR(D58&lt;&gt;"", B58&lt;&gt;""), ROW()-1, "")</f>
        <v>57</v>
      </c>
      <c r="B58" s="21" t="s">
        <v>1025</v>
      </c>
      <c r="C58" s="22"/>
      <c r="D58" s="21" t="s">
        <v>1026</v>
      </c>
      <c r="E58" s="22" t="s">
        <v>109</v>
      </c>
      <c r="F58" s="22" t="s">
        <v>172</v>
      </c>
      <c r="G58" s="22"/>
      <c r="H58" s="22" t="s">
        <v>1027</v>
      </c>
      <c r="I58" s="22"/>
      <c r="J58" s="23">
        <v>1</v>
      </c>
      <c r="K58" s="24">
        <v>46315</v>
      </c>
      <c r="L58" s="24">
        <v>46315</v>
      </c>
      <c r="M58" s="24">
        <v>46315</v>
      </c>
      <c r="N58" s="21" t="s">
        <v>388</v>
      </c>
      <c r="O58" s="21"/>
      <c r="P58" s="21"/>
      <c r="Q58" s="21"/>
      <c r="R58" s="21"/>
      <c r="S58" s="21"/>
      <c r="T58" s="21"/>
      <c r="U58" s="21"/>
      <c r="V58" s="21" t="s">
        <v>1028</v>
      </c>
      <c r="W58" s="36" t="s">
        <v>1029</v>
      </c>
      <c r="X58" s="48"/>
    </row>
    <row r="59" spans="1:24" ht="60" x14ac:dyDescent="0.2">
      <c r="A59" s="20">
        <f>IF(OR(D59&lt;&gt;"", B59&lt;&gt;""), ROW()-1, "")</f>
        <v>58</v>
      </c>
      <c r="B59" s="21" t="s">
        <v>1025</v>
      </c>
      <c r="C59" s="22"/>
      <c r="D59" s="21" t="s">
        <v>1030</v>
      </c>
      <c r="E59" s="22" t="s">
        <v>109</v>
      </c>
      <c r="F59" s="22" t="s">
        <v>172</v>
      </c>
      <c r="G59" s="22"/>
      <c r="H59" s="22" t="s">
        <v>1027</v>
      </c>
      <c r="I59" s="22"/>
      <c r="J59" s="23">
        <v>1</v>
      </c>
      <c r="K59" s="24">
        <v>46316</v>
      </c>
      <c r="L59" s="24">
        <v>46316</v>
      </c>
      <c r="M59" s="24">
        <v>46316</v>
      </c>
      <c r="N59" s="21" t="s">
        <v>388</v>
      </c>
      <c r="O59" s="21"/>
      <c r="P59" s="21"/>
      <c r="Q59" s="21"/>
      <c r="R59" s="21"/>
      <c r="S59" s="21"/>
      <c r="T59" s="21"/>
      <c r="U59" s="21"/>
      <c r="V59" s="36" t="s">
        <v>1031</v>
      </c>
      <c r="W59" s="36" t="s">
        <v>1032</v>
      </c>
      <c r="X59" s="48"/>
    </row>
    <row r="60" spans="1:24" ht="60" x14ac:dyDescent="0.2">
      <c r="A60" s="20">
        <v>59</v>
      </c>
      <c r="B60" s="21" t="s">
        <v>1025</v>
      </c>
      <c r="C60" s="22"/>
      <c r="D60" s="21" t="s">
        <v>1033</v>
      </c>
      <c r="E60" s="22" t="s">
        <v>109</v>
      </c>
      <c r="F60" s="22" t="s">
        <v>172</v>
      </c>
      <c r="G60" s="22"/>
      <c r="H60" s="22" t="s">
        <v>1027</v>
      </c>
      <c r="I60" s="22"/>
      <c r="J60" s="23">
        <v>1</v>
      </c>
      <c r="K60" s="24">
        <v>46317</v>
      </c>
      <c r="L60" s="24">
        <v>46317</v>
      </c>
      <c r="M60" s="24">
        <v>46317</v>
      </c>
      <c r="N60" s="21" t="s">
        <v>388</v>
      </c>
      <c r="O60" s="21"/>
      <c r="P60" s="21"/>
      <c r="Q60" s="21"/>
      <c r="R60" s="21"/>
      <c r="S60" s="21"/>
      <c r="T60" s="21"/>
      <c r="U60" s="21"/>
      <c r="V60" s="21" t="s">
        <v>1034</v>
      </c>
      <c r="W60" s="36" t="s">
        <v>1035</v>
      </c>
      <c r="X60" s="48"/>
    </row>
    <row r="61" spans="1:24" ht="30" x14ac:dyDescent="0.2">
      <c r="A61" s="20">
        <v>60</v>
      </c>
      <c r="B61" s="21" t="s">
        <v>1025</v>
      </c>
      <c r="C61" s="22"/>
      <c r="D61" s="21" t="s">
        <v>1036</v>
      </c>
      <c r="E61" s="22" t="s">
        <v>109</v>
      </c>
      <c r="F61" s="22"/>
      <c r="G61" s="22"/>
      <c r="H61" s="22"/>
      <c r="I61" s="22"/>
      <c r="J61" s="23">
        <v>1</v>
      </c>
      <c r="K61" s="24">
        <v>46318</v>
      </c>
      <c r="L61" s="24">
        <v>46318</v>
      </c>
      <c r="M61" s="24">
        <v>46318</v>
      </c>
      <c r="N61" s="21"/>
      <c r="O61" s="21"/>
      <c r="P61" s="21"/>
      <c r="Q61" s="21"/>
      <c r="R61" s="21"/>
      <c r="S61" s="21"/>
      <c r="T61" s="21"/>
      <c r="U61" s="21"/>
      <c r="V61" s="21"/>
      <c r="W61" s="36"/>
      <c r="X61" s="48"/>
    </row>
    <row r="62" spans="1:24" x14ac:dyDescent="0.2">
      <c r="A62" s="20" t="str">
        <f t="shared" ref="A62:A93" si="2">IF(OR(D62&lt;&gt;"", B62&lt;&gt;""), ROW()-1, "")</f>
        <v/>
      </c>
      <c r="B62" s="21"/>
      <c r="C62" s="22"/>
      <c r="D62" s="21"/>
      <c r="E62" s="22"/>
      <c r="F62" s="22"/>
      <c r="G62" s="22"/>
      <c r="H62" s="22"/>
      <c r="I62" s="22"/>
      <c r="J62" s="22"/>
      <c r="K62" s="22"/>
      <c r="L62" s="22"/>
      <c r="M62" s="22"/>
      <c r="N62" s="21"/>
      <c r="O62" s="21"/>
      <c r="P62" s="21"/>
      <c r="Q62" s="21"/>
      <c r="R62" s="21"/>
      <c r="S62" s="21"/>
      <c r="T62" s="21"/>
      <c r="U62" s="21"/>
      <c r="V62" s="21"/>
      <c r="W62" s="36"/>
      <c r="X62" s="48"/>
    </row>
    <row r="63" spans="1:24" x14ac:dyDescent="0.2">
      <c r="A63" s="20" t="str">
        <f t="shared" si="2"/>
        <v/>
      </c>
      <c r="B63" s="21"/>
      <c r="C63" s="22"/>
      <c r="D63" s="21"/>
      <c r="E63" s="22"/>
      <c r="F63" s="22"/>
      <c r="G63" s="22"/>
      <c r="H63" s="22"/>
      <c r="I63" s="22"/>
      <c r="J63" s="22"/>
      <c r="K63" s="22"/>
      <c r="L63" s="22"/>
      <c r="M63" s="22"/>
      <c r="N63" s="21"/>
      <c r="O63" s="21"/>
      <c r="P63" s="21"/>
      <c r="Q63" s="21"/>
      <c r="R63" s="21"/>
      <c r="S63" s="21"/>
      <c r="T63" s="21"/>
      <c r="U63" s="21"/>
      <c r="V63" s="21"/>
      <c r="W63" s="36"/>
      <c r="X63" s="48"/>
    </row>
    <row r="64" spans="1:24" x14ac:dyDescent="0.2">
      <c r="A64" s="20" t="str">
        <f t="shared" si="2"/>
        <v/>
      </c>
      <c r="B64" s="21"/>
      <c r="C64" s="22"/>
      <c r="D64" s="21"/>
      <c r="E64" s="22"/>
      <c r="F64" s="22"/>
      <c r="G64" s="22"/>
      <c r="H64" s="22"/>
      <c r="I64" s="22"/>
      <c r="J64" s="22"/>
      <c r="K64" s="22"/>
      <c r="L64" s="22"/>
      <c r="M64" s="22"/>
      <c r="N64" s="21"/>
      <c r="O64" s="21"/>
      <c r="P64" s="21"/>
      <c r="Q64" s="21"/>
      <c r="R64" s="21"/>
      <c r="S64" s="21"/>
      <c r="T64" s="21"/>
      <c r="U64" s="21"/>
      <c r="V64" s="21"/>
      <c r="W64" s="36"/>
      <c r="X64" s="48"/>
    </row>
    <row r="65" spans="1:24" x14ac:dyDescent="0.2">
      <c r="A65" s="20" t="str">
        <f t="shared" si="2"/>
        <v/>
      </c>
      <c r="B65" s="21"/>
      <c r="C65" s="22"/>
      <c r="D65" s="21"/>
      <c r="E65" s="22"/>
      <c r="F65" s="22"/>
      <c r="G65" s="22"/>
      <c r="H65" s="22"/>
      <c r="I65" s="22"/>
      <c r="J65" s="22"/>
      <c r="K65" s="22"/>
      <c r="L65" s="22"/>
      <c r="M65" s="22"/>
      <c r="N65" s="21"/>
      <c r="O65" s="21"/>
      <c r="P65" s="21"/>
      <c r="Q65" s="21"/>
      <c r="R65" s="21"/>
      <c r="S65" s="21"/>
      <c r="T65" s="21"/>
      <c r="U65" s="21"/>
      <c r="V65" s="21"/>
      <c r="W65" s="36"/>
      <c r="X65" s="48"/>
    </row>
    <row r="66" spans="1:24" x14ac:dyDescent="0.2">
      <c r="A66" s="20" t="str">
        <f t="shared" si="2"/>
        <v/>
      </c>
      <c r="B66" s="21"/>
      <c r="C66" s="22"/>
      <c r="D66" s="21"/>
      <c r="E66" s="22"/>
      <c r="F66" s="22"/>
      <c r="G66" s="22"/>
      <c r="H66" s="22"/>
      <c r="I66" s="22"/>
      <c r="J66" s="22"/>
      <c r="K66" s="22"/>
      <c r="L66" s="22"/>
      <c r="M66" s="22"/>
      <c r="N66" s="21"/>
      <c r="O66" s="21"/>
      <c r="P66" s="21"/>
      <c r="Q66" s="21"/>
      <c r="R66" s="21"/>
      <c r="S66" s="21"/>
      <c r="T66" s="21"/>
      <c r="U66" s="21"/>
      <c r="V66" s="21"/>
      <c r="W66" s="36"/>
      <c r="X66" s="48"/>
    </row>
    <row r="67" spans="1:24" x14ac:dyDescent="0.2">
      <c r="A67" s="20" t="str">
        <f t="shared" si="2"/>
        <v/>
      </c>
      <c r="B67" s="21"/>
      <c r="C67" s="22"/>
      <c r="D67" s="21"/>
      <c r="E67" s="22"/>
      <c r="F67" s="22"/>
      <c r="G67" s="22"/>
      <c r="H67" s="22"/>
      <c r="I67" s="22"/>
      <c r="J67" s="22"/>
      <c r="K67" s="22"/>
      <c r="L67" s="22"/>
      <c r="M67" s="22"/>
      <c r="N67" s="21"/>
      <c r="O67" s="21"/>
      <c r="P67" s="21"/>
      <c r="Q67" s="21"/>
      <c r="R67" s="21"/>
      <c r="S67" s="21"/>
      <c r="T67" s="21"/>
      <c r="U67" s="21"/>
      <c r="V67" s="21"/>
      <c r="W67" s="36"/>
      <c r="X67" s="48"/>
    </row>
    <row r="68" spans="1:24" x14ac:dyDescent="0.2">
      <c r="A68" s="20" t="str">
        <f t="shared" si="2"/>
        <v/>
      </c>
      <c r="B68" s="21"/>
      <c r="C68" s="22"/>
      <c r="D68" s="21"/>
      <c r="E68" s="22"/>
      <c r="F68" s="22"/>
      <c r="G68" s="22"/>
      <c r="H68" s="22"/>
      <c r="I68" s="22"/>
      <c r="J68" s="22"/>
      <c r="K68" s="22"/>
      <c r="L68" s="22"/>
      <c r="M68" s="22"/>
      <c r="N68" s="21"/>
      <c r="O68" s="21"/>
      <c r="P68" s="21"/>
      <c r="Q68" s="21"/>
      <c r="R68" s="21"/>
      <c r="S68" s="21"/>
      <c r="T68" s="21"/>
      <c r="U68" s="21"/>
      <c r="V68" s="21"/>
      <c r="W68" s="36"/>
      <c r="X68" s="48"/>
    </row>
    <row r="69" spans="1:24" x14ac:dyDescent="0.2">
      <c r="A69" s="20" t="str">
        <f t="shared" si="2"/>
        <v/>
      </c>
      <c r="B69" s="21"/>
      <c r="C69" s="22"/>
      <c r="D69" s="21"/>
      <c r="E69" s="22"/>
      <c r="F69" s="22"/>
      <c r="G69" s="22"/>
      <c r="H69" s="22"/>
      <c r="I69" s="22"/>
      <c r="J69" s="22"/>
      <c r="K69" s="22"/>
      <c r="L69" s="22"/>
      <c r="M69" s="22"/>
      <c r="N69" s="21"/>
      <c r="O69" s="21"/>
      <c r="P69" s="21"/>
      <c r="Q69" s="21"/>
      <c r="R69" s="21"/>
      <c r="S69" s="21"/>
      <c r="T69" s="21"/>
      <c r="U69" s="21"/>
      <c r="V69" s="21"/>
      <c r="W69" s="36"/>
      <c r="X69" s="48"/>
    </row>
    <row r="70" spans="1:24" x14ac:dyDescent="0.2">
      <c r="A70" s="20" t="str">
        <f t="shared" si="2"/>
        <v/>
      </c>
      <c r="B70" s="21"/>
      <c r="C70" s="22"/>
      <c r="D70" s="21"/>
      <c r="E70" s="22"/>
      <c r="F70" s="22"/>
      <c r="G70" s="22"/>
      <c r="H70" s="22"/>
      <c r="I70" s="22"/>
      <c r="J70" s="22"/>
      <c r="K70" s="22"/>
      <c r="L70" s="22"/>
      <c r="M70" s="22"/>
      <c r="N70" s="21"/>
      <c r="O70" s="21"/>
      <c r="P70" s="21"/>
      <c r="Q70" s="21"/>
      <c r="R70" s="21"/>
      <c r="S70" s="21"/>
      <c r="T70" s="21"/>
      <c r="U70" s="21"/>
      <c r="V70" s="21"/>
      <c r="W70" s="36"/>
      <c r="X70" s="48"/>
    </row>
    <row r="71" spans="1:24" x14ac:dyDescent="0.2">
      <c r="A71" s="20" t="str">
        <f t="shared" si="2"/>
        <v/>
      </c>
      <c r="B71" s="21"/>
      <c r="C71" s="22"/>
      <c r="D71" s="21"/>
      <c r="E71" s="22"/>
      <c r="F71" s="22"/>
      <c r="G71" s="22"/>
      <c r="H71" s="22"/>
      <c r="I71" s="22"/>
      <c r="J71" s="22"/>
      <c r="K71" s="22"/>
      <c r="L71" s="22"/>
      <c r="M71" s="22"/>
      <c r="N71" s="21"/>
      <c r="O71" s="21"/>
      <c r="P71" s="21"/>
      <c r="Q71" s="21"/>
      <c r="R71" s="21"/>
      <c r="S71" s="21"/>
      <c r="T71" s="21"/>
      <c r="U71" s="21"/>
      <c r="V71" s="21"/>
      <c r="W71" s="36"/>
      <c r="X71" s="48"/>
    </row>
    <row r="72" spans="1:24" x14ac:dyDescent="0.2">
      <c r="A72" s="20" t="str">
        <f t="shared" si="2"/>
        <v/>
      </c>
      <c r="B72" s="21"/>
      <c r="C72" s="22"/>
      <c r="D72" s="21"/>
      <c r="E72" s="22"/>
      <c r="F72" s="22"/>
      <c r="G72" s="22"/>
      <c r="H72" s="22"/>
      <c r="I72" s="22"/>
      <c r="J72" s="22"/>
      <c r="K72" s="22"/>
      <c r="L72" s="22"/>
      <c r="M72" s="22"/>
      <c r="N72" s="21"/>
      <c r="O72" s="21"/>
      <c r="P72" s="21"/>
      <c r="Q72" s="21"/>
      <c r="R72" s="21"/>
      <c r="S72" s="21"/>
      <c r="T72" s="21"/>
      <c r="U72" s="21"/>
      <c r="V72" s="21"/>
      <c r="W72" s="36"/>
      <c r="X72" s="48"/>
    </row>
    <row r="73" spans="1:24" x14ac:dyDescent="0.2">
      <c r="A73" s="20" t="str">
        <f t="shared" si="2"/>
        <v/>
      </c>
      <c r="B73" s="21"/>
      <c r="C73" s="22"/>
      <c r="D73" s="21"/>
      <c r="E73" s="22"/>
      <c r="F73" s="22"/>
      <c r="G73" s="22"/>
      <c r="H73" s="22"/>
      <c r="I73" s="22"/>
      <c r="J73" s="22"/>
      <c r="K73" s="22"/>
      <c r="L73" s="22"/>
      <c r="M73" s="22"/>
      <c r="N73" s="21"/>
      <c r="O73" s="21"/>
      <c r="P73" s="21"/>
      <c r="Q73" s="21"/>
      <c r="R73" s="21"/>
      <c r="S73" s="21"/>
      <c r="T73" s="21"/>
      <c r="U73" s="21"/>
      <c r="V73" s="21"/>
      <c r="W73" s="36"/>
      <c r="X73" s="48"/>
    </row>
    <row r="74" spans="1:24" x14ac:dyDescent="0.2">
      <c r="A74" s="20" t="str">
        <f t="shared" si="2"/>
        <v/>
      </c>
      <c r="B74" s="21"/>
      <c r="C74" s="22"/>
      <c r="D74" s="21"/>
      <c r="E74" s="22"/>
      <c r="F74" s="22"/>
      <c r="G74" s="22"/>
      <c r="H74" s="22"/>
      <c r="I74" s="22"/>
      <c r="J74" s="22"/>
      <c r="K74" s="22"/>
      <c r="L74" s="22"/>
      <c r="M74" s="22"/>
      <c r="N74" s="21"/>
      <c r="O74" s="21"/>
      <c r="P74" s="21"/>
      <c r="Q74" s="21"/>
      <c r="R74" s="21"/>
      <c r="S74" s="21"/>
      <c r="T74" s="21"/>
      <c r="U74" s="21"/>
      <c r="V74" s="21"/>
      <c r="W74" s="36"/>
      <c r="X74" s="48"/>
    </row>
    <row r="75" spans="1:24" x14ac:dyDescent="0.2">
      <c r="A75" s="20" t="str">
        <f t="shared" si="2"/>
        <v/>
      </c>
      <c r="B75" s="21"/>
      <c r="C75" s="22"/>
      <c r="D75" s="21"/>
      <c r="E75" s="22"/>
      <c r="F75" s="22"/>
      <c r="G75" s="22"/>
      <c r="H75" s="22"/>
      <c r="I75" s="22"/>
      <c r="J75" s="22"/>
      <c r="K75" s="22"/>
      <c r="L75" s="22"/>
      <c r="M75" s="22"/>
      <c r="N75" s="21"/>
      <c r="O75" s="21"/>
      <c r="P75" s="21"/>
      <c r="Q75" s="21"/>
      <c r="R75" s="21"/>
      <c r="S75" s="21"/>
      <c r="T75" s="21"/>
      <c r="U75" s="21"/>
      <c r="V75" s="21"/>
      <c r="W75" s="36"/>
      <c r="X75" s="48"/>
    </row>
    <row r="76" spans="1:24" x14ac:dyDescent="0.2">
      <c r="A76" s="20" t="str">
        <f t="shared" si="2"/>
        <v/>
      </c>
      <c r="B76" s="21"/>
      <c r="C76" s="22"/>
      <c r="D76" s="21"/>
      <c r="E76" s="22"/>
      <c r="F76" s="22"/>
      <c r="G76" s="22"/>
      <c r="H76" s="22"/>
      <c r="I76" s="22"/>
      <c r="J76" s="22"/>
      <c r="K76" s="22"/>
      <c r="L76" s="22"/>
      <c r="M76" s="22"/>
      <c r="N76" s="21"/>
      <c r="O76" s="21"/>
      <c r="P76" s="21"/>
      <c r="Q76" s="21"/>
      <c r="R76" s="21"/>
      <c r="S76" s="21"/>
      <c r="T76" s="21"/>
      <c r="U76" s="21"/>
      <c r="V76" s="21"/>
      <c r="W76" s="36"/>
      <c r="X76" s="48"/>
    </row>
    <row r="77" spans="1:24" x14ac:dyDescent="0.2">
      <c r="A77" s="20" t="str">
        <f t="shared" si="2"/>
        <v/>
      </c>
      <c r="B77" s="21"/>
      <c r="C77" s="22"/>
      <c r="D77" s="21"/>
      <c r="E77" s="22"/>
      <c r="F77" s="22"/>
      <c r="G77" s="22"/>
      <c r="H77" s="22"/>
      <c r="I77" s="22"/>
      <c r="J77" s="22"/>
      <c r="K77" s="22"/>
      <c r="L77" s="22"/>
      <c r="M77" s="22"/>
      <c r="N77" s="21"/>
      <c r="O77" s="21"/>
      <c r="P77" s="21"/>
      <c r="Q77" s="21"/>
      <c r="R77" s="21"/>
      <c r="S77" s="21"/>
      <c r="T77" s="21"/>
      <c r="U77" s="21"/>
      <c r="V77" s="21"/>
      <c r="W77" s="36"/>
      <c r="X77" s="48"/>
    </row>
    <row r="78" spans="1:24" x14ac:dyDescent="0.2">
      <c r="A78" s="20" t="str">
        <f t="shared" si="2"/>
        <v/>
      </c>
      <c r="B78" s="21"/>
      <c r="C78" s="22"/>
      <c r="D78" s="21"/>
      <c r="E78" s="22"/>
      <c r="F78" s="22"/>
      <c r="G78" s="22"/>
      <c r="H78" s="22"/>
      <c r="I78" s="22"/>
      <c r="J78" s="22"/>
      <c r="K78" s="22"/>
      <c r="L78" s="22"/>
      <c r="M78" s="22"/>
      <c r="N78" s="21"/>
      <c r="O78" s="21"/>
      <c r="P78" s="21"/>
      <c r="Q78" s="21"/>
      <c r="R78" s="21"/>
      <c r="S78" s="21"/>
      <c r="T78" s="21"/>
      <c r="U78" s="21"/>
      <c r="V78" s="21"/>
      <c r="W78" s="36"/>
      <c r="X78" s="48"/>
    </row>
    <row r="79" spans="1:24" x14ac:dyDescent="0.2">
      <c r="A79" s="20" t="str">
        <f t="shared" si="2"/>
        <v/>
      </c>
      <c r="B79" s="21"/>
      <c r="C79" s="22"/>
      <c r="D79" s="21"/>
      <c r="E79" s="22"/>
      <c r="F79" s="22"/>
      <c r="G79" s="22"/>
      <c r="H79" s="22"/>
      <c r="I79" s="22"/>
      <c r="J79" s="22"/>
      <c r="K79" s="22"/>
      <c r="L79" s="22"/>
      <c r="M79" s="22"/>
      <c r="N79" s="21"/>
      <c r="O79" s="21"/>
      <c r="P79" s="21"/>
      <c r="Q79" s="21"/>
      <c r="R79" s="21"/>
      <c r="S79" s="21"/>
      <c r="T79" s="21"/>
      <c r="U79" s="21"/>
      <c r="V79" s="21"/>
      <c r="W79" s="36"/>
      <c r="X79" s="48"/>
    </row>
    <row r="80" spans="1:24" x14ac:dyDescent="0.2">
      <c r="A80" s="20" t="str">
        <f t="shared" si="2"/>
        <v/>
      </c>
      <c r="B80" s="21"/>
      <c r="C80" s="22"/>
      <c r="D80" s="21"/>
      <c r="E80" s="22"/>
      <c r="F80" s="22"/>
      <c r="G80" s="22"/>
      <c r="H80" s="22"/>
      <c r="I80" s="22"/>
      <c r="J80" s="22"/>
      <c r="K80" s="22"/>
      <c r="L80" s="22"/>
      <c r="M80" s="22"/>
      <c r="N80" s="21"/>
      <c r="O80" s="21"/>
      <c r="P80" s="21"/>
      <c r="Q80" s="21"/>
      <c r="R80" s="21"/>
      <c r="S80" s="21"/>
      <c r="T80" s="21"/>
      <c r="U80" s="21"/>
      <c r="V80" s="21"/>
      <c r="W80" s="36"/>
      <c r="X80" s="48"/>
    </row>
    <row r="81" spans="1:24" x14ac:dyDescent="0.2">
      <c r="A81" s="20" t="str">
        <f t="shared" si="2"/>
        <v/>
      </c>
      <c r="B81" s="21"/>
      <c r="C81" s="22"/>
      <c r="D81" s="21"/>
      <c r="E81" s="22"/>
      <c r="F81" s="22"/>
      <c r="G81" s="22"/>
      <c r="H81" s="22"/>
      <c r="I81" s="22"/>
      <c r="J81" s="22"/>
      <c r="K81" s="22"/>
      <c r="L81" s="22"/>
      <c r="M81" s="22"/>
      <c r="N81" s="21"/>
      <c r="O81" s="21"/>
      <c r="P81" s="21"/>
      <c r="Q81" s="21"/>
      <c r="R81" s="21"/>
      <c r="S81" s="21"/>
      <c r="T81" s="21"/>
      <c r="U81" s="21"/>
      <c r="V81" s="21"/>
      <c r="W81" s="36"/>
      <c r="X81" s="48"/>
    </row>
    <row r="82" spans="1:24" x14ac:dyDescent="0.2">
      <c r="A82" s="20" t="str">
        <f t="shared" si="2"/>
        <v/>
      </c>
      <c r="B82" s="21"/>
      <c r="C82" s="22"/>
      <c r="D82" s="21"/>
      <c r="E82" s="22"/>
      <c r="F82" s="22"/>
      <c r="G82" s="22"/>
      <c r="H82" s="22"/>
      <c r="I82" s="22"/>
      <c r="J82" s="22"/>
      <c r="K82" s="22"/>
      <c r="L82" s="22"/>
      <c r="M82" s="22"/>
      <c r="N82" s="21"/>
      <c r="O82" s="21"/>
      <c r="P82" s="21"/>
      <c r="Q82" s="21"/>
      <c r="R82" s="21"/>
      <c r="S82" s="21"/>
      <c r="T82" s="21"/>
      <c r="U82" s="21"/>
      <c r="V82" s="21"/>
      <c r="W82" s="36"/>
      <c r="X82" s="48"/>
    </row>
    <row r="83" spans="1:24" x14ac:dyDescent="0.2">
      <c r="A83" s="20" t="str">
        <f t="shared" si="2"/>
        <v/>
      </c>
      <c r="B83" s="21"/>
      <c r="C83" s="22"/>
      <c r="D83" s="21"/>
      <c r="E83" s="22"/>
      <c r="F83" s="22"/>
      <c r="G83" s="22"/>
      <c r="H83" s="22"/>
      <c r="I83" s="22"/>
      <c r="J83" s="22"/>
      <c r="K83" s="22"/>
      <c r="L83" s="22"/>
      <c r="M83" s="22"/>
      <c r="N83" s="21"/>
      <c r="O83" s="21"/>
      <c r="P83" s="21"/>
      <c r="Q83" s="21"/>
      <c r="R83" s="21"/>
      <c r="S83" s="21"/>
      <c r="T83" s="21"/>
      <c r="U83" s="21"/>
      <c r="V83" s="21"/>
      <c r="W83" s="36"/>
      <c r="X83" s="48"/>
    </row>
    <row r="84" spans="1:24" x14ac:dyDescent="0.2">
      <c r="A84" s="20" t="str">
        <f t="shared" si="2"/>
        <v/>
      </c>
      <c r="B84" s="21"/>
      <c r="C84" s="22"/>
      <c r="D84" s="21"/>
      <c r="E84" s="22"/>
      <c r="F84" s="22"/>
      <c r="G84" s="22"/>
      <c r="H84" s="22"/>
      <c r="I84" s="22"/>
      <c r="J84" s="22"/>
      <c r="K84" s="22"/>
      <c r="L84" s="22"/>
      <c r="M84" s="22"/>
      <c r="N84" s="21"/>
      <c r="O84" s="21"/>
      <c r="P84" s="21"/>
      <c r="Q84" s="21"/>
      <c r="R84" s="21"/>
      <c r="S84" s="21"/>
      <c r="T84" s="21"/>
      <c r="U84" s="21"/>
      <c r="V84" s="21"/>
      <c r="W84" s="36"/>
      <c r="X84" s="48"/>
    </row>
    <row r="85" spans="1:24"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36"/>
      <c r="X85" s="48"/>
    </row>
    <row r="86" spans="1:24"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36"/>
      <c r="X86" s="48"/>
    </row>
    <row r="87" spans="1:24"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36"/>
      <c r="X87" s="48"/>
    </row>
    <row r="88" spans="1:24"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36"/>
      <c r="X88" s="48"/>
    </row>
    <row r="89" spans="1:24"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36"/>
      <c r="X89" s="48"/>
    </row>
    <row r="90" spans="1:24"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36"/>
      <c r="X90" s="48"/>
    </row>
    <row r="91" spans="1:24"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36"/>
      <c r="X91" s="48"/>
    </row>
    <row r="92" spans="1:24"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36"/>
      <c r="X92" s="48"/>
    </row>
    <row r="93" spans="1:24"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36"/>
      <c r="X93" s="48"/>
    </row>
    <row r="94" spans="1:24" x14ac:dyDescent="0.2">
      <c r="A94" s="20" t="str">
        <f t="shared" ref="A94:A125" si="3">IF(OR(D94&lt;&gt;"", B94&lt;&gt;""), ROW()-1, "")</f>
        <v/>
      </c>
      <c r="B94" s="21"/>
      <c r="C94" s="22"/>
      <c r="D94" s="21"/>
      <c r="E94" s="22"/>
      <c r="F94" s="22"/>
      <c r="G94" s="22"/>
      <c r="H94" s="22"/>
      <c r="I94" s="22"/>
      <c r="J94" s="22"/>
      <c r="K94" s="22"/>
      <c r="L94" s="22"/>
      <c r="M94" s="22"/>
      <c r="N94" s="21"/>
      <c r="O94" s="21"/>
      <c r="P94" s="21"/>
      <c r="Q94" s="21"/>
      <c r="R94" s="21"/>
      <c r="S94" s="21"/>
      <c r="T94" s="21"/>
      <c r="U94" s="21"/>
      <c r="V94" s="21"/>
      <c r="W94" s="36"/>
      <c r="X94" s="48"/>
    </row>
    <row r="95" spans="1:24" x14ac:dyDescent="0.2">
      <c r="A95" s="20" t="str">
        <f t="shared" si="3"/>
        <v/>
      </c>
      <c r="B95" s="21"/>
      <c r="C95" s="22"/>
      <c r="D95" s="21"/>
      <c r="E95" s="22"/>
      <c r="F95" s="22"/>
      <c r="G95" s="22"/>
      <c r="H95" s="22"/>
      <c r="I95" s="22"/>
      <c r="J95" s="22"/>
      <c r="K95" s="22"/>
      <c r="L95" s="22"/>
      <c r="M95" s="22"/>
      <c r="N95" s="21"/>
      <c r="O95" s="21"/>
      <c r="P95" s="21"/>
      <c r="Q95" s="21"/>
      <c r="R95" s="21"/>
      <c r="S95" s="21"/>
      <c r="T95" s="21"/>
      <c r="U95" s="21"/>
      <c r="V95" s="21"/>
      <c r="W95" s="36"/>
      <c r="X95" s="48"/>
    </row>
    <row r="96" spans="1:24" x14ac:dyDescent="0.2">
      <c r="A96" s="20" t="str">
        <f t="shared" si="3"/>
        <v/>
      </c>
      <c r="B96" s="21"/>
      <c r="C96" s="22"/>
      <c r="D96" s="21"/>
      <c r="E96" s="22"/>
      <c r="F96" s="22"/>
      <c r="G96" s="22"/>
      <c r="H96" s="22"/>
      <c r="I96" s="22"/>
      <c r="J96" s="22"/>
      <c r="K96" s="22"/>
      <c r="L96" s="22"/>
      <c r="M96" s="22"/>
      <c r="N96" s="21"/>
      <c r="O96" s="21"/>
      <c r="P96" s="21"/>
      <c r="Q96" s="21"/>
      <c r="R96" s="21"/>
      <c r="S96" s="21"/>
      <c r="T96" s="21"/>
      <c r="U96" s="21"/>
      <c r="V96" s="21"/>
      <c r="W96" s="36"/>
      <c r="X96" s="48"/>
    </row>
    <row r="97" spans="1:24" x14ac:dyDescent="0.2">
      <c r="A97" s="20" t="str">
        <f t="shared" si="3"/>
        <v/>
      </c>
      <c r="B97" s="21"/>
      <c r="C97" s="22"/>
      <c r="D97" s="21"/>
      <c r="E97" s="22"/>
      <c r="F97" s="22"/>
      <c r="G97" s="22"/>
      <c r="H97" s="22"/>
      <c r="I97" s="22"/>
      <c r="J97" s="22"/>
      <c r="K97" s="22"/>
      <c r="L97" s="22"/>
      <c r="M97" s="22"/>
      <c r="N97" s="21"/>
      <c r="O97" s="21"/>
      <c r="P97" s="21"/>
      <c r="Q97" s="21"/>
      <c r="R97" s="21"/>
      <c r="S97" s="21"/>
      <c r="T97" s="21"/>
      <c r="U97" s="21"/>
      <c r="V97" s="21"/>
      <c r="W97" s="36"/>
      <c r="X97" s="48"/>
    </row>
    <row r="98" spans="1:24" x14ac:dyDescent="0.2">
      <c r="A98" s="20" t="str">
        <f t="shared" si="3"/>
        <v/>
      </c>
      <c r="B98" s="21"/>
      <c r="C98" s="22"/>
      <c r="D98" s="21"/>
      <c r="E98" s="22"/>
      <c r="F98" s="22"/>
      <c r="G98" s="22"/>
      <c r="H98" s="22"/>
      <c r="I98" s="22"/>
      <c r="J98" s="22"/>
      <c r="K98" s="22"/>
      <c r="L98" s="22"/>
      <c r="M98" s="22"/>
      <c r="N98" s="21"/>
      <c r="O98" s="21"/>
      <c r="P98" s="21"/>
      <c r="Q98" s="21"/>
      <c r="R98" s="21"/>
      <c r="S98" s="21"/>
      <c r="T98" s="21"/>
      <c r="U98" s="21"/>
      <c r="V98" s="21"/>
      <c r="W98" s="36"/>
      <c r="X98" s="48"/>
    </row>
    <row r="99" spans="1:24" x14ac:dyDescent="0.2">
      <c r="A99" s="20" t="str">
        <f t="shared" si="3"/>
        <v/>
      </c>
      <c r="B99" s="21"/>
      <c r="C99" s="22"/>
      <c r="D99" s="21"/>
      <c r="E99" s="22"/>
      <c r="F99" s="22"/>
      <c r="G99" s="22"/>
      <c r="H99" s="22"/>
      <c r="I99" s="22"/>
      <c r="J99" s="22"/>
      <c r="K99" s="22"/>
      <c r="L99" s="22"/>
      <c r="M99" s="22"/>
      <c r="N99" s="21"/>
      <c r="O99" s="21"/>
      <c r="P99" s="21"/>
      <c r="Q99" s="21"/>
      <c r="R99" s="21"/>
      <c r="S99" s="21"/>
      <c r="T99" s="21"/>
      <c r="U99" s="21"/>
      <c r="V99" s="21"/>
      <c r="W99" s="36"/>
      <c r="X99" s="48"/>
    </row>
    <row r="100" spans="1:24" x14ac:dyDescent="0.2">
      <c r="A100" s="20" t="str">
        <f t="shared" si="3"/>
        <v/>
      </c>
      <c r="B100" s="21"/>
      <c r="C100" s="22"/>
      <c r="D100" s="21"/>
      <c r="E100" s="22"/>
      <c r="F100" s="22"/>
      <c r="G100" s="22"/>
      <c r="H100" s="22"/>
      <c r="I100" s="22"/>
      <c r="J100" s="22"/>
      <c r="K100" s="22"/>
      <c r="L100" s="22"/>
      <c r="M100" s="22"/>
      <c r="N100" s="21"/>
      <c r="O100" s="21"/>
      <c r="P100" s="21"/>
      <c r="Q100" s="21"/>
      <c r="R100" s="21"/>
      <c r="S100" s="21"/>
      <c r="T100" s="21"/>
      <c r="U100" s="21"/>
      <c r="V100" s="21"/>
      <c r="W100" s="36"/>
      <c r="X100" s="48"/>
    </row>
    <row r="101" spans="1:24" x14ac:dyDescent="0.2">
      <c r="A101" s="20" t="str">
        <f t="shared" si="3"/>
        <v/>
      </c>
      <c r="B101" s="21"/>
      <c r="C101" s="22"/>
      <c r="D101" s="21"/>
      <c r="E101" s="22"/>
      <c r="F101" s="22"/>
      <c r="G101" s="22"/>
      <c r="H101" s="22"/>
      <c r="I101" s="22"/>
      <c r="J101" s="22"/>
      <c r="K101" s="22"/>
      <c r="L101" s="22"/>
      <c r="M101" s="22"/>
      <c r="N101" s="21"/>
      <c r="O101" s="21"/>
      <c r="P101" s="21"/>
      <c r="Q101" s="21"/>
      <c r="R101" s="21"/>
      <c r="S101" s="21"/>
      <c r="T101" s="21"/>
      <c r="U101" s="21"/>
      <c r="V101" s="21"/>
      <c r="W101" s="36"/>
      <c r="X101" s="48"/>
    </row>
    <row r="102" spans="1:24" x14ac:dyDescent="0.2">
      <c r="A102" s="20" t="str">
        <f t="shared" si="3"/>
        <v/>
      </c>
      <c r="B102" s="21"/>
      <c r="C102" s="22"/>
      <c r="D102" s="21"/>
      <c r="E102" s="22"/>
      <c r="F102" s="22"/>
      <c r="G102" s="22"/>
      <c r="H102" s="22"/>
      <c r="I102" s="22"/>
      <c r="J102" s="22"/>
      <c r="K102" s="22"/>
      <c r="L102" s="22"/>
      <c r="M102" s="22"/>
      <c r="N102" s="21"/>
      <c r="O102" s="21"/>
      <c r="P102" s="21"/>
      <c r="Q102" s="21"/>
      <c r="R102" s="21"/>
      <c r="S102" s="21"/>
      <c r="T102" s="21"/>
      <c r="U102" s="21"/>
      <c r="V102" s="21"/>
      <c r="W102" s="36"/>
      <c r="X102" s="48"/>
    </row>
    <row r="103" spans="1:24" x14ac:dyDescent="0.2">
      <c r="A103" s="20" t="str">
        <f t="shared" si="3"/>
        <v/>
      </c>
      <c r="B103" s="21"/>
      <c r="C103" s="22"/>
      <c r="D103" s="21"/>
      <c r="E103" s="22"/>
      <c r="F103" s="22"/>
      <c r="G103" s="22"/>
      <c r="H103" s="22"/>
      <c r="I103" s="22"/>
      <c r="J103" s="22"/>
      <c r="K103" s="22"/>
      <c r="L103" s="22"/>
      <c r="M103" s="22"/>
      <c r="N103" s="21"/>
      <c r="O103" s="21"/>
      <c r="P103" s="21"/>
      <c r="Q103" s="21"/>
      <c r="R103" s="21"/>
      <c r="S103" s="21"/>
      <c r="T103" s="21"/>
      <c r="U103" s="21"/>
      <c r="V103" s="21"/>
      <c r="W103" s="36"/>
      <c r="X103" s="48"/>
    </row>
    <row r="104" spans="1:24" x14ac:dyDescent="0.2">
      <c r="A104" s="20" t="str">
        <f t="shared" si="3"/>
        <v/>
      </c>
      <c r="B104" s="21"/>
      <c r="C104" s="22"/>
      <c r="D104" s="21"/>
      <c r="E104" s="22"/>
      <c r="F104" s="22"/>
      <c r="G104" s="22"/>
      <c r="H104" s="22"/>
      <c r="I104" s="22"/>
      <c r="J104" s="22"/>
      <c r="K104" s="22"/>
      <c r="L104" s="22"/>
      <c r="M104" s="22"/>
      <c r="N104" s="21"/>
      <c r="O104" s="21"/>
      <c r="P104" s="21"/>
      <c r="Q104" s="21"/>
      <c r="R104" s="21"/>
      <c r="S104" s="21"/>
      <c r="T104" s="21"/>
      <c r="U104" s="21"/>
      <c r="V104" s="21"/>
      <c r="W104" s="36"/>
      <c r="X104" s="48"/>
    </row>
    <row r="105" spans="1:24" x14ac:dyDescent="0.2">
      <c r="A105" s="20" t="str">
        <f t="shared" si="3"/>
        <v/>
      </c>
      <c r="B105" s="21"/>
      <c r="C105" s="22"/>
      <c r="D105" s="21"/>
      <c r="E105" s="22"/>
      <c r="F105" s="22"/>
      <c r="G105" s="22"/>
      <c r="H105" s="22"/>
      <c r="I105" s="22"/>
      <c r="J105" s="22"/>
      <c r="K105" s="22"/>
      <c r="L105" s="22"/>
      <c r="M105" s="22"/>
      <c r="N105" s="21"/>
      <c r="O105" s="21"/>
      <c r="P105" s="21"/>
      <c r="Q105" s="21"/>
      <c r="R105" s="21"/>
      <c r="S105" s="21"/>
      <c r="T105" s="21"/>
      <c r="U105" s="21"/>
      <c r="V105" s="21"/>
      <c r="W105" s="36"/>
      <c r="X105" s="48"/>
    </row>
    <row r="106" spans="1:24" x14ac:dyDescent="0.2">
      <c r="A106" s="20" t="str">
        <f t="shared" si="3"/>
        <v/>
      </c>
      <c r="B106" s="21"/>
      <c r="C106" s="22"/>
      <c r="D106" s="21"/>
      <c r="E106" s="22"/>
      <c r="F106" s="22"/>
      <c r="G106" s="22"/>
      <c r="H106" s="22"/>
      <c r="I106" s="22"/>
      <c r="J106" s="22"/>
      <c r="K106" s="22"/>
      <c r="L106" s="22"/>
      <c r="M106" s="22"/>
      <c r="N106" s="21"/>
      <c r="O106" s="21"/>
      <c r="P106" s="21"/>
      <c r="Q106" s="21"/>
      <c r="R106" s="21"/>
      <c r="S106" s="21"/>
      <c r="T106" s="21"/>
      <c r="U106" s="21"/>
      <c r="V106" s="21"/>
      <c r="W106" s="36"/>
      <c r="X106" s="48"/>
    </row>
    <row r="107" spans="1:24" x14ac:dyDescent="0.2">
      <c r="A107" s="20" t="str">
        <f t="shared" si="3"/>
        <v/>
      </c>
      <c r="B107" s="21"/>
      <c r="C107" s="22"/>
      <c r="D107" s="21"/>
      <c r="E107" s="22"/>
      <c r="F107" s="22"/>
      <c r="G107" s="22"/>
      <c r="H107" s="22"/>
      <c r="I107" s="22"/>
      <c r="J107" s="22"/>
      <c r="K107" s="22"/>
      <c r="L107" s="22"/>
      <c r="M107" s="22"/>
      <c r="N107" s="21"/>
      <c r="O107" s="21"/>
      <c r="P107" s="21"/>
      <c r="Q107" s="21"/>
      <c r="R107" s="21"/>
      <c r="S107" s="21"/>
      <c r="T107" s="21"/>
      <c r="U107" s="21"/>
      <c r="V107" s="21"/>
      <c r="W107" s="36"/>
      <c r="X107" s="48"/>
    </row>
    <row r="108" spans="1:24" x14ac:dyDescent="0.2">
      <c r="A108" s="20" t="str">
        <f t="shared" si="3"/>
        <v/>
      </c>
      <c r="B108" s="21"/>
      <c r="C108" s="22"/>
      <c r="D108" s="21"/>
      <c r="E108" s="22"/>
      <c r="F108" s="22"/>
      <c r="G108" s="22"/>
      <c r="H108" s="22"/>
      <c r="I108" s="22"/>
      <c r="J108" s="22"/>
      <c r="K108" s="22"/>
      <c r="L108" s="22"/>
      <c r="M108" s="22"/>
      <c r="N108" s="21"/>
      <c r="O108" s="21"/>
      <c r="P108" s="21"/>
      <c r="Q108" s="21"/>
      <c r="R108" s="21"/>
      <c r="S108" s="21"/>
      <c r="T108" s="21"/>
      <c r="U108" s="21"/>
      <c r="V108" s="21"/>
      <c r="W108" s="36"/>
      <c r="X108" s="48"/>
    </row>
    <row r="109" spans="1:24" x14ac:dyDescent="0.2">
      <c r="A109" s="20" t="str">
        <f t="shared" si="3"/>
        <v/>
      </c>
      <c r="B109" s="21"/>
      <c r="C109" s="22"/>
      <c r="D109" s="21"/>
      <c r="E109" s="22"/>
      <c r="F109" s="22"/>
      <c r="G109" s="22"/>
      <c r="H109" s="22"/>
      <c r="I109" s="22"/>
      <c r="J109" s="22"/>
      <c r="K109" s="22"/>
      <c r="L109" s="22"/>
      <c r="M109" s="22"/>
      <c r="N109" s="21"/>
      <c r="O109" s="21"/>
      <c r="P109" s="21"/>
      <c r="Q109" s="21"/>
      <c r="R109" s="21"/>
      <c r="S109" s="21"/>
      <c r="T109" s="21"/>
      <c r="U109" s="21"/>
      <c r="V109" s="21"/>
      <c r="W109" s="36"/>
      <c r="X109" s="48"/>
    </row>
    <row r="110" spans="1:24" x14ac:dyDescent="0.2">
      <c r="A110" s="20" t="str">
        <f t="shared" si="3"/>
        <v/>
      </c>
      <c r="B110" s="21"/>
      <c r="C110" s="22"/>
      <c r="D110" s="21"/>
      <c r="E110" s="22"/>
      <c r="F110" s="22"/>
      <c r="G110" s="22"/>
      <c r="H110" s="22"/>
      <c r="I110" s="22"/>
      <c r="J110" s="22"/>
      <c r="K110" s="22"/>
      <c r="L110" s="22"/>
      <c r="M110" s="22"/>
      <c r="N110" s="21"/>
      <c r="O110" s="21"/>
      <c r="P110" s="21"/>
      <c r="Q110" s="21"/>
      <c r="R110" s="21"/>
      <c r="S110" s="21"/>
      <c r="T110" s="21"/>
      <c r="U110" s="21"/>
      <c r="V110" s="21"/>
      <c r="W110" s="36"/>
      <c r="X110" s="48"/>
    </row>
    <row r="111" spans="1:24" x14ac:dyDescent="0.2">
      <c r="A111" s="20" t="str">
        <f t="shared" si="3"/>
        <v/>
      </c>
      <c r="B111" s="21"/>
      <c r="C111" s="22"/>
      <c r="D111" s="21"/>
      <c r="E111" s="22"/>
      <c r="F111" s="22"/>
      <c r="G111" s="22"/>
      <c r="H111" s="22"/>
      <c r="I111" s="22"/>
      <c r="J111" s="22"/>
      <c r="K111" s="22"/>
      <c r="L111" s="22"/>
      <c r="M111" s="22"/>
      <c r="N111" s="21"/>
      <c r="O111" s="21"/>
      <c r="P111" s="21"/>
      <c r="Q111" s="21"/>
      <c r="R111" s="21"/>
      <c r="S111" s="21"/>
      <c r="T111" s="21"/>
      <c r="U111" s="21"/>
      <c r="V111" s="21"/>
      <c r="W111" s="36"/>
      <c r="X111" s="48"/>
    </row>
    <row r="112" spans="1:24" x14ac:dyDescent="0.2">
      <c r="A112" s="20" t="str">
        <f t="shared" si="3"/>
        <v/>
      </c>
      <c r="B112" s="21"/>
      <c r="C112" s="22"/>
      <c r="D112" s="21"/>
      <c r="E112" s="22"/>
      <c r="F112" s="22"/>
      <c r="G112" s="22"/>
      <c r="H112" s="22"/>
      <c r="I112" s="22"/>
      <c r="J112" s="22"/>
      <c r="K112" s="22"/>
      <c r="L112" s="22"/>
      <c r="M112" s="22"/>
      <c r="N112" s="21"/>
      <c r="O112" s="21"/>
      <c r="P112" s="21"/>
      <c r="Q112" s="21"/>
      <c r="R112" s="21"/>
      <c r="S112" s="21"/>
      <c r="T112" s="21"/>
      <c r="U112" s="21"/>
      <c r="V112" s="21"/>
      <c r="W112" s="36"/>
      <c r="X112" s="48"/>
    </row>
    <row r="113" spans="1:24" x14ac:dyDescent="0.2">
      <c r="A113" s="20" t="str">
        <f t="shared" si="3"/>
        <v/>
      </c>
      <c r="B113" s="21"/>
      <c r="C113" s="22"/>
      <c r="D113" s="21"/>
      <c r="E113" s="22"/>
      <c r="F113" s="22"/>
      <c r="G113" s="22"/>
      <c r="H113" s="22"/>
      <c r="I113" s="22"/>
      <c r="J113" s="22"/>
      <c r="K113" s="22"/>
      <c r="L113" s="22"/>
      <c r="M113" s="22"/>
      <c r="N113" s="21"/>
      <c r="O113" s="21"/>
      <c r="P113" s="21"/>
      <c r="Q113" s="21"/>
      <c r="R113" s="21"/>
      <c r="S113" s="21"/>
      <c r="T113" s="21"/>
      <c r="U113" s="21"/>
      <c r="V113" s="21"/>
      <c r="W113" s="36"/>
      <c r="X113" s="48"/>
    </row>
    <row r="114" spans="1:24" x14ac:dyDescent="0.2">
      <c r="A114" s="20" t="str">
        <f t="shared" si="3"/>
        <v/>
      </c>
      <c r="B114" s="21"/>
      <c r="C114" s="22"/>
      <c r="D114" s="21"/>
      <c r="E114" s="22"/>
      <c r="F114" s="22"/>
      <c r="G114" s="22"/>
      <c r="H114" s="22"/>
      <c r="I114" s="22"/>
      <c r="J114" s="22"/>
      <c r="K114" s="22"/>
      <c r="L114" s="22"/>
      <c r="M114" s="22"/>
      <c r="N114" s="21"/>
      <c r="O114" s="21"/>
      <c r="P114" s="21"/>
      <c r="Q114" s="21"/>
      <c r="R114" s="21"/>
      <c r="S114" s="21"/>
      <c r="T114" s="21"/>
      <c r="U114" s="21"/>
      <c r="V114" s="21"/>
      <c r="W114" s="36"/>
      <c r="X114" s="48"/>
    </row>
    <row r="115" spans="1:24" x14ac:dyDescent="0.2">
      <c r="A115" s="20" t="str">
        <f t="shared" si="3"/>
        <v/>
      </c>
      <c r="B115" s="21"/>
      <c r="C115" s="22"/>
      <c r="D115" s="21"/>
      <c r="E115" s="22"/>
      <c r="F115" s="22"/>
      <c r="G115" s="22"/>
      <c r="H115" s="22"/>
      <c r="I115" s="22"/>
      <c r="J115" s="22"/>
      <c r="K115" s="22"/>
      <c r="L115" s="22"/>
      <c r="M115" s="22"/>
      <c r="N115" s="21"/>
      <c r="O115" s="21"/>
      <c r="P115" s="21"/>
      <c r="Q115" s="21"/>
      <c r="R115" s="21"/>
      <c r="S115" s="21"/>
      <c r="T115" s="21"/>
      <c r="U115" s="21"/>
      <c r="V115" s="21"/>
      <c r="W115" s="36"/>
      <c r="X115" s="48"/>
    </row>
    <row r="116" spans="1:24" x14ac:dyDescent="0.2">
      <c r="A116" s="20" t="str">
        <f t="shared" si="3"/>
        <v/>
      </c>
      <c r="B116" s="21"/>
      <c r="C116" s="22"/>
      <c r="D116" s="21"/>
      <c r="E116" s="22"/>
      <c r="F116" s="22"/>
      <c r="G116" s="22"/>
      <c r="H116" s="22"/>
      <c r="I116" s="22"/>
      <c r="J116" s="22"/>
      <c r="K116" s="22"/>
      <c r="L116" s="22"/>
      <c r="M116" s="22"/>
      <c r="N116" s="21"/>
      <c r="O116" s="21"/>
      <c r="P116" s="21"/>
      <c r="Q116" s="21"/>
      <c r="R116" s="21"/>
      <c r="S116" s="21"/>
      <c r="T116" s="21"/>
      <c r="U116" s="21"/>
      <c r="V116" s="21"/>
      <c r="W116" s="36"/>
      <c r="X116" s="48"/>
    </row>
    <row r="117" spans="1:24"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36"/>
      <c r="X117" s="48"/>
    </row>
    <row r="118" spans="1:24"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36"/>
      <c r="X118" s="48"/>
    </row>
    <row r="119" spans="1:24"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36"/>
      <c r="X119" s="48"/>
    </row>
    <row r="120" spans="1:24"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36"/>
      <c r="X120" s="48"/>
    </row>
    <row r="121" spans="1:24"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36"/>
      <c r="X121" s="48"/>
    </row>
    <row r="122" spans="1:24"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36"/>
      <c r="X122" s="48"/>
    </row>
    <row r="123" spans="1:24"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36"/>
      <c r="X123" s="48"/>
    </row>
    <row r="124" spans="1:24"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36"/>
      <c r="X124" s="48"/>
    </row>
    <row r="125" spans="1:24"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36"/>
      <c r="X125" s="48"/>
    </row>
    <row r="126" spans="1:24" x14ac:dyDescent="0.2">
      <c r="A126" s="20" t="str">
        <f t="shared" ref="A126:A149" si="4">IF(OR(D126&lt;&gt;"", B126&lt;&gt;""), ROW()-1, "")</f>
        <v/>
      </c>
      <c r="B126" s="21"/>
      <c r="C126" s="22"/>
      <c r="D126" s="21"/>
      <c r="E126" s="22"/>
      <c r="F126" s="22"/>
      <c r="G126" s="22"/>
      <c r="H126" s="22"/>
      <c r="I126" s="22"/>
      <c r="J126" s="22"/>
      <c r="K126" s="22"/>
      <c r="L126" s="22"/>
      <c r="M126" s="22"/>
      <c r="N126" s="21"/>
      <c r="O126" s="21"/>
      <c r="P126" s="21"/>
      <c r="Q126" s="21"/>
      <c r="R126" s="21"/>
      <c r="S126" s="21"/>
      <c r="T126" s="21"/>
      <c r="U126" s="21"/>
      <c r="V126" s="21"/>
      <c r="W126" s="36"/>
      <c r="X126" s="48"/>
    </row>
    <row r="127" spans="1:24" x14ac:dyDescent="0.2">
      <c r="A127" s="20" t="str">
        <f t="shared" si="4"/>
        <v/>
      </c>
      <c r="B127" s="21"/>
      <c r="C127" s="22"/>
      <c r="D127" s="21"/>
      <c r="E127" s="22"/>
      <c r="F127" s="22"/>
      <c r="G127" s="22"/>
      <c r="H127" s="22"/>
      <c r="I127" s="22"/>
      <c r="J127" s="22"/>
      <c r="K127" s="22"/>
      <c r="L127" s="22"/>
      <c r="M127" s="22"/>
      <c r="N127" s="21"/>
      <c r="O127" s="21"/>
      <c r="P127" s="21"/>
      <c r="Q127" s="21"/>
      <c r="R127" s="21"/>
      <c r="S127" s="21"/>
      <c r="T127" s="21"/>
      <c r="U127" s="21"/>
      <c r="V127" s="21"/>
      <c r="W127" s="36"/>
      <c r="X127" s="48"/>
    </row>
    <row r="128" spans="1:24" x14ac:dyDescent="0.2">
      <c r="A128" s="20" t="str">
        <f t="shared" si="4"/>
        <v/>
      </c>
      <c r="B128" s="21"/>
      <c r="C128" s="22"/>
      <c r="D128" s="21"/>
      <c r="E128" s="22"/>
      <c r="F128" s="22"/>
      <c r="G128" s="22"/>
      <c r="H128" s="22"/>
      <c r="I128" s="22"/>
      <c r="J128" s="22"/>
      <c r="K128" s="22"/>
      <c r="L128" s="22"/>
      <c r="M128" s="22"/>
      <c r="N128" s="21"/>
      <c r="O128" s="21"/>
      <c r="P128" s="21"/>
      <c r="Q128" s="21"/>
      <c r="R128" s="21"/>
      <c r="S128" s="21"/>
      <c r="T128" s="21"/>
      <c r="U128" s="21"/>
      <c r="V128" s="21"/>
      <c r="W128" s="36"/>
      <c r="X128" s="48"/>
    </row>
    <row r="129" spans="1:24" x14ac:dyDescent="0.2">
      <c r="A129" s="20" t="str">
        <f t="shared" si="4"/>
        <v/>
      </c>
      <c r="B129" s="21"/>
      <c r="C129" s="22"/>
      <c r="D129" s="21"/>
      <c r="E129" s="22"/>
      <c r="F129" s="22"/>
      <c r="G129" s="22"/>
      <c r="H129" s="22"/>
      <c r="I129" s="22"/>
      <c r="J129" s="22"/>
      <c r="K129" s="22"/>
      <c r="L129" s="22"/>
      <c r="M129" s="22"/>
      <c r="N129" s="21"/>
      <c r="O129" s="21"/>
      <c r="P129" s="21"/>
      <c r="Q129" s="21"/>
      <c r="R129" s="21"/>
      <c r="S129" s="21"/>
      <c r="T129" s="21"/>
      <c r="U129" s="21"/>
      <c r="V129" s="21"/>
      <c r="W129" s="36"/>
      <c r="X129" s="48"/>
    </row>
    <row r="130" spans="1:24" x14ac:dyDescent="0.2">
      <c r="A130" s="20" t="str">
        <f t="shared" si="4"/>
        <v/>
      </c>
      <c r="B130" s="21"/>
      <c r="C130" s="22"/>
      <c r="D130" s="21"/>
      <c r="E130" s="22"/>
      <c r="F130" s="22"/>
      <c r="G130" s="22"/>
      <c r="H130" s="22"/>
      <c r="I130" s="22"/>
      <c r="J130" s="22"/>
      <c r="K130" s="22"/>
      <c r="L130" s="22"/>
      <c r="M130" s="22"/>
      <c r="N130" s="21"/>
      <c r="O130" s="21"/>
      <c r="P130" s="21"/>
      <c r="Q130" s="21"/>
      <c r="R130" s="21"/>
      <c r="S130" s="21"/>
      <c r="T130" s="21"/>
      <c r="U130" s="21"/>
      <c r="V130" s="21"/>
      <c r="W130" s="36"/>
      <c r="X130" s="48"/>
    </row>
    <row r="131" spans="1:24" x14ac:dyDescent="0.2">
      <c r="A131" s="20" t="str">
        <f t="shared" si="4"/>
        <v/>
      </c>
      <c r="B131" s="21"/>
      <c r="C131" s="22"/>
      <c r="D131" s="21"/>
      <c r="E131" s="22"/>
      <c r="F131" s="22"/>
      <c r="G131" s="22"/>
      <c r="H131" s="22"/>
      <c r="I131" s="22"/>
      <c r="J131" s="22"/>
      <c r="K131" s="22"/>
      <c r="L131" s="22"/>
      <c r="M131" s="22"/>
      <c r="N131" s="21"/>
      <c r="O131" s="21"/>
      <c r="P131" s="21"/>
      <c r="Q131" s="21"/>
      <c r="R131" s="21"/>
      <c r="S131" s="21"/>
      <c r="T131" s="21"/>
      <c r="U131" s="21"/>
      <c r="V131" s="21"/>
      <c r="W131" s="36"/>
      <c r="X131" s="48"/>
    </row>
    <row r="132" spans="1:24" x14ac:dyDescent="0.2">
      <c r="A132" s="20" t="str">
        <f t="shared" si="4"/>
        <v/>
      </c>
      <c r="B132" s="21"/>
      <c r="C132" s="22"/>
      <c r="D132" s="21"/>
      <c r="E132" s="22"/>
      <c r="F132" s="22"/>
      <c r="G132" s="22"/>
      <c r="H132" s="22"/>
      <c r="I132" s="22"/>
      <c r="J132" s="22"/>
      <c r="K132" s="22"/>
      <c r="L132" s="22"/>
      <c r="M132" s="22"/>
      <c r="N132" s="21"/>
      <c r="O132" s="21"/>
      <c r="P132" s="21"/>
      <c r="Q132" s="21"/>
      <c r="R132" s="21"/>
      <c r="S132" s="21"/>
      <c r="T132" s="21"/>
      <c r="U132" s="21"/>
      <c r="V132" s="21"/>
      <c r="W132" s="36"/>
      <c r="X132" s="48"/>
    </row>
    <row r="133" spans="1:24" x14ac:dyDescent="0.2">
      <c r="A133" s="20" t="str">
        <f t="shared" si="4"/>
        <v/>
      </c>
      <c r="B133" s="21"/>
      <c r="C133" s="22"/>
      <c r="D133" s="21"/>
      <c r="E133" s="22"/>
      <c r="F133" s="22"/>
      <c r="G133" s="22"/>
      <c r="H133" s="22"/>
      <c r="I133" s="22"/>
      <c r="J133" s="22"/>
      <c r="K133" s="22"/>
      <c r="L133" s="22"/>
      <c r="M133" s="22"/>
      <c r="N133" s="21"/>
      <c r="O133" s="21"/>
      <c r="P133" s="21"/>
      <c r="Q133" s="21"/>
      <c r="R133" s="21"/>
      <c r="S133" s="21"/>
      <c r="T133" s="21"/>
      <c r="U133" s="21"/>
      <c r="V133" s="21"/>
      <c r="W133" s="36"/>
      <c r="X133" s="48"/>
    </row>
    <row r="134" spans="1:24" x14ac:dyDescent="0.2">
      <c r="A134" s="20" t="str">
        <f t="shared" si="4"/>
        <v/>
      </c>
      <c r="B134" s="21"/>
      <c r="C134" s="22"/>
      <c r="D134" s="21"/>
      <c r="E134" s="22"/>
      <c r="F134" s="22"/>
      <c r="G134" s="22"/>
      <c r="H134" s="22"/>
      <c r="I134" s="22"/>
      <c r="J134" s="22"/>
      <c r="K134" s="22"/>
      <c r="L134" s="22"/>
      <c r="M134" s="22"/>
      <c r="N134" s="21"/>
      <c r="O134" s="21"/>
      <c r="P134" s="21"/>
      <c r="Q134" s="21"/>
      <c r="R134" s="21"/>
      <c r="S134" s="21"/>
      <c r="T134" s="21"/>
      <c r="U134" s="21"/>
      <c r="V134" s="21"/>
      <c r="W134" s="36"/>
      <c r="X134" s="48"/>
    </row>
    <row r="135" spans="1:24" x14ac:dyDescent="0.2">
      <c r="A135" s="20" t="str">
        <f t="shared" si="4"/>
        <v/>
      </c>
      <c r="B135" s="21"/>
      <c r="C135" s="22"/>
      <c r="D135" s="21"/>
      <c r="E135" s="22"/>
      <c r="F135" s="22"/>
      <c r="G135" s="22"/>
      <c r="H135" s="22"/>
      <c r="I135" s="22"/>
      <c r="J135" s="22"/>
      <c r="K135" s="22"/>
      <c r="L135" s="22"/>
      <c r="M135" s="22"/>
      <c r="N135" s="21"/>
      <c r="O135" s="21"/>
      <c r="P135" s="21"/>
      <c r="Q135" s="21"/>
      <c r="R135" s="21"/>
      <c r="S135" s="21"/>
      <c r="T135" s="21"/>
      <c r="U135" s="21"/>
      <c r="V135" s="21"/>
      <c r="W135" s="36"/>
      <c r="X135" s="48"/>
    </row>
    <row r="136" spans="1:24" x14ac:dyDescent="0.2">
      <c r="A136" s="20" t="str">
        <f t="shared" si="4"/>
        <v/>
      </c>
      <c r="B136" s="21"/>
      <c r="C136" s="22"/>
      <c r="D136" s="21"/>
      <c r="E136" s="22"/>
      <c r="F136" s="22"/>
      <c r="G136" s="22"/>
      <c r="H136" s="22"/>
      <c r="I136" s="22"/>
      <c r="J136" s="22"/>
      <c r="K136" s="22"/>
      <c r="L136" s="22"/>
      <c r="M136" s="22"/>
      <c r="N136" s="21"/>
      <c r="O136" s="21"/>
      <c r="P136" s="21"/>
      <c r="Q136" s="21"/>
      <c r="R136" s="21"/>
      <c r="S136" s="21"/>
      <c r="T136" s="21"/>
      <c r="U136" s="21"/>
      <c r="V136" s="21"/>
      <c r="W136" s="36"/>
      <c r="X136" s="48"/>
    </row>
    <row r="137" spans="1:24" x14ac:dyDescent="0.2">
      <c r="A137" s="20" t="str">
        <f t="shared" si="4"/>
        <v/>
      </c>
      <c r="B137" s="21"/>
      <c r="C137" s="22"/>
      <c r="D137" s="21"/>
      <c r="E137" s="22"/>
      <c r="F137" s="22"/>
      <c r="G137" s="22"/>
      <c r="H137" s="22"/>
      <c r="I137" s="22"/>
      <c r="J137" s="22"/>
      <c r="K137" s="22"/>
      <c r="L137" s="22"/>
      <c r="M137" s="22"/>
      <c r="N137" s="21"/>
      <c r="O137" s="21"/>
      <c r="P137" s="21"/>
      <c r="Q137" s="21"/>
      <c r="R137" s="21"/>
      <c r="S137" s="21"/>
      <c r="T137" s="21"/>
      <c r="U137" s="21"/>
      <c r="V137" s="21"/>
      <c r="W137" s="36"/>
      <c r="X137" s="48"/>
    </row>
    <row r="138" spans="1:24" x14ac:dyDescent="0.2">
      <c r="A138" s="20" t="str">
        <f t="shared" si="4"/>
        <v/>
      </c>
      <c r="B138" s="21"/>
      <c r="C138" s="22"/>
      <c r="D138" s="21"/>
      <c r="E138" s="22"/>
      <c r="F138" s="22"/>
      <c r="G138" s="22"/>
      <c r="H138" s="22"/>
      <c r="I138" s="22"/>
      <c r="J138" s="22"/>
      <c r="K138" s="22"/>
      <c r="L138" s="22"/>
      <c r="M138" s="22"/>
      <c r="N138" s="21"/>
      <c r="O138" s="21"/>
      <c r="P138" s="21"/>
      <c r="Q138" s="21"/>
      <c r="R138" s="21"/>
      <c r="S138" s="21"/>
      <c r="T138" s="21"/>
      <c r="U138" s="21"/>
      <c r="V138" s="21"/>
      <c r="W138" s="36"/>
      <c r="X138" s="48"/>
    </row>
    <row r="139" spans="1:24" x14ac:dyDescent="0.2">
      <c r="A139" s="20" t="str">
        <f t="shared" si="4"/>
        <v/>
      </c>
      <c r="B139" s="21"/>
      <c r="C139" s="22"/>
      <c r="D139" s="21"/>
      <c r="E139" s="22"/>
      <c r="F139" s="22"/>
      <c r="G139" s="22"/>
      <c r="H139" s="22"/>
      <c r="I139" s="22"/>
      <c r="J139" s="22"/>
      <c r="K139" s="22"/>
      <c r="L139" s="22"/>
      <c r="M139" s="22"/>
      <c r="N139" s="21"/>
      <c r="O139" s="21"/>
      <c r="P139" s="21"/>
      <c r="Q139" s="21"/>
      <c r="R139" s="21"/>
      <c r="S139" s="21"/>
      <c r="T139" s="21"/>
      <c r="U139" s="21"/>
      <c r="V139" s="21"/>
      <c r="W139" s="36"/>
      <c r="X139" s="48"/>
    </row>
    <row r="140" spans="1:24" x14ac:dyDescent="0.2">
      <c r="A140" s="20" t="str">
        <f t="shared" si="4"/>
        <v/>
      </c>
      <c r="B140" s="21"/>
      <c r="C140" s="22"/>
      <c r="D140" s="21"/>
      <c r="E140" s="22"/>
      <c r="F140" s="22"/>
      <c r="G140" s="22"/>
      <c r="H140" s="22"/>
      <c r="I140" s="22"/>
      <c r="J140" s="22"/>
      <c r="K140" s="22"/>
      <c r="L140" s="22"/>
      <c r="M140" s="22"/>
      <c r="N140" s="21"/>
      <c r="O140" s="21"/>
      <c r="P140" s="21"/>
      <c r="Q140" s="21"/>
      <c r="R140" s="21"/>
      <c r="S140" s="21"/>
      <c r="T140" s="21"/>
      <c r="U140" s="21"/>
      <c r="V140" s="21"/>
      <c r="W140" s="36"/>
      <c r="X140" s="48"/>
    </row>
    <row r="141" spans="1:24" x14ac:dyDescent="0.2">
      <c r="A141" s="20" t="str">
        <f t="shared" si="4"/>
        <v/>
      </c>
      <c r="B141" s="21"/>
      <c r="C141" s="22"/>
      <c r="D141" s="21"/>
      <c r="E141" s="22"/>
      <c r="F141" s="22"/>
      <c r="G141" s="22"/>
      <c r="H141" s="22"/>
      <c r="I141" s="22"/>
      <c r="J141" s="22"/>
      <c r="K141" s="22"/>
      <c r="L141" s="22"/>
      <c r="M141" s="22"/>
      <c r="N141" s="21"/>
      <c r="O141" s="21"/>
      <c r="P141" s="21"/>
      <c r="Q141" s="21"/>
      <c r="R141" s="21"/>
      <c r="S141" s="21"/>
      <c r="T141" s="21"/>
      <c r="U141" s="21"/>
      <c r="V141" s="21"/>
      <c r="W141" s="36"/>
      <c r="X141" s="48"/>
    </row>
    <row r="142" spans="1:24" x14ac:dyDescent="0.2">
      <c r="A142" s="20" t="str">
        <f t="shared" si="4"/>
        <v/>
      </c>
      <c r="B142" s="21"/>
      <c r="C142" s="22"/>
      <c r="D142" s="21"/>
      <c r="E142" s="22"/>
      <c r="F142" s="22"/>
      <c r="G142" s="22"/>
      <c r="H142" s="22"/>
      <c r="I142" s="22"/>
      <c r="J142" s="22"/>
      <c r="K142" s="22"/>
      <c r="L142" s="22"/>
      <c r="M142" s="22"/>
      <c r="N142" s="21"/>
      <c r="O142" s="21"/>
      <c r="P142" s="21"/>
      <c r="Q142" s="21"/>
      <c r="R142" s="21"/>
      <c r="S142" s="21"/>
      <c r="T142" s="21"/>
      <c r="U142" s="21"/>
      <c r="V142" s="21"/>
      <c r="W142" s="36"/>
      <c r="X142" s="48"/>
    </row>
    <row r="143" spans="1:24" x14ac:dyDescent="0.2">
      <c r="A143" s="20" t="str">
        <f t="shared" si="4"/>
        <v/>
      </c>
      <c r="B143" s="21"/>
      <c r="C143" s="22"/>
      <c r="D143" s="21"/>
      <c r="E143" s="22"/>
      <c r="F143" s="22"/>
      <c r="G143" s="22"/>
      <c r="H143" s="22"/>
      <c r="I143" s="22"/>
      <c r="J143" s="22"/>
      <c r="K143" s="22"/>
      <c r="L143" s="22"/>
      <c r="M143" s="22"/>
      <c r="N143" s="21"/>
      <c r="O143" s="21"/>
      <c r="P143" s="21"/>
      <c r="Q143" s="21"/>
      <c r="R143" s="21"/>
      <c r="S143" s="21"/>
      <c r="T143" s="21"/>
      <c r="U143" s="21"/>
      <c r="V143" s="21"/>
      <c r="W143" s="36"/>
      <c r="X143" s="48"/>
    </row>
    <row r="144" spans="1:24" x14ac:dyDescent="0.2">
      <c r="A144" s="20" t="str">
        <f t="shared" si="4"/>
        <v/>
      </c>
      <c r="B144" s="21"/>
      <c r="C144" s="22"/>
      <c r="D144" s="21"/>
      <c r="E144" s="22"/>
      <c r="F144" s="22"/>
      <c r="G144" s="22"/>
      <c r="H144" s="22"/>
      <c r="I144" s="22"/>
      <c r="J144" s="22"/>
      <c r="K144" s="22"/>
      <c r="L144" s="22"/>
      <c r="M144" s="22"/>
      <c r="N144" s="21"/>
      <c r="O144" s="21"/>
      <c r="P144" s="21"/>
      <c r="Q144" s="21"/>
      <c r="R144" s="21"/>
      <c r="S144" s="21"/>
      <c r="T144" s="21"/>
      <c r="U144" s="21"/>
      <c r="V144" s="21"/>
      <c r="W144" s="36"/>
      <c r="X144" s="48"/>
    </row>
    <row r="145" spans="1:24" x14ac:dyDescent="0.2">
      <c r="A145" s="20" t="str">
        <f t="shared" si="4"/>
        <v/>
      </c>
      <c r="B145" s="21"/>
      <c r="C145" s="22"/>
      <c r="D145" s="21"/>
      <c r="E145" s="22"/>
      <c r="F145" s="22"/>
      <c r="G145" s="22"/>
      <c r="H145" s="22"/>
      <c r="I145" s="22"/>
      <c r="J145" s="22"/>
      <c r="K145" s="22"/>
      <c r="L145" s="22"/>
      <c r="M145" s="22"/>
      <c r="N145" s="21"/>
      <c r="O145" s="21"/>
      <c r="P145" s="21"/>
      <c r="Q145" s="21"/>
      <c r="R145" s="21"/>
      <c r="S145" s="21"/>
      <c r="T145" s="21"/>
      <c r="U145" s="21"/>
      <c r="V145" s="21"/>
      <c r="W145" s="36"/>
      <c r="X145" s="48"/>
    </row>
    <row r="146" spans="1:24" x14ac:dyDescent="0.2">
      <c r="A146" s="20" t="str">
        <f t="shared" si="4"/>
        <v/>
      </c>
      <c r="B146" s="21"/>
      <c r="C146" s="22"/>
      <c r="D146" s="21"/>
      <c r="E146" s="22"/>
      <c r="F146" s="22"/>
      <c r="G146" s="22"/>
      <c r="H146" s="22"/>
      <c r="I146" s="22"/>
      <c r="J146" s="22"/>
      <c r="K146" s="22"/>
      <c r="L146" s="22"/>
      <c r="M146" s="22"/>
      <c r="N146" s="21"/>
      <c r="O146" s="21"/>
      <c r="P146" s="21"/>
      <c r="Q146" s="21"/>
      <c r="R146" s="21"/>
      <c r="S146" s="21"/>
      <c r="T146" s="21"/>
      <c r="U146" s="21"/>
      <c r="V146" s="21"/>
      <c r="W146" s="36"/>
      <c r="X146" s="48"/>
    </row>
    <row r="147" spans="1:24" x14ac:dyDescent="0.2">
      <c r="A147" s="20" t="str">
        <f t="shared" si="4"/>
        <v/>
      </c>
      <c r="B147" s="21"/>
      <c r="C147" s="22"/>
      <c r="D147" s="21"/>
      <c r="E147" s="22"/>
      <c r="F147" s="22"/>
      <c r="G147" s="22"/>
      <c r="H147" s="22"/>
      <c r="I147" s="22"/>
      <c r="J147" s="22"/>
      <c r="K147" s="22"/>
      <c r="L147" s="22"/>
      <c r="M147" s="22"/>
      <c r="N147" s="21"/>
      <c r="O147" s="21"/>
      <c r="P147" s="21"/>
      <c r="Q147" s="21"/>
      <c r="R147" s="21"/>
      <c r="S147" s="21"/>
      <c r="T147" s="21"/>
      <c r="U147" s="21"/>
      <c r="V147" s="21"/>
      <c r="W147" s="36"/>
      <c r="X147" s="48"/>
    </row>
    <row r="148" spans="1:24" x14ac:dyDescent="0.2">
      <c r="A148" s="20" t="str">
        <f t="shared" si="4"/>
        <v/>
      </c>
      <c r="B148" s="21"/>
      <c r="C148" s="22"/>
      <c r="D148" s="21"/>
      <c r="E148" s="22"/>
      <c r="F148" s="22"/>
      <c r="G148" s="22"/>
      <c r="H148" s="22"/>
      <c r="I148" s="22"/>
      <c r="J148" s="22"/>
      <c r="K148" s="22"/>
      <c r="L148" s="22"/>
      <c r="M148" s="22"/>
      <c r="N148" s="21"/>
      <c r="O148" s="21"/>
      <c r="P148" s="21"/>
      <c r="Q148" s="21"/>
      <c r="R148" s="21"/>
      <c r="S148" s="21"/>
      <c r="T148" s="21"/>
      <c r="U148" s="21"/>
      <c r="V148" s="21"/>
      <c r="W148" s="36"/>
      <c r="X148" s="48"/>
    </row>
    <row r="149" spans="1:24" x14ac:dyDescent="0.2">
      <c r="A149" s="20" t="str">
        <f t="shared" si="4"/>
        <v/>
      </c>
      <c r="B149" s="21"/>
      <c r="C149" s="22"/>
      <c r="D149" s="21"/>
      <c r="E149" s="22"/>
      <c r="F149" s="22"/>
      <c r="G149" s="22"/>
      <c r="H149" s="22"/>
      <c r="I149" s="22"/>
      <c r="J149" s="22"/>
      <c r="K149" s="22"/>
      <c r="L149" s="22"/>
      <c r="M149" s="22"/>
      <c r="N149" s="21"/>
      <c r="O149" s="21"/>
      <c r="P149" s="21"/>
      <c r="Q149" s="21"/>
      <c r="R149" s="21"/>
      <c r="S149" s="21"/>
      <c r="T149" s="21"/>
      <c r="U149" s="21"/>
      <c r="V149" s="21"/>
      <c r="W149" s="36"/>
      <c r="X149" s="48"/>
    </row>
  </sheetData>
  <dataValidations count="6">
    <dataValidation type="list" allowBlank="1" sqref="E2:E499" xr:uid="{00000000-0002-0000-0900-000000000000}">
      <formula1>"TODO,IN_PROGRESS,IN_REVIEW,DONE"</formula1>
    </dataValidation>
    <dataValidation type="list" allowBlank="1" sqref="F2:F499" xr:uid="{00000000-0002-0000-0900-000001000000}">
      <formula1>"LOW,MEDIUM,HIGH,CRITICAL"</formula1>
    </dataValidation>
    <dataValidation type="list" allowBlank="1" sqref="G2:G499" xr:uid="{00000000-0002-0000-0900-000002000000}">
      <formula1>"NEW_APPLICATION,ENHANCEMENT,BUG,MAINTENANCE,MIGRATION"</formula1>
    </dataValidation>
    <dataValidation type="list" allowBlank="1" sqref="H2:H499" xr:uid="{00000000-0002-0000-0900-000003000000}">
      <formula1>"Administration, Approval, BRD, Claim Management, Master Data, My Task, Policy Automation, Power Automate, Project, Reinsurance, Retail, SAP FI, SAP MM, SLA, TICS Reporting, TTS, Ticket Daily, Timeline Timesheet "</formula1>
    </dataValidation>
    <dataValidation type="list" allowBlank="1" sqref="I2:I499" xr:uid="{00000000-0002-0000-0900-000004000000}">
      <formula1>"UI_BUG,FUNCTIONAL_BUG,INTEGRATION_BUG,DATA_BUG,PERFORMANCE_BUG,SECURITY_BUG,OTHER"</formula1>
    </dataValidation>
    <dataValidation type="list" allowBlank="1" showInputMessage="1" showErrorMessage="1" sqref="Z2:Z1048575" xr:uid="{20A3F1CA-911E-46C0-B246-FA1F460B1ECE}">
      <formula1>"Requirement,System Design,Implementation,Testing,Deployment,Maintenance"</formula1>
    </dataValidation>
  </dataValidations>
  <hyperlinks>
    <hyperlink ref="X24" r:id="rId1" xr:uid="{A6EE97FB-5E56-407C-9BE3-7BAB2342C0D6}"/>
    <hyperlink ref="X25" r:id="rId2" xr:uid="{D11AF43B-EF65-4EE9-8A10-FB3220081538}"/>
    <hyperlink ref="X26" r:id="rId3" xr:uid="{A2CDC849-25BF-40F9-9DAE-487D9536D675}"/>
    <hyperlink ref="X27" r:id="rId4" xr:uid="{A2707335-F3DA-4F5B-83C2-9576CFA7AE47}"/>
    <hyperlink ref="X28" r:id="rId5" xr:uid="{BDA99714-EFB5-4D46-91FE-7D3A5FFDBC52}"/>
    <hyperlink ref="X29" r:id="rId6" xr:uid="{1151C303-53BF-49B8-AAED-BAA73D551E68}"/>
    <hyperlink ref="X31" r:id="rId7" xr:uid="{69A60396-3164-4F3B-9C09-D9B33DF4FAD5}"/>
    <hyperlink ref="X32" r:id="rId8" xr:uid="{5B8C8AA1-C471-4B03-9EE0-52ACD99EA5B7}"/>
    <hyperlink ref="X33" r:id="rId9" xr:uid="{DC4AF8C1-0A66-4442-AE65-B1EE5CB49A02}"/>
    <hyperlink ref="X34" r:id="rId10" xr:uid="{E8815C6D-5EFC-4C15-8B2E-7B18ABD989E5}"/>
    <hyperlink ref="X35" r:id="rId11" xr:uid="{052599F8-E016-4994-B2C2-DBCEF2CD61DB}"/>
    <hyperlink ref="X36" r:id="rId12" xr:uid="{9A29E792-034F-4E8A-8873-B8950106E054}"/>
    <hyperlink ref="X38" r:id="rId13" xr:uid="{655D302D-88F9-4F98-B2C9-6368C4FDE835}"/>
    <hyperlink ref="X39" r:id="rId14" xr:uid="{C74E02B0-6410-428E-8BC9-FEC1636285B0}"/>
    <hyperlink ref="X40" r:id="rId15" xr:uid="{709BA2CD-7047-4468-9539-1688FFCBD7D4}"/>
    <hyperlink ref="X37" r:id="rId16" xr:uid="{1DD34417-7529-4F1A-95B3-0E4643CC5D3F}"/>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72D3AB4-9F3A-416E-92BF-BEF7AC0B6A27}">
          <x14:formula1>
            <xm:f>Master_Project_Name!$A$2:$A$100</xm:f>
          </x14:formula1>
          <xm:sqref>B2:B500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C6E4-7A32-41BC-BF82-073D0B210202}">
  <dimension ref="A1:Z148"/>
  <sheetViews>
    <sheetView zoomScale="170" workbookViewId="0">
      <pane ySplit="1" topLeftCell="A7" activePane="bottomLeft" state="frozen"/>
      <selection pane="bottomLeft" activeCell="B9" sqref="B9"/>
    </sheetView>
  </sheetViews>
  <sheetFormatPr baseColWidth="10" defaultColWidth="8.83203125" defaultRowHeight="15" x14ac:dyDescent="0.2"/>
  <cols>
    <col min="1" max="1" width="6" customWidth="1"/>
    <col min="2" max="2" width="32.1640625" customWidth="1"/>
    <col min="3" max="3" width="18" customWidth="1"/>
    <col min="4" max="4" width="46.83203125" bestFit="1" customWidth="1"/>
    <col min="5" max="5" width="15" customWidth="1"/>
    <col min="6" max="6" width="13" customWidth="1"/>
    <col min="7" max="7" width="20" customWidth="1"/>
    <col min="8" max="8" width="22.6640625" style="100" customWidth="1"/>
    <col min="9" max="9" width="18" customWidth="1"/>
    <col min="10" max="10" width="12" customWidth="1"/>
    <col min="11" max="12" width="14" customWidth="1"/>
    <col min="13" max="13" width="15" customWidth="1"/>
    <col min="14" max="14" width="25" customWidth="1"/>
    <col min="15" max="18" width="24" customWidth="1"/>
    <col min="19" max="21" width="26" customWidth="1"/>
    <col min="22" max="23" width="30" customWidth="1"/>
    <col min="24" max="24" width="54" bestFit="1" customWidth="1"/>
    <col min="25" max="25" width="11.6640625" customWidth="1"/>
    <col min="26" max="26" width="11.83203125" customWidth="1"/>
  </cols>
  <sheetData>
    <row r="1" spans="1:26" ht="28" customHeight="1" x14ac:dyDescent="0.2">
      <c r="A1" s="98" t="s">
        <v>138</v>
      </c>
      <c r="B1" s="98" t="s">
        <v>0</v>
      </c>
      <c r="C1" s="98" t="s">
        <v>1</v>
      </c>
      <c r="D1" s="98" t="s">
        <v>139</v>
      </c>
      <c r="E1" s="98" t="s">
        <v>140</v>
      </c>
      <c r="F1" s="98" t="s">
        <v>141</v>
      </c>
      <c r="G1" s="98" t="s">
        <v>142</v>
      </c>
      <c r="H1" s="98" t="s">
        <v>143</v>
      </c>
      <c r="I1" s="98" t="s">
        <v>144</v>
      </c>
      <c r="J1" s="98" t="s">
        <v>145</v>
      </c>
      <c r="K1" s="98" t="s">
        <v>146</v>
      </c>
      <c r="L1" s="98" t="s">
        <v>147</v>
      </c>
      <c r="M1" s="98" t="s">
        <v>148</v>
      </c>
      <c r="N1" s="98" t="s">
        <v>149</v>
      </c>
      <c r="O1" s="98" t="s">
        <v>150</v>
      </c>
      <c r="P1" s="98" t="s">
        <v>151</v>
      </c>
      <c r="Q1" s="98" t="s">
        <v>152</v>
      </c>
      <c r="R1" s="98" t="s">
        <v>153</v>
      </c>
      <c r="S1" s="98" t="s">
        <v>154</v>
      </c>
      <c r="T1" s="98" t="s">
        <v>155</v>
      </c>
      <c r="U1" s="98" t="s">
        <v>156</v>
      </c>
      <c r="V1" s="98" t="s">
        <v>157</v>
      </c>
      <c r="W1" s="99" t="s">
        <v>158</v>
      </c>
      <c r="X1" s="99" t="s">
        <v>159</v>
      </c>
      <c r="Y1" s="99" t="s">
        <v>160</v>
      </c>
      <c r="Z1" s="99" t="s">
        <v>161</v>
      </c>
    </row>
    <row r="2" spans="1:26" ht="16" x14ac:dyDescent="0.2">
      <c r="A2" s="20">
        <v>1</v>
      </c>
      <c r="B2" s="21" t="s">
        <v>170</v>
      </c>
      <c r="C2" s="22"/>
      <c r="D2" s="21" t="s">
        <v>1037</v>
      </c>
      <c r="E2" s="22" t="s">
        <v>109</v>
      </c>
      <c r="F2" s="22" t="s">
        <v>163</v>
      </c>
      <c r="G2" s="22" t="s">
        <v>179</v>
      </c>
      <c r="H2" s="22" t="s">
        <v>173</v>
      </c>
      <c r="I2" s="22"/>
      <c r="J2" s="23">
        <v>1</v>
      </c>
      <c r="K2" s="24">
        <v>46307</v>
      </c>
      <c r="L2" s="24">
        <v>46307</v>
      </c>
      <c r="M2" s="24">
        <v>46307</v>
      </c>
      <c r="N2" s="21" t="s">
        <v>174</v>
      </c>
      <c r="O2" s="21" t="s">
        <v>166</v>
      </c>
      <c r="P2" s="21"/>
      <c r="Q2" s="21"/>
      <c r="R2" s="21"/>
      <c r="S2" s="21" t="s">
        <v>175</v>
      </c>
      <c r="T2" s="82" t="s">
        <v>476</v>
      </c>
      <c r="U2" s="21" t="s">
        <v>166</v>
      </c>
      <c r="V2" s="21"/>
      <c r="W2" s="36"/>
      <c r="X2" s="48"/>
    </row>
    <row r="3" spans="1:26" ht="16" x14ac:dyDescent="0.2">
      <c r="A3" s="20">
        <v>2</v>
      </c>
      <c r="B3" s="21" t="s">
        <v>170</v>
      </c>
      <c r="C3" s="22"/>
      <c r="D3" s="21" t="s">
        <v>1038</v>
      </c>
      <c r="E3" s="22" t="s">
        <v>109</v>
      </c>
      <c r="F3" s="22" t="s">
        <v>163</v>
      </c>
      <c r="G3" s="22" t="s">
        <v>179</v>
      </c>
      <c r="H3" s="22" t="s">
        <v>173</v>
      </c>
      <c r="I3" s="22"/>
      <c r="J3" s="23">
        <v>1</v>
      </c>
      <c r="K3" s="24">
        <v>46308</v>
      </c>
      <c r="L3" s="24">
        <v>46308</v>
      </c>
      <c r="M3" s="24">
        <v>46308</v>
      </c>
      <c r="N3" s="21" t="s">
        <v>174</v>
      </c>
      <c r="O3" s="21" t="s">
        <v>166</v>
      </c>
      <c r="P3" s="21"/>
      <c r="Q3" s="21"/>
      <c r="R3" s="21"/>
      <c r="S3" s="21" t="s">
        <v>175</v>
      </c>
      <c r="T3" s="82" t="s">
        <v>476</v>
      </c>
      <c r="U3" s="21" t="s">
        <v>166</v>
      </c>
      <c r="V3" s="21"/>
      <c r="W3" s="36"/>
      <c r="X3" s="48"/>
    </row>
    <row r="4" spans="1:26" ht="16" x14ac:dyDescent="0.2">
      <c r="A4" s="20">
        <v>3</v>
      </c>
      <c r="B4" s="21" t="s">
        <v>170</v>
      </c>
      <c r="C4" s="22"/>
      <c r="D4" s="21" t="s">
        <v>1039</v>
      </c>
      <c r="E4" s="22" t="s">
        <v>109</v>
      </c>
      <c r="F4" s="22" t="s">
        <v>163</v>
      </c>
      <c r="G4" s="22" t="s">
        <v>179</v>
      </c>
      <c r="H4" s="22" t="s">
        <v>963</v>
      </c>
      <c r="I4" s="22"/>
      <c r="J4" s="23">
        <v>1</v>
      </c>
      <c r="K4" s="24">
        <v>46309</v>
      </c>
      <c r="L4" s="24">
        <v>46309</v>
      </c>
      <c r="M4" s="24">
        <v>46309</v>
      </c>
      <c r="N4" s="21" t="s">
        <v>174</v>
      </c>
      <c r="O4" s="21" t="s">
        <v>166</v>
      </c>
      <c r="P4" s="21"/>
      <c r="Q4" s="21"/>
      <c r="R4" s="21"/>
      <c r="S4" s="21" t="s">
        <v>175</v>
      </c>
      <c r="T4" s="82" t="s">
        <v>476</v>
      </c>
      <c r="U4" s="21" t="s">
        <v>166</v>
      </c>
      <c r="V4" s="21"/>
      <c r="W4" s="36"/>
      <c r="X4" s="48"/>
    </row>
    <row r="5" spans="1:26" ht="16" x14ac:dyDescent="0.2">
      <c r="A5" s="20">
        <v>4</v>
      </c>
      <c r="B5" s="21" t="s">
        <v>287</v>
      </c>
      <c r="C5" s="22"/>
      <c r="D5" s="21" t="s">
        <v>1040</v>
      </c>
      <c r="E5" s="22" t="s">
        <v>109</v>
      </c>
      <c r="F5" s="22" t="s">
        <v>163</v>
      </c>
      <c r="G5" s="22" t="s">
        <v>200</v>
      </c>
      <c r="H5" s="100" t="s">
        <v>1041</v>
      </c>
      <c r="I5" s="22"/>
      <c r="J5" s="23">
        <v>1</v>
      </c>
      <c r="K5" s="24">
        <v>46310</v>
      </c>
      <c r="L5" s="24">
        <v>46310</v>
      </c>
      <c r="M5" s="24">
        <v>46310</v>
      </c>
      <c r="N5" s="21" t="s">
        <v>174</v>
      </c>
      <c r="O5" s="21" t="s">
        <v>166</v>
      </c>
      <c r="P5" s="21"/>
      <c r="Q5" s="21"/>
      <c r="R5" s="21"/>
      <c r="S5" s="21" t="s">
        <v>175</v>
      </c>
      <c r="T5" s="82" t="s">
        <v>476</v>
      </c>
      <c r="U5" s="21" t="s">
        <v>166</v>
      </c>
      <c r="V5" s="21"/>
      <c r="W5" s="36"/>
      <c r="X5" s="48"/>
    </row>
    <row r="6" spans="1:26" ht="16" x14ac:dyDescent="0.2">
      <c r="A6" s="20">
        <v>5</v>
      </c>
      <c r="B6" s="21" t="s">
        <v>341</v>
      </c>
      <c r="C6" s="22"/>
      <c r="D6" s="21" t="s">
        <v>1042</v>
      </c>
      <c r="E6" s="22" t="s">
        <v>109</v>
      </c>
      <c r="F6" s="22" t="s">
        <v>163</v>
      </c>
      <c r="G6" s="22" t="s">
        <v>179</v>
      </c>
      <c r="H6" s="22" t="s">
        <v>341</v>
      </c>
      <c r="I6" s="22"/>
      <c r="J6" s="23">
        <v>1</v>
      </c>
      <c r="K6" s="24">
        <v>46311</v>
      </c>
      <c r="L6" s="24">
        <v>46311</v>
      </c>
      <c r="M6" s="24">
        <v>46311</v>
      </c>
      <c r="N6" s="21" t="s">
        <v>174</v>
      </c>
      <c r="O6" s="21" t="s">
        <v>166</v>
      </c>
      <c r="P6" s="21"/>
      <c r="Q6" s="21"/>
      <c r="R6" s="21"/>
      <c r="S6" s="21" t="s">
        <v>175</v>
      </c>
      <c r="T6" s="82" t="s">
        <v>476</v>
      </c>
      <c r="U6" s="21" t="s">
        <v>166</v>
      </c>
      <c r="V6" s="21"/>
      <c r="W6" s="36"/>
      <c r="X6" s="48"/>
    </row>
    <row r="7" spans="1:26" ht="16" x14ac:dyDescent="0.2">
      <c r="A7" s="20">
        <v>6</v>
      </c>
      <c r="B7" s="21" t="s">
        <v>341</v>
      </c>
      <c r="C7" s="22"/>
      <c r="D7" s="21" t="s">
        <v>1043</v>
      </c>
      <c r="E7" s="22" t="s">
        <v>109</v>
      </c>
      <c r="F7" s="22" t="s">
        <v>163</v>
      </c>
      <c r="G7" s="22" t="s">
        <v>179</v>
      </c>
      <c r="H7" s="22" t="s">
        <v>341</v>
      </c>
      <c r="I7" s="22"/>
      <c r="J7" s="23">
        <v>1</v>
      </c>
      <c r="K7" s="24">
        <v>46314</v>
      </c>
      <c r="L7" s="24">
        <v>46314</v>
      </c>
      <c r="M7" s="24">
        <v>46314</v>
      </c>
      <c r="N7" s="21" t="s">
        <v>174</v>
      </c>
      <c r="O7" s="21" t="s">
        <v>166</v>
      </c>
      <c r="P7" s="21"/>
      <c r="Q7" s="21"/>
      <c r="R7" s="21"/>
      <c r="S7" s="21" t="s">
        <v>175</v>
      </c>
      <c r="T7" s="82" t="s">
        <v>476</v>
      </c>
      <c r="U7" s="21" t="s">
        <v>166</v>
      </c>
      <c r="V7" s="21"/>
      <c r="W7" s="36"/>
      <c r="X7" s="48"/>
    </row>
    <row r="8" spans="1:26" ht="16" x14ac:dyDescent="0.2">
      <c r="A8" s="20">
        <v>7</v>
      </c>
      <c r="B8" s="21" t="s">
        <v>385</v>
      </c>
      <c r="C8" s="22"/>
      <c r="D8" s="21" t="s">
        <v>1044</v>
      </c>
      <c r="E8" s="22" t="s">
        <v>109</v>
      </c>
      <c r="F8" s="22" t="s">
        <v>163</v>
      </c>
      <c r="G8" s="22" t="s">
        <v>179</v>
      </c>
      <c r="H8" s="22" t="s">
        <v>387</v>
      </c>
      <c r="I8" s="22"/>
      <c r="J8" s="23">
        <v>1</v>
      </c>
      <c r="K8" s="24">
        <v>46315</v>
      </c>
      <c r="L8" s="24">
        <v>46315</v>
      </c>
      <c r="M8" s="24">
        <v>46315</v>
      </c>
      <c r="N8" s="21" t="s">
        <v>174</v>
      </c>
      <c r="O8" s="21" t="s">
        <v>166</v>
      </c>
      <c r="P8" s="21"/>
      <c r="Q8" s="21"/>
      <c r="R8" s="21"/>
      <c r="S8" s="21" t="s">
        <v>175</v>
      </c>
      <c r="T8" s="82" t="s">
        <v>476</v>
      </c>
      <c r="U8" s="21" t="s">
        <v>166</v>
      </c>
      <c r="V8" s="21"/>
      <c r="W8" s="36"/>
      <c r="X8" s="48"/>
    </row>
    <row r="9" spans="1:26" ht="16" x14ac:dyDescent="0.2">
      <c r="A9" s="20">
        <v>8</v>
      </c>
      <c r="B9" s="21" t="s">
        <v>389</v>
      </c>
      <c r="C9" s="22"/>
      <c r="D9" s="21" t="s">
        <v>1045</v>
      </c>
      <c r="E9" s="22" t="s">
        <v>109</v>
      </c>
      <c r="F9" s="22" t="s">
        <v>172</v>
      </c>
      <c r="G9" s="22" t="s">
        <v>164</v>
      </c>
      <c r="H9" s="22" t="s">
        <v>1046</v>
      </c>
      <c r="I9" s="22"/>
      <c r="J9" s="23">
        <v>1</v>
      </c>
      <c r="K9" s="24">
        <v>46316</v>
      </c>
      <c r="L9" s="24">
        <v>46316</v>
      </c>
      <c r="M9" s="24">
        <v>46315</v>
      </c>
      <c r="N9" s="21" t="s">
        <v>174</v>
      </c>
      <c r="O9" s="21" t="s">
        <v>166</v>
      </c>
      <c r="P9" s="21"/>
      <c r="Q9" s="21"/>
      <c r="R9" s="21"/>
      <c r="S9" s="21" t="s">
        <v>175</v>
      </c>
      <c r="T9" s="82" t="s">
        <v>476</v>
      </c>
      <c r="U9" s="21" t="s">
        <v>166</v>
      </c>
      <c r="V9" s="21"/>
      <c r="W9" s="36"/>
      <c r="X9" s="48"/>
    </row>
    <row r="10" spans="1:26" ht="16" x14ac:dyDescent="0.2">
      <c r="A10" s="20">
        <f t="shared" ref="A10:A64" si="0">IF(OR(D10&lt;&gt;"", B10&lt;&gt;""), ROW()-1, "")</f>
        <v>9</v>
      </c>
      <c r="B10" s="21" t="s">
        <v>385</v>
      </c>
      <c r="C10" s="22"/>
      <c r="D10" s="21" t="s">
        <v>1047</v>
      </c>
      <c r="E10" s="22" t="s">
        <v>109</v>
      </c>
      <c r="F10" s="22" t="s">
        <v>172</v>
      </c>
      <c r="G10" s="22" t="s">
        <v>179</v>
      </c>
      <c r="H10" s="22" t="s">
        <v>1048</v>
      </c>
      <c r="I10" s="22"/>
      <c r="J10" s="23">
        <v>0.1</v>
      </c>
      <c r="K10" s="24">
        <v>46316</v>
      </c>
      <c r="L10" s="24">
        <v>46317</v>
      </c>
      <c r="M10" s="24">
        <v>46317</v>
      </c>
      <c r="N10" s="21" t="s">
        <v>174</v>
      </c>
      <c r="O10" s="21" t="s">
        <v>166</v>
      </c>
      <c r="P10" s="21"/>
      <c r="Q10" s="21"/>
      <c r="R10" s="21"/>
      <c r="S10" s="21" t="s">
        <v>175</v>
      </c>
      <c r="T10" s="82" t="s">
        <v>476</v>
      </c>
      <c r="U10" s="21" t="s">
        <v>166</v>
      </c>
      <c r="V10" s="21"/>
      <c r="W10" s="36"/>
      <c r="X10" s="48"/>
    </row>
    <row r="11" spans="1:26" ht="16" x14ac:dyDescent="0.2">
      <c r="A11" s="20">
        <v>10</v>
      </c>
      <c r="B11" s="21" t="s">
        <v>385</v>
      </c>
      <c r="C11" s="22"/>
      <c r="D11" s="21" t="s">
        <v>1049</v>
      </c>
      <c r="E11" s="22" t="s">
        <v>109</v>
      </c>
      <c r="F11" s="22" t="s">
        <v>163</v>
      </c>
      <c r="G11" s="22" t="s">
        <v>685</v>
      </c>
      <c r="H11" s="22" t="s">
        <v>387</v>
      </c>
      <c r="I11" s="22"/>
      <c r="J11" s="23">
        <v>1</v>
      </c>
      <c r="K11" s="24">
        <v>46316</v>
      </c>
      <c r="L11" s="24">
        <v>46316</v>
      </c>
      <c r="M11" s="24">
        <v>46316</v>
      </c>
      <c r="N11" s="21" t="s">
        <v>174</v>
      </c>
      <c r="O11" s="21" t="s">
        <v>166</v>
      </c>
      <c r="P11" s="21"/>
      <c r="Q11" s="21"/>
      <c r="R11" s="21"/>
      <c r="S11" s="21" t="s">
        <v>175</v>
      </c>
      <c r="T11" s="82" t="s">
        <v>476</v>
      </c>
      <c r="U11" s="21" t="s">
        <v>166</v>
      </c>
      <c r="V11" s="21"/>
      <c r="W11" s="36"/>
      <c r="X11" s="48"/>
    </row>
    <row r="12" spans="1:26" ht="75" x14ac:dyDescent="0.2">
      <c r="A12" s="20">
        <v>11</v>
      </c>
      <c r="B12" s="21" t="s">
        <v>170</v>
      </c>
      <c r="C12" s="22"/>
      <c r="D12" s="21" t="s">
        <v>1050</v>
      </c>
      <c r="E12" s="22" t="s">
        <v>109</v>
      </c>
      <c r="F12" s="22" t="s">
        <v>163</v>
      </c>
      <c r="G12" s="22" t="s">
        <v>200</v>
      </c>
      <c r="H12" s="22" t="s">
        <v>387</v>
      </c>
      <c r="I12" s="22"/>
      <c r="J12" s="23">
        <v>1</v>
      </c>
      <c r="K12" s="24">
        <v>46317</v>
      </c>
      <c r="L12" s="24">
        <v>46317</v>
      </c>
      <c r="M12" s="24">
        <v>46317</v>
      </c>
      <c r="N12" s="21" t="s">
        <v>174</v>
      </c>
      <c r="O12" s="21" t="s">
        <v>166</v>
      </c>
      <c r="P12" s="21"/>
      <c r="Q12" s="21"/>
      <c r="R12" s="21"/>
      <c r="S12" s="21" t="s">
        <v>175</v>
      </c>
      <c r="T12" s="82" t="s">
        <v>476</v>
      </c>
      <c r="U12" s="21" t="s">
        <v>166</v>
      </c>
      <c r="V12" s="21" t="s">
        <v>1051</v>
      </c>
      <c r="W12" s="36" t="s">
        <v>1052</v>
      </c>
      <c r="X12" s="48"/>
    </row>
    <row r="13" spans="1:26" ht="75" x14ac:dyDescent="0.2">
      <c r="A13" s="20">
        <v>12</v>
      </c>
      <c r="B13" s="21" t="s">
        <v>385</v>
      </c>
      <c r="C13" s="22"/>
      <c r="D13" s="101" t="s">
        <v>1053</v>
      </c>
      <c r="E13" s="22" t="s">
        <v>109</v>
      </c>
      <c r="F13" s="22" t="s">
        <v>172</v>
      </c>
      <c r="G13" s="22" t="s">
        <v>200</v>
      </c>
      <c r="H13" s="22" t="s">
        <v>1054</v>
      </c>
      <c r="I13" s="22"/>
      <c r="J13" s="23">
        <v>1</v>
      </c>
      <c r="K13" s="24">
        <v>46317</v>
      </c>
      <c r="L13" s="24">
        <v>46317</v>
      </c>
      <c r="M13" s="24">
        <v>46317</v>
      </c>
      <c r="N13" s="21" t="s">
        <v>174</v>
      </c>
      <c r="O13" s="21" t="s">
        <v>166</v>
      </c>
      <c r="P13" s="21"/>
      <c r="Q13" s="21"/>
      <c r="R13" s="21"/>
      <c r="S13" s="21" t="s">
        <v>175</v>
      </c>
      <c r="T13" s="82" t="s">
        <v>476</v>
      </c>
      <c r="U13" s="21" t="s">
        <v>166</v>
      </c>
      <c r="V13" s="21" t="s">
        <v>1055</v>
      </c>
      <c r="W13" s="36" t="s">
        <v>1056</v>
      </c>
      <c r="X13" s="48"/>
    </row>
    <row r="14" spans="1:26" ht="45" x14ac:dyDescent="0.2">
      <c r="A14" s="20">
        <f>IF(OR(D14&lt;&gt;"", B14&lt;&gt;""), ROW()-1, "")</f>
        <v>13</v>
      </c>
      <c r="B14" s="21" t="s">
        <v>385</v>
      </c>
      <c r="C14" s="22"/>
      <c r="D14" s="21" t="s">
        <v>1057</v>
      </c>
      <c r="E14" s="22" t="s">
        <v>109</v>
      </c>
      <c r="F14" s="22" t="s">
        <v>172</v>
      </c>
      <c r="G14" s="22" t="s">
        <v>179</v>
      </c>
      <c r="H14" s="22" t="s">
        <v>387</v>
      </c>
      <c r="I14" s="22"/>
      <c r="J14" s="23">
        <v>1</v>
      </c>
      <c r="K14" s="24">
        <v>46318</v>
      </c>
      <c r="L14" s="24">
        <v>46318</v>
      </c>
      <c r="M14" s="24">
        <v>46318</v>
      </c>
      <c r="N14" s="21"/>
      <c r="O14" s="62" t="s">
        <v>166</v>
      </c>
      <c r="P14" s="21"/>
      <c r="Q14" s="21"/>
      <c r="R14" s="21"/>
      <c r="S14" s="21" t="s">
        <v>175</v>
      </c>
      <c r="T14" s="82" t="s">
        <v>476</v>
      </c>
      <c r="U14" s="21"/>
      <c r="V14" s="21"/>
      <c r="W14" s="21"/>
    </row>
    <row r="15" spans="1:26" ht="75" x14ac:dyDescent="0.2">
      <c r="A15" s="20">
        <v>14</v>
      </c>
      <c r="B15" s="21" t="s">
        <v>385</v>
      </c>
      <c r="C15" s="103"/>
      <c r="D15" s="102" t="s">
        <v>1058</v>
      </c>
      <c r="E15" s="22" t="s">
        <v>109</v>
      </c>
      <c r="F15" s="22" t="s">
        <v>172</v>
      </c>
      <c r="G15" s="22" t="s">
        <v>179</v>
      </c>
      <c r="H15" s="22" t="s">
        <v>387</v>
      </c>
      <c r="I15" s="22"/>
      <c r="J15" s="23">
        <v>1</v>
      </c>
      <c r="K15" s="24">
        <v>46318</v>
      </c>
      <c r="L15" s="24">
        <v>46318</v>
      </c>
      <c r="M15" s="24">
        <v>46318</v>
      </c>
      <c r="N15" s="21"/>
      <c r="O15" s="62" t="s">
        <v>166</v>
      </c>
      <c r="P15" s="21"/>
      <c r="Q15" s="21"/>
      <c r="R15" s="21"/>
      <c r="S15" s="21" t="s">
        <v>175</v>
      </c>
      <c r="T15" s="82" t="s">
        <v>476</v>
      </c>
      <c r="U15" s="21"/>
      <c r="V15" s="21" t="s">
        <v>1055</v>
      </c>
      <c r="W15" s="36" t="s">
        <v>1056</v>
      </c>
      <c r="X15" s="48"/>
    </row>
    <row r="16" spans="1:26" x14ac:dyDescent="0.2">
      <c r="A16" s="20"/>
      <c r="B16" s="21"/>
      <c r="C16" s="103"/>
      <c r="D16" s="102"/>
      <c r="E16" s="42"/>
      <c r="F16" s="22"/>
      <c r="G16" s="22"/>
      <c r="H16" s="22"/>
      <c r="I16" s="22"/>
      <c r="J16" s="23"/>
      <c r="K16" s="24"/>
      <c r="L16" s="24"/>
      <c r="M16" s="24"/>
      <c r="N16" s="21"/>
      <c r="O16" s="21"/>
      <c r="P16" s="21"/>
      <c r="Q16" s="21"/>
      <c r="R16" s="21"/>
      <c r="S16" s="21"/>
      <c r="T16" s="82"/>
      <c r="U16" s="21"/>
      <c r="V16" s="21"/>
      <c r="W16" s="36"/>
      <c r="X16" s="48"/>
    </row>
    <row r="17" spans="1:24" x14ac:dyDescent="0.2">
      <c r="A17" s="20"/>
      <c r="B17" s="21"/>
      <c r="C17" s="103"/>
      <c r="D17" s="102"/>
      <c r="E17" s="42"/>
      <c r="F17" s="22"/>
      <c r="G17" s="22"/>
      <c r="H17" s="22"/>
      <c r="I17" s="22"/>
      <c r="J17" s="23"/>
      <c r="K17" s="24"/>
      <c r="L17" s="24"/>
      <c r="M17" s="24"/>
      <c r="N17" s="21"/>
      <c r="O17" s="21"/>
      <c r="P17" s="21"/>
      <c r="Q17" s="21"/>
      <c r="R17" s="21"/>
      <c r="S17" s="21"/>
      <c r="T17" s="82"/>
      <c r="U17" s="21"/>
      <c r="V17" s="21"/>
      <c r="W17" s="36"/>
      <c r="X17" s="48"/>
    </row>
    <row r="18" spans="1:24" x14ac:dyDescent="0.2">
      <c r="A18" s="20"/>
      <c r="B18" s="21"/>
      <c r="C18" s="103"/>
      <c r="D18" s="102"/>
      <c r="E18" s="42"/>
      <c r="F18" s="22"/>
      <c r="G18" s="22"/>
      <c r="H18" s="22"/>
      <c r="I18" s="22"/>
      <c r="J18" s="23"/>
      <c r="K18" s="24"/>
      <c r="L18" s="24"/>
      <c r="M18" s="24"/>
      <c r="N18" s="21"/>
      <c r="O18" s="21"/>
      <c r="P18" s="21"/>
      <c r="Q18" s="21"/>
      <c r="R18" s="21"/>
      <c r="S18" s="21"/>
      <c r="T18" s="82"/>
      <c r="U18" s="21"/>
      <c r="V18" s="21"/>
      <c r="W18" s="36"/>
      <c r="X18" s="48"/>
    </row>
    <row r="19" spans="1:24" x14ac:dyDescent="0.2">
      <c r="A19" s="20"/>
      <c r="B19" s="21"/>
      <c r="C19" s="103"/>
      <c r="D19" s="102"/>
      <c r="E19" s="42"/>
      <c r="F19" s="22"/>
      <c r="G19" s="22"/>
      <c r="H19" s="22"/>
      <c r="I19" s="22"/>
      <c r="J19" s="23"/>
      <c r="K19" s="24"/>
      <c r="L19" s="24"/>
      <c r="M19" s="24"/>
      <c r="N19" s="21"/>
      <c r="O19" s="21"/>
      <c r="P19" s="21"/>
      <c r="Q19" s="21"/>
      <c r="R19" s="21"/>
      <c r="S19" s="21"/>
      <c r="T19" s="82"/>
      <c r="U19" s="21"/>
      <c r="V19" s="21"/>
      <c r="W19" s="36"/>
      <c r="X19" s="48"/>
    </row>
    <row r="20" spans="1:24" x14ac:dyDescent="0.2">
      <c r="A20" s="20"/>
      <c r="B20" s="21"/>
      <c r="C20" s="103"/>
      <c r="D20" s="102"/>
      <c r="E20" s="42"/>
      <c r="F20" s="22"/>
      <c r="G20" s="22"/>
      <c r="H20" s="22"/>
      <c r="I20" s="22"/>
      <c r="J20" s="23"/>
      <c r="K20" s="24"/>
      <c r="L20" s="24"/>
      <c r="M20" s="24"/>
      <c r="N20" s="21"/>
      <c r="O20" s="21"/>
      <c r="P20" s="21"/>
      <c r="Q20" s="21"/>
      <c r="R20" s="21"/>
      <c r="S20" s="21"/>
      <c r="T20" s="82"/>
      <c r="U20" s="21"/>
      <c r="V20" s="21"/>
      <c r="W20" s="36"/>
      <c r="X20" s="48"/>
    </row>
    <row r="21" spans="1:24" x14ac:dyDescent="0.2">
      <c r="A21" s="20"/>
      <c r="B21" s="21"/>
      <c r="C21" s="103"/>
      <c r="D21" s="102"/>
      <c r="E21" s="42"/>
      <c r="F21" s="22"/>
      <c r="G21" s="22"/>
      <c r="H21" s="22"/>
      <c r="I21" s="22"/>
      <c r="J21" s="23"/>
      <c r="K21" s="24"/>
      <c r="L21" s="24"/>
      <c r="M21" s="24"/>
      <c r="N21" s="21"/>
      <c r="O21" s="21"/>
      <c r="P21" s="21"/>
      <c r="Q21" s="21"/>
      <c r="R21" s="21"/>
      <c r="S21" s="21"/>
      <c r="T21" s="82"/>
      <c r="U21" s="21"/>
      <c r="V21" s="21"/>
      <c r="W21" s="36"/>
      <c r="X21" s="48"/>
    </row>
    <row r="22" spans="1:24" x14ac:dyDescent="0.2">
      <c r="A22" s="20" t="str">
        <f t="shared" si="0"/>
        <v/>
      </c>
      <c r="B22" s="21"/>
      <c r="C22" s="22"/>
      <c r="D22" s="38"/>
      <c r="E22" s="22"/>
      <c r="F22" s="22"/>
      <c r="G22" s="22"/>
      <c r="H22" s="22"/>
      <c r="I22" s="22"/>
      <c r="J22" s="23"/>
      <c r="K22" s="24"/>
      <c r="L22" s="24"/>
      <c r="M22" s="24"/>
      <c r="N22" s="21"/>
      <c r="O22" s="21"/>
      <c r="P22" s="21"/>
      <c r="Q22" s="21"/>
      <c r="R22" s="21"/>
      <c r="S22" s="21"/>
      <c r="T22" s="21"/>
      <c r="U22" s="21"/>
      <c r="V22" s="21"/>
      <c r="W22" s="36"/>
      <c r="X22" s="48"/>
    </row>
    <row r="23" spans="1:24" x14ac:dyDescent="0.2">
      <c r="A23" s="20" t="str">
        <f t="shared" si="0"/>
        <v/>
      </c>
      <c r="B23" s="21"/>
      <c r="C23" s="22"/>
      <c r="D23" s="21"/>
      <c r="E23" s="22"/>
      <c r="F23" s="22"/>
      <c r="G23" s="22"/>
      <c r="H23" s="22"/>
      <c r="I23" s="22"/>
      <c r="J23" s="23"/>
      <c r="K23" s="24"/>
      <c r="L23" s="24"/>
      <c r="M23" s="24"/>
      <c r="N23" s="21"/>
      <c r="O23" s="21"/>
      <c r="P23" s="21"/>
      <c r="Q23" s="21"/>
      <c r="R23" s="21"/>
      <c r="S23" s="21"/>
      <c r="T23" s="21"/>
      <c r="U23" s="21"/>
      <c r="V23" s="21"/>
      <c r="W23" s="36"/>
      <c r="X23" s="29"/>
    </row>
    <row r="24" spans="1:24" x14ac:dyDescent="0.2">
      <c r="A24" s="20" t="str">
        <f t="shared" si="0"/>
        <v/>
      </c>
      <c r="B24" s="21"/>
      <c r="C24" s="22"/>
      <c r="D24" s="21"/>
      <c r="E24" s="22"/>
      <c r="F24" s="22"/>
      <c r="G24" s="22"/>
      <c r="H24" s="22"/>
      <c r="I24" s="22"/>
      <c r="J24" s="23"/>
      <c r="K24" s="24"/>
      <c r="L24" s="24"/>
      <c r="M24" s="24"/>
      <c r="N24" s="21"/>
      <c r="O24" s="21"/>
      <c r="P24" s="21"/>
      <c r="Q24" s="21"/>
      <c r="R24" s="21"/>
      <c r="S24" s="21"/>
      <c r="T24" s="21"/>
      <c r="U24" s="21"/>
      <c r="V24" s="21"/>
      <c r="W24" s="36"/>
      <c r="X24" s="29"/>
    </row>
    <row r="25" spans="1:24" x14ac:dyDescent="0.2">
      <c r="A25" s="20" t="str">
        <f t="shared" si="0"/>
        <v/>
      </c>
      <c r="B25" s="21"/>
      <c r="C25" s="22"/>
      <c r="D25" s="21"/>
      <c r="E25" s="22"/>
      <c r="F25" s="22"/>
      <c r="G25" s="22"/>
      <c r="H25" s="22"/>
      <c r="I25" s="22"/>
      <c r="J25" s="23"/>
      <c r="K25" s="24"/>
      <c r="L25" s="24"/>
      <c r="M25" s="24"/>
      <c r="N25" s="21"/>
      <c r="O25" s="21"/>
      <c r="P25" s="21"/>
      <c r="Q25" s="21"/>
      <c r="R25" s="21"/>
      <c r="S25" s="21"/>
      <c r="T25" s="21"/>
      <c r="U25" s="21"/>
      <c r="V25" s="21"/>
      <c r="W25" s="36"/>
      <c r="X25" s="29"/>
    </row>
    <row r="26" spans="1:24" x14ac:dyDescent="0.2">
      <c r="A26" s="20" t="str">
        <f t="shared" si="0"/>
        <v/>
      </c>
      <c r="B26" s="21"/>
      <c r="C26" s="22"/>
      <c r="D26" s="21"/>
      <c r="E26" s="22"/>
      <c r="F26" s="22"/>
      <c r="G26" s="22"/>
      <c r="H26" s="22"/>
      <c r="I26" s="22"/>
      <c r="J26" s="23"/>
      <c r="K26" s="24"/>
      <c r="L26" s="24"/>
      <c r="M26" s="24"/>
      <c r="N26" s="21"/>
      <c r="O26" s="21"/>
      <c r="P26" s="21"/>
      <c r="Q26" s="21"/>
      <c r="R26" s="21"/>
      <c r="S26" s="21"/>
      <c r="T26" s="21"/>
      <c r="U26" s="21"/>
      <c r="V26" s="21"/>
      <c r="W26" s="36"/>
      <c r="X26" s="29"/>
    </row>
    <row r="27" spans="1:24" x14ac:dyDescent="0.2">
      <c r="A27" s="20" t="str">
        <f t="shared" si="0"/>
        <v/>
      </c>
      <c r="B27" s="21"/>
      <c r="C27" s="22"/>
      <c r="D27" s="21"/>
      <c r="E27" s="22"/>
      <c r="F27" s="22"/>
      <c r="G27" s="22"/>
      <c r="H27" s="22"/>
      <c r="I27" s="22"/>
      <c r="J27" s="23"/>
      <c r="K27" s="24"/>
      <c r="L27" s="24"/>
      <c r="M27" s="24"/>
      <c r="N27" s="21"/>
      <c r="O27" s="21"/>
      <c r="P27" s="21"/>
      <c r="Q27" s="21"/>
      <c r="R27" s="21"/>
      <c r="S27" s="21"/>
      <c r="T27" s="21"/>
      <c r="U27" s="21"/>
      <c r="V27" s="21"/>
      <c r="W27" s="36"/>
      <c r="X27" s="29"/>
    </row>
    <row r="28" spans="1:24" x14ac:dyDescent="0.2">
      <c r="A28" s="20" t="str">
        <f t="shared" si="0"/>
        <v/>
      </c>
      <c r="B28" s="21"/>
      <c r="C28" s="22"/>
      <c r="D28" s="21"/>
      <c r="E28" s="22"/>
      <c r="F28" s="22"/>
      <c r="G28" s="22"/>
      <c r="H28" s="22"/>
      <c r="I28" s="22"/>
      <c r="J28" s="23"/>
      <c r="K28" s="24"/>
      <c r="L28" s="24"/>
      <c r="M28" s="24"/>
      <c r="N28" s="21"/>
      <c r="O28" s="21"/>
      <c r="P28" s="21"/>
      <c r="Q28" s="21"/>
      <c r="R28" s="21"/>
      <c r="S28" s="21"/>
      <c r="T28" s="21"/>
      <c r="U28" s="21"/>
      <c r="V28" s="21"/>
      <c r="W28" s="36"/>
      <c r="X28" s="29"/>
    </row>
    <row r="29" spans="1:24" x14ac:dyDescent="0.2">
      <c r="A29" s="20" t="str">
        <f t="shared" si="0"/>
        <v/>
      </c>
      <c r="B29" s="21"/>
      <c r="C29" s="22"/>
      <c r="D29" s="21"/>
      <c r="E29" s="22"/>
      <c r="F29" s="22"/>
      <c r="G29" s="22"/>
      <c r="H29" s="22"/>
      <c r="I29" s="22"/>
      <c r="J29" s="23"/>
      <c r="K29" s="24"/>
      <c r="L29" s="24"/>
      <c r="M29" s="24"/>
      <c r="N29" s="21"/>
      <c r="O29" s="21"/>
      <c r="P29" s="21"/>
      <c r="Q29" s="21"/>
      <c r="R29" s="21"/>
      <c r="S29" s="21"/>
      <c r="T29" s="21"/>
      <c r="U29" s="21"/>
      <c r="V29" s="21"/>
      <c r="W29" s="36"/>
      <c r="X29" s="48"/>
    </row>
    <row r="30" spans="1:24" x14ac:dyDescent="0.2">
      <c r="A30" s="20" t="str">
        <f t="shared" si="0"/>
        <v/>
      </c>
      <c r="B30" s="21"/>
      <c r="C30" s="22"/>
      <c r="D30" s="21"/>
      <c r="E30" s="22"/>
      <c r="F30" s="22"/>
      <c r="G30" s="22"/>
      <c r="H30" s="22"/>
      <c r="I30" s="22"/>
      <c r="J30" s="23"/>
      <c r="K30" s="24"/>
      <c r="L30" s="24"/>
      <c r="M30" s="24"/>
      <c r="N30" s="21"/>
      <c r="O30" s="21"/>
      <c r="P30" s="21"/>
      <c r="Q30" s="21"/>
      <c r="R30" s="21"/>
      <c r="S30" s="21"/>
      <c r="T30" s="21"/>
      <c r="U30" s="21"/>
      <c r="V30" s="21"/>
      <c r="W30" s="36"/>
      <c r="X30" s="29"/>
    </row>
    <row r="31" spans="1:24" x14ac:dyDescent="0.2">
      <c r="A31" s="20" t="str">
        <f t="shared" si="0"/>
        <v/>
      </c>
      <c r="B31" s="21"/>
      <c r="C31" s="22"/>
      <c r="D31" s="21"/>
      <c r="E31" s="22"/>
      <c r="F31" s="22"/>
      <c r="G31" s="22"/>
      <c r="H31" s="22"/>
      <c r="I31" s="22"/>
      <c r="J31" s="23"/>
      <c r="K31" s="24"/>
      <c r="L31" s="24"/>
      <c r="M31" s="24"/>
      <c r="N31" s="21"/>
      <c r="O31" s="21"/>
      <c r="P31" s="21"/>
      <c r="Q31" s="21"/>
      <c r="R31" s="21"/>
      <c r="S31" s="21"/>
      <c r="T31" s="21"/>
      <c r="U31" s="21"/>
      <c r="V31" s="21"/>
      <c r="W31" s="36"/>
      <c r="X31" s="29"/>
    </row>
    <row r="32" spans="1:24" x14ac:dyDescent="0.2">
      <c r="A32" s="20" t="str">
        <f t="shared" si="0"/>
        <v/>
      </c>
      <c r="B32" s="21"/>
      <c r="C32" s="22"/>
      <c r="D32" s="21"/>
      <c r="E32" s="22"/>
      <c r="F32" s="22"/>
      <c r="G32" s="22"/>
      <c r="H32" s="22"/>
      <c r="I32" s="22"/>
      <c r="J32" s="23"/>
      <c r="K32" s="24"/>
      <c r="L32" s="24"/>
      <c r="M32" s="24"/>
      <c r="N32" s="21"/>
      <c r="O32" s="21"/>
      <c r="P32" s="21"/>
      <c r="Q32" s="21"/>
      <c r="R32" s="21"/>
      <c r="S32" s="21"/>
      <c r="T32" s="21"/>
      <c r="U32" s="21"/>
      <c r="V32" s="21"/>
      <c r="W32" s="36"/>
      <c r="X32" s="29"/>
    </row>
    <row r="33" spans="1:24" x14ac:dyDescent="0.2">
      <c r="A33" s="20" t="str">
        <f t="shared" si="0"/>
        <v/>
      </c>
      <c r="B33" s="21"/>
      <c r="C33" s="22"/>
      <c r="D33" s="34"/>
      <c r="E33" s="22"/>
      <c r="F33" s="22"/>
      <c r="G33" s="22"/>
      <c r="H33" s="22"/>
      <c r="I33" s="22"/>
      <c r="J33" s="23"/>
      <c r="K33" s="24"/>
      <c r="L33" s="24"/>
      <c r="M33" s="24"/>
      <c r="N33" s="21"/>
      <c r="O33" s="21"/>
      <c r="P33" s="21"/>
      <c r="Q33" s="21"/>
      <c r="R33" s="21"/>
      <c r="S33" s="21"/>
      <c r="T33" s="21"/>
      <c r="U33" s="21"/>
      <c r="V33" s="21"/>
      <c r="W33" s="36"/>
      <c r="X33" s="29"/>
    </row>
    <row r="34" spans="1:24" x14ac:dyDescent="0.2">
      <c r="A34" s="20" t="str">
        <f t="shared" si="0"/>
        <v/>
      </c>
      <c r="B34" s="21"/>
      <c r="C34" s="22"/>
      <c r="D34" s="34"/>
      <c r="E34" s="22"/>
      <c r="F34" s="22"/>
      <c r="G34" s="22"/>
      <c r="H34" s="22"/>
      <c r="I34" s="22"/>
      <c r="J34" s="23"/>
      <c r="K34" s="24"/>
      <c r="L34" s="24"/>
      <c r="M34" s="24"/>
      <c r="N34" s="21"/>
      <c r="O34" s="21"/>
      <c r="P34" s="21"/>
      <c r="Q34" s="21"/>
      <c r="R34" s="21"/>
      <c r="S34" s="21"/>
      <c r="T34" s="37"/>
      <c r="U34" s="37"/>
      <c r="V34" s="21"/>
      <c r="W34" s="36"/>
      <c r="X34" s="29"/>
    </row>
    <row r="35" spans="1:24" x14ac:dyDescent="0.2">
      <c r="A35" s="20" t="str">
        <f t="shared" si="0"/>
        <v/>
      </c>
      <c r="B35" s="21"/>
      <c r="C35" s="22"/>
      <c r="D35" s="39"/>
      <c r="E35" s="22"/>
      <c r="F35" s="22"/>
      <c r="G35" s="22"/>
      <c r="H35" s="22"/>
      <c r="I35" s="22"/>
      <c r="J35" s="23"/>
      <c r="K35" s="24"/>
      <c r="L35" s="24"/>
      <c r="M35" s="24"/>
      <c r="N35" s="21"/>
      <c r="O35" s="21"/>
      <c r="P35" s="21"/>
      <c r="Q35" s="21"/>
      <c r="R35" s="21"/>
      <c r="S35" s="36"/>
      <c r="T35" s="48"/>
      <c r="U35" s="48"/>
      <c r="V35" s="60"/>
      <c r="W35" s="65"/>
      <c r="X35" s="29"/>
    </row>
    <row r="36" spans="1:24" x14ac:dyDescent="0.2">
      <c r="A36" s="20" t="str">
        <f t="shared" si="0"/>
        <v/>
      </c>
      <c r="B36" s="21"/>
      <c r="C36" s="22"/>
      <c r="D36" s="21"/>
      <c r="E36" s="22"/>
      <c r="F36" s="22"/>
      <c r="G36" s="22"/>
      <c r="H36" s="22"/>
      <c r="I36" s="22"/>
      <c r="J36" s="23"/>
      <c r="K36" s="24"/>
      <c r="L36" s="24"/>
      <c r="M36" s="24"/>
      <c r="N36" s="21"/>
      <c r="O36" s="21"/>
      <c r="P36" s="21"/>
      <c r="Q36" s="21"/>
      <c r="R36" s="21"/>
      <c r="S36" s="21"/>
      <c r="T36" s="38"/>
      <c r="U36" s="38"/>
      <c r="V36" s="21"/>
      <c r="W36" s="36"/>
      <c r="X36" s="29"/>
    </row>
    <row r="37" spans="1:24" x14ac:dyDescent="0.2">
      <c r="A37" s="20" t="str">
        <f t="shared" si="0"/>
        <v/>
      </c>
      <c r="B37" s="21"/>
      <c r="C37" s="22"/>
      <c r="D37" s="21"/>
      <c r="E37" s="22"/>
      <c r="F37" s="22"/>
      <c r="G37" s="22"/>
      <c r="H37" s="22"/>
      <c r="I37" s="22"/>
      <c r="J37" s="23"/>
      <c r="K37" s="24"/>
      <c r="L37" s="24"/>
      <c r="M37" s="24"/>
      <c r="N37" s="21"/>
      <c r="O37" s="21"/>
      <c r="P37" s="21"/>
      <c r="Q37" s="21"/>
      <c r="R37" s="21"/>
      <c r="S37" s="21"/>
      <c r="T37" s="21"/>
      <c r="U37" s="21"/>
      <c r="V37" s="21"/>
      <c r="W37" s="36"/>
      <c r="X37" s="29"/>
    </row>
    <row r="38" spans="1:24" x14ac:dyDescent="0.2">
      <c r="A38" s="20" t="str">
        <f t="shared" si="0"/>
        <v/>
      </c>
      <c r="B38" s="21"/>
      <c r="C38" s="22"/>
      <c r="D38" s="21"/>
      <c r="E38" s="22"/>
      <c r="F38" s="22"/>
      <c r="G38" s="22"/>
      <c r="H38" s="22"/>
      <c r="I38" s="22"/>
      <c r="J38" s="23"/>
      <c r="K38" s="24"/>
      <c r="L38" s="24"/>
      <c r="M38" s="24"/>
      <c r="N38" s="21"/>
      <c r="O38" s="21"/>
      <c r="P38" s="21"/>
      <c r="Q38" s="21"/>
      <c r="R38" s="21"/>
      <c r="S38" s="21"/>
      <c r="T38" s="21"/>
      <c r="U38" s="21"/>
      <c r="V38" s="21"/>
      <c r="W38" s="36"/>
      <c r="X38" s="67"/>
    </row>
    <row r="39" spans="1:24" x14ac:dyDescent="0.2">
      <c r="A39" s="20" t="str">
        <f t="shared" si="0"/>
        <v/>
      </c>
      <c r="B39" s="21"/>
      <c r="C39" s="22"/>
      <c r="D39" s="21"/>
      <c r="E39" s="22"/>
      <c r="F39" s="22"/>
      <c r="G39" s="22"/>
      <c r="H39" s="22"/>
      <c r="I39" s="22"/>
      <c r="J39" s="23"/>
      <c r="K39" s="24"/>
      <c r="L39" s="24"/>
      <c r="M39" s="24"/>
      <c r="N39" s="21"/>
      <c r="O39" s="21"/>
      <c r="P39" s="21"/>
      <c r="Q39" s="21"/>
      <c r="R39" s="21"/>
      <c r="S39" s="21"/>
      <c r="T39" s="21"/>
      <c r="U39" s="21"/>
      <c r="V39" s="21"/>
      <c r="W39" s="36"/>
      <c r="X39" s="29"/>
    </row>
    <row r="40" spans="1:24" x14ac:dyDescent="0.2">
      <c r="A40" s="20" t="str">
        <f t="shared" si="0"/>
        <v/>
      </c>
      <c r="B40" s="21"/>
      <c r="C40" s="22"/>
      <c r="D40" s="21"/>
      <c r="E40" s="22"/>
      <c r="F40" s="22"/>
      <c r="G40" s="22"/>
      <c r="H40" s="22"/>
      <c r="I40" s="22"/>
      <c r="J40" s="23"/>
      <c r="K40" s="24"/>
      <c r="L40" s="24"/>
      <c r="M40" s="24"/>
      <c r="N40" s="21"/>
      <c r="O40" s="21"/>
      <c r="P40" s="21"/>
      <c r="Q40" s="21"/>
      <c r="R40" s="21"/>
      <c r="S40" s="21"/>
      <c r="T40" s="21"/>
      <c r="U40" s="21"/>
      <c r="V40" s="21"/>
      <c r="W40" s="36"/>
      <c r="X40" s="68"/>
    </row>
    <row r="41" spans="1:24" x14ac:dyDescent="0.2">
      <c r="A41" s="20" t="str">
        <f t="shared" si="0"/>
        <v/>
      </c>
      <c r="B41" s="21"/>
      <c r="C41" s="22"/>
      <c r="D41" s="21"/>
      <c r="E41" s="22"/>
      <c r="F41" s="22"/>
      <c r="G41" s="22"/>
      <c r="H41" s="22"/>
      <c r="I41" s="22"/>
      <c r="J41" s="23"/>
      <c r="K41" s="24"/>
      <c r="L41" s="24"/>
      <c r="M41" s="24"/>
      <c r="N41" s="21"/>
      <c r="O41" s="21"/>
      <c r="P41" s="21"/>
      <c r="Q41" s="21"/>
      <c r="R41" s="21"/>
      <c r="S41" s="21"/>
      <c r="T41" s="21"/>
      <c r="U41" s="21"/>
      <c r="V41" s="21"/>
      <c r="W41" s="36"/>
      <c r="X41" s="48"/>
    </row>
    <row r="42" spans="1:24" x14ac:dyDescent="0.2">
      <c r="A42" s="20" t="str">
        <f t="shared" si="0"/>
        <v/>
      </c>
      <c r="B42" s="21"/>
      <c r="C42" s="22"/>
      <c r="D42" s="21"/>
      <c r="E42" s="22"/>
      <c r="F42" s="22"/>
      <c r="G42" s="22"/>
      <c r="H42" s="22"/>
      <c r="I42" s="22"/>
      <c r="J42" s="23"/>
      <c r="K42" s="24"/>
      <c r="L42" s="24"/>
      <c r="M42" s="24"/>
      <c r="N42" s="21"/>
      <c r="O42" s="21"/>
      <c r="P42" s="21"/>
      <c r="Q42" s="21"/>
      <c r="R42" s="21"/>
      <c r="S42" s="21"/>
      <c r="T42" s="21"/>
      <c r="U42" s="21"/>
      <c r="V42" s="21"/>
      <c r="W42" s="36"/>
      <c r="X42" s="48"/>
    </row>
    <row r="43" spans="1:24" x14ac:dyDescent="0.2">
      <c r="A43" s="20" t="str">
        <f t="shared" si="0"/>
        <v/>
      </c>
      <c r="B43" s="21"/>
      <c r="C43" s="22"/>
      <c r="D43" s="21"/>
      <c r="E43" s="22"/>
      <c r="F43" s="22"/>
      <c r="G43" s="22"/>
      <c r="H43" s="22"/>
      <c r="I43" s="22"/>
      <c r="J43" s="23"/>
      <c r="K43" s="24"/>
      <c r="L43" s="24"/>
      <c r="M43" s="24"/>
      <c r="N43" s="21"/>
      <c r="O43" s="21"/>
      <c r="P43" s="21"/>
      <c r="Q43" s="21"/>
      <c r="R43" s="21"/>
      <c r="S43" s="21"/>
      <c r="T43" s="21"/>
      <c r="U43" s="21"/>
      <c r="V43" s="21"/>
      <c r="W43" s="36"/>
      <c r="X43" s="48"/>
    </row>
    <row r="44" spans="1:24" x14ac:dyDescent="0.2">
      <c r="A44" s="20" t="str">
        <f t="shared" si="0"/>
        <v/>
      </c>
      <c r="B44" s="21"/>
      <c r="C44" s="22"/>
      <c r="D44" s="21"/>
      <c r="E44" s="22"/>
      <c r="F44" s="22"/>
      <c r="G44" s="22"/>
      <c r="H44" s="22"/>
      <c r="I44" s="22"/>
      <c r="J44" s="23"/>
      <c r="K44" s="24"/>
      <c r="L44" s="24"/>
      <c r="M44" s="24"/>
      <c r="N44" s="21"/>
      <c r="O44" s="21"/>
      <c r="P44" s="21"/>
      <c r="Q44" s="21"/>
      <c r="R44" s="21"/>
      <c r="S44" s="21"/>
      <c r="T44" s="21"/>
      <c r="U44" s="21"/>
      <c r="V44" s="21"/>
      <c r="W44" s="36"/>
      <c r="X44" s="48"/>
    </row>
    <row r="45" spans="1:24" x14ac:dyDescent="0.2">
      <c r="A45" s="20" t="str">
        <f t="shared" si="0"/>
        <v/>
      </c>
      <c r="B45" s="21"/>
      <c r="C45" s="22"/>
      <c r="D45" s="21"/>
      <c r="E45" s="22"/>
      <c r="F45" s="22"/>
      <c r="G45" s="22"/>
      <c r="H45" s="22"/>
      <c r="I45" s="22"/>
      <c r="J45" s="23"/>
      <c r="K45" s="24"/>
      <c r="L45" s="24"/>
      <c r="M45" s="24"/>
      <c r="N45" s="21"/>
      <c r="O45" s="21"/>
      <c r="P45" s="21"/>
      <c r="Q45" s="21"/>
      <c r="R45" s="21"/>
      <c r="S45" s="21"/>
      <c r="T45" s="21"/>
      <c r="U45" s="21"/>
      <c r="V45" s="21"/>
      <c r="W45" s="36"/>
      <c r="X45" s="48"/>
    </row>
    <row r="46" spans="1:24" x14ac:dyDescent="0.2">
      <c r="A46" s="20" t="str">
        <f t="shared" si="0"/>
        <v/>
      </c>
      <c r="B46" s="21"/>
      <c r="C46" s="22"/>
      <c r="D46" s="21"/>
      <c r="E46" s="22"/>
      <c r="F46" s="22"/>
      <c r="G46" s="22"/>
      <c r="H46" s="22"/>
      <c r="I46" s="22"/>
      <c r="J46" s="23"/>
      <c r="K46" s="24"/>
      <c r="L46" s="24"/>
      <c r="M46" s="24"/>
      <c r="N46" s="21"/>
      <c r="O46" s="21"/>
      <c r="P46" s="21"/>
      <c r="Q46" s="21"/>
      <c r="R46" s="21"/>
      <c r="S46" s="21"/>
      <c r="T46" s="21"/>
      <c r="U46" s="21"/>
      <c r="V46" s="21"/>
      <c r="W46" s="36"/>
      <c r="X46" s="48"/>
    </row>
    <row r="47" spans="1:24" x14ac:dyDescent="0.2">
      <c r="A47" s="20" t="str">
        <f t="shared" si="0"/>
        <v/>
      </c>
      <c r="B47" s="21"/>
      <c r="C47" s="22"/>
      <c r="D47" s="21"/>
      <c r="E47" s="22"/>
      <c r="F47" s="22"/>
      <c r="G47" s="22"/>
      <c r="H47" s="22"/>
      <c r="I47" s="22"/>
      <c r="J47" s="23"/>
      <c r="K47" s="24"/>
      <c r="L47" s="24"/>
      <c r="M47" s="24"/>
      <c r="N47" s="21"/>
      <c r="O47" s="21"/>
      <c r="P47" s="21"/>
      <c r="Q47" s="21"/>
      <c r="R47" s="21"/>
      <c r="S47" s="21"/>
      <c r="T47" s="21"/>
      <c r="U47" s="21"/>
      <c r="V47" s="21"/>
      <c r="W47" s="36"/>
      <c r="X47" s="48"/>
    </row>
    <row r="48" spans="1:24" x14ac:dyDescent="0.2">
      <c r="A48" s="20" t="str">
        <f t="shared" si="0"/>
        <v/>
      </c>
      <c r="B48" s="21"/>
      <c r="C48" s="22"/>
      <c r="D48" s="21"/>
      <c r="E48" s="22"/>
      <c r="F48" s="22"/>
      <c r="G48" s="22"/>
      <c r="H48" s="22"/>
      <c r="I48" s="22"/>
      <c r="J48" s="23"/>
      <c r="K48" s="24"/>
      <c r="L48" s="24"/>
      <c r="M48" s="24"/>
      <c r="N48" s="21"/>
      <c r="O48" s="21"/>
      <c r="P48" s="21"/>
      <c r="Q48" s="21"/>
      <c r="R48" s="21"/>
      <c r="S48" s="21"/>
      <c r="T48" s="21"/>
      <c r="U48" s="21"/>
      <c r="V48" s="21"/>
      <c r="W48" s="36"/>
      <c r="X48" s="48"/>
    </row>
    <row r="49" spans="1:24" x14ac:dyDescent="0.2">
      <c r="A49" s="20" t="str">
        <f t="shared" si="0"/>
        <v/>
      </c>
      <c r="B49" s="21"/>
      <c r="C49" s="22"/>
      <c r="D49" s="21"/>
      <c r="E49" s="22"/>
      <c r="F49" s="22"/>
      <c r="G49" s="22"/>
      <c r="H49" s="22"/>
      <c r="I49" s="22"/>
      <c r="J49" s="23"/>
      <c r="K49" s="24"/>
      <c r="L49" s="24"/>
      <c r="M49" s="24"/>
      <c r="N49" s="21"/>
      <c r="O49" s="21"/>
      <c r="P49" s="21"/>
      <c r="Q49" s="21"/>
      <c r="R49" s="21"/>
      <c r="S49" s="21"/>
      <c r="T49" s="21"/>
      <c r="U49" s="21"/>
      <c r="V49" s="21"/>
      <c r="W49" s="36"/>
      <c r="X49" s="48"/>
    </row>
    <row r="50" spans="1:24" x14ac:dyDescent="0.2">
      <c r="A50" s="20" t="str">
        <f t="shared" si="0"/>
        <v/>
      </c>
      <c r="B50" s="21"/>
      <c r="C50" s="22"/>
      <c r="D50" s="21"/>
      <c r="E50" s="22"/>
      <c r="F50" s="22"/>
      <c r="G50" s="22"/>
      <c r="H50" s="22"/>
      <c r="I50" s="22"/>
      <c r="J50" s="22"/>
      <c r="K50" s="22"/>
      <c r="L50" s="22"/>
      <c r="M50" s="22"/>
      <c r="N50" s="21"/>
      <c r="O50" s="21"/>
      <c r="P50" s="21"/>
      <c r="Q50" s="21"/>
      <c r="R50" s="21"/>
      <c r="S50" s="21"/>
      <c r="T50" s="21"/>
      <c r="U50" s="21"/>
      <c r="V50" s="21"/>
      <c r="W50" s="36"/>
      <c r="X50" s="48"/>
    </row>
    <row r="51" spans="1:24" x14ac:dyDescent="0.2">
      <c r="A51" s="20" t="str">
        <f t="shared" si="0"/>
        <v/>
      </c>
      <c r="B51" s="21"/>
      <c r="C51" s="22"/>
      <c r="D51" s="21"/>
      <c r="E51" s="22"/>
      <c r="F51" s="22"/>
      <c r="G51" s="22"/>
      <c r="H51" s="22"/>
      <c r="I51" s="22"/>
      <c r="J51" s="22"/>
      <c r="K51" s="22"/>
      <c r="L51" s="22"/>
      <c r="M51" s="22"/>
      <c r="N51" s="21"/>
      <c r="O51" s="21"/>
      <c r="P51" s="21"/>
      <c r="Q51" s="21"/>
      <c r="R51" s="21"/>
      <c r="S51" s="21"/>
      <c r="T51" s="21"/>
      <c r="U51" s="21"/>
      <c r="V51" s="21"/>
      <c r="W51" s="36"/>
      <c r="X51" s="48"/>
    </row>
    <row r="52" spans="1:24" x14ac:dyDescent="0.2">
      <c r="A52" s="20" t="str">
        <f t="shared" si="0"/>
        <v/>
      </c>
      <c r="B52" s="21"/>
      <c r="C52" s="22"/>
      <c r="D52" s="21"/>
      <c r="E52" s="22"/>
      <c r="F52" s="22"/>
      <c r="G52" s="22"/>
      <c r="H52" s="22"/>
      <c r="I52" s="22"/>
      <c r="J52" s="22"/>
      <c r="K52" s="22"/>
      <c r="L52" s="22"/>
      <c r="M52" s="22"/>
      <c r="N52" s="21"/>
      <c r="O52" s="21"/>
      <c r="P52" s="21"/>
      <c r="Q52" s="21"/>
      <c r="R52" s="21"/>
      <c r="S52" s="21"/>
      <c r="T52" s="21"/>
      <c r="U52" s="21"/>
      <c r="V52" s="21"/>
      <c r="W52" s="36"/>
      <c r="X52" s="48"/>
    </row>
    <row r="53" spans="1:24" x14ac:dyDescent="0.2">
      <c r="A53" s="20" t="str">
        <f t="shared" si="0"/>
        <v/>
      </c>
      <c r="B53" s="21"/>
      <c r="C53" s="22"/>
      <c r="D53" s="21"/>
      <c r="E53" s="22"/>
      <c r="F53" s="22"/>
      <c r="G53" s="22"/>
      <c r="H53" s="22"/>
      <c r="I53" s="22"/>
      <c r="J53" s="22"/>
      <c r="K53" s="22"/>
      <c r="L53" s="22"/>
      <c r="M53" s="22"/>
      <c r="N53" s="21"/>
      <c r="O53" s="21"/>
      <c r="P53" s="21"/>
      <c r="Q53" s="21"/>
      <c r="R53" s="21"/>
      <c r="S53" s="21"/>
      <c r="T53" s="21"/>
      <c r="U53" s="21"/>
      <c r="V53" s="21"/>
      <c r="W53" s="36"/>
      <c r="X53" s="48"/>
    </row>
    <row r="54" spans="1:24" x14ac:dyDescent="0.2">
      <c r="A54" s="20" t="str">
        <f t="shared" si="0"/>
        <v/>
      </c>
      <c r="B54" s="21"/>
      <c r="C54" s="22"/>
      <c r="D54" s="21"/>
      <c r="E54" s="22"/>
      <c r="F54" s="22"/>
      <c r="G54" s="22"/>
      <c r="H54" s="22"/>
      <c r="I54" s="22"/>
      <c r="J54" s="22"/>
      <c r="K54" s="22"/>
      <c r="L54" s="22"/>
      <c r="M54" s="22"/>
      <c r="N54" s="21"/>
      <c r="O54" s="21"/>
      <c r="P54" s="21"/>
      <c r="Q54" s="21"/>
      <c r="R54" s="21"/>
      <c r="S54" s="21"/>
      <c r="T54" s="21"/>
      <c r="U54" s="21"/>
      <c r="V54" s="21"/>
      <c r="W54" s="36"/>
      <c r="X54" s="48"/>
    </row>
    <row r="55" spans="1:24" x14ac:dyDescent="0.2">
      <c r="A55" s="20" t="str">
        <f t="shared" si="0"/>
        <v/>
      </c>
      <c r="B55" s="21"/>
      <c r="C55" s="22"/>
      <c r="D55" s="21"/>
      <c r="E55" s="22"/>
      <c r="F55" s="22"/>
      <c r="G55" s="22"/>
      <c r="H55" s="22"/>
      <c r="I55" s="22"/>
      <c r="J55" s="22"/>
      <c r="K55" s="22"/>
      <c r="L55" s="22"/>
      <c r="M55" s="22"/>
      <c r="N55" s="21"/>
      <c r="O55" s="21"/>
      <c r="P55" s="21"/>
      <c r="Q55" s="21"/>
      <c r="R55" s="21"/>
      <c r="S55" s="21"/>
      <c r="T55" s="21"/>
      <c r="U55" s="21"/>
      <c r="V55" s="21"/>
      <c r="W55" s="36"/>
      <c r="X55" s="48"/>
    </row>
    <row r="56" spans="1:24" x14ac:dyDescent="0.2">
      <c r="A56" s="20" t="str">
        <f t="shared" si="0"/>
        <v/>
      </c>
      <c r="B56" s="21"/>
      <c r="C56" s="22"/>
      <c r="D56" s="21"/>
      <c r="E56" s="22"/>
      <c r="F56" s="22"/>
      <c r="G56" s="22"/>
      <c r="H56" s="22"/>
      <c r="I56" s="22"/>
      <c r="J56" s="22"/>
      <c r="K56" s="22"/>
      <c r="L56" s="22"/>
      <c r="M56" s="22"/>
      <c r="N56" s="21"/>
      <c r="O56" s="21"/>
      <c r="P56" s="21"/>
      <c r="Q56" s="21"/>
      <c r="R56" s="21"/>
      <c r="S56" s="21"/>
      <c r="T56" s="21"/>
      <c r="U56" s="21"/>
      <c r="V56" s="21"/>
      <c r="W56" s="36"/>
      <c r="X56" s="48"/>
    </row>
    <row r="57" spans="1:24" x14ac:dyDescent="0.2">
      <c r="A57" s="20" t="str">
        <f t="shared" si="0"/>
        <v/>
      </c>
      <c r="B57" s="21"/>
      <c r="C57" s="22"/>
      <c r="D57" s="21"/>
      <c r="E57" s="22"/>
      <c r="F57" s="22"/>
      <c r="G57" s="22"/>
      <c r="H57" s="22"/>
      <c r="I57" s="22"/>
      <c r="J57" s="22"/>
      <c r="K57" s="22"/>
      <c r="L57" s="22"/>
      <c r="M57" s="22"/>
      <c r="N57" s="21"/>
      <c r="O57" s="21"/>
      <c r="P57" s="21"/>
      <c r="Q57" s="21"/>
      <c r="R57" s="21"/>
      <c r="S57" s="21"/>
      <c r="T57" s="21"/>
      <c r="U57" s="21"/>
      <c r="V57" s="21"/>
      <c r="W57" s="36"/>
      <c r="X57" s="48"/>
    </row>
    <row r="58" spans="1:24" x14ac:dyDescent="0.2">
      <c r="A58" s="20" t="str">
        <f t="shared" si="0"/>
        <v/>
      </c>
      <c r="B58" s="21"/>
      <c r="C58" s="22"/>
      <c r="D58" s="21"/>
      <c r="E58" s="22"/>
      <c r="F58" s="22"/>
      <c r="G58" s="22"/>
      <c r="H58" s="22"/>
      <c r="I58" s="22"/>
      <c r="J58" s="22"/>
      <c r="K58" s="22"/>
      <c r="L58" s="22"/>
      <c r="M58" s="22"/>
      <c r="N58" s="21"/>
      <c r="O58" s="21"/>
      <c r="P58" s="21"/>
      <c r="Q58" s="21"/>
      <c r="R58" s="21"/>
      <c r="S58" s="21"/>
      <c r="T58" s="21"/>
      <c r="U58" s="21"/>
      <c r="V58" s="21"/>
      <c r="W58" s="36"/>
      <c r="X58" s="48"/>
    </row>
    <row r="59" spans="1:24" x14ac:dyDescent="0.2">
      <c r="A59" s="20" t="str">
        <f t="shared" si="0"/>
        <v/>
      </c>
      <c r="B59" s="21"/>
      <c r="C59" s="22"/>
      <c r="D59" s="21"/>
      <c r="E59" s="22"/>
      <c r="F59" s="22"/>
      <c r="G59" s="22"/>
      <c r="H59" s="22"/>
      <c r="I59" s="22"/>
      <c r="J59" s="22"/>
      <c r="K59" s="22"/>
      <c r="L59" s="22"/>
      <c r="M59" s="22"/>
      <c r="N59" s="21"/>
      <c r="O59" s="21"/>
      <c r="P59" s="21"/>
      <c r="Q59" s="21"/>
      <c r="R59" s="21"/>
      <c r="S59" s="21"/>
      <c r="T59" s="21"/>
      <c r="U59" s="21"/>
      <c r="V59" s="21"/>
      <c r="W59" s="36"/>
      <c r="X59" s="48"/>
    </row>
    <row r="60" spans="1:24" x14ac:dyDescent="0.2">
      <c r="A60" s="20" t="str">
        <f t="shared" si="0"/>
        <v/>
      </c>
      <c r="B60" s="21"/>
      <c r="C60" s="22"/>
      <c r="D60" s="21"/>
      <c r="E60" s="22"/>
      <c r="F60" s="22"/>
      <c r="G60" s="22"/>
      <c r="H60" s="22"/>
      <c r="I60" s="22"/>
      <c r="J60" s="22"/>
      <c r="K60" s="22"/>
      <c r="L60" s="22"/>
      <c r="M60" s="22"/>
      <c r="N60" s="21"/>
      <c r="O60" s="21"/>
      <c r="P60" s="21"/>
      <c r="Q60" s="21"/>
      <c r="R60" s="21"/>
      <c r="S60" s="21"/>
      <c r="T60" s="21"/>
      <c r="U60" s="21"/>
      <c r="V60" s="21"/>
      <c r="W60" s="36"/>
      <c r="X60" s="48"/>
    </row>
    <row r="61" spans="1:24" x14ac:dyDescent="0.2">
      <c r="A61" s="20" t="str">
        <f t="shared" si="0"/>
        <v/>
      </c>
      <c r="B61" s="21"/>
      <c r="C61" s="22"/>
      <c r="D61" s="21"/>
      <c r="E61" s="22"/>
      <c r="F61" s="22"/>
      <c r="G61" s="22"/>
      <c r="H61" s="22"/>
      <c r="I61" s="22"/>
      <c r="J61" s="22"/>
      <c r="K61" s="22"/>
      <c r="L61" s="22"/>
      <c r="M61" s="22"/>
      <c r="N61" s="21"/>
      <c r="O61" s="21"/>
      <c r="P61" s="21"/>
      <c r="Q61" s="21"/>
      <c r="R61" s="21"/>
      <c r="S61" s="21"/>
      <c r="T61" s="21"/>
      <c r="U61" s="21"/>
      <c r="V61" s="21"/>
      <c r="W61" s="36"/>
      <c r="X61" s="48"/>
    </row>
    <row r="62" spans="1:24" x14ac:dyDescent="0.2">
      <c r="A62" s="20" t="str">
        <f t="shared" si="0"/>
        <v/>
      </c>
      <c r="B62" s="21"/>
      <c r="C62" s="22"/>
      <c r="D62" s="21"/>
      <c r="E62" s="22"/>
      <c r="F62" s="22"/>
      <c r="G62" s="22"/>
      <c r="H62" s="22"/>
      <c r="I62" s="22"/>
      <c r="J62" s="22"/>
      <c r="K62" s="22"/>
      <c r="L62" s="22"/>
      <c r="M62" s="22"/>
      <c r="N62" s="21"/>
      <c r="O62" s="21"/>
      <c r="P62" s="21"/>
      <c r="Q62" s="21"/>
      <c r="R62" s="21"/>
      <c r="S62" s="21"/>
      <c r="T62" s="21"/>
      <c r="U62" s="21"/>
      <c r="V62" s="21"/>
      <c r="W62" s="36"/>
      <c r="X62" s="48"/>
    </row>
    <row r="63" spans="1:24" x14ac:dyDescent="0.2">
      <c r="A63" s="20" t="str">
        <f t="shared" si="0"/>
        <v/>
      </c>
      <c r="B63" s="21"/>
      <c r="C63" s="22"/>
      <c r="D63" s="21"/>
      <c r="E63" s="22"/>
      <c r="F63" s="22"/>
      <c r="G63" s="22"/>
      <c r="H63" s="22"/>
      <c r="I63" s="22"/>
      <c r="J63" s="22"/>
      <c r="K63" s="22"/>
      <c r="L63" s="22"/>
      <c r="M63" s="22"/>
      <c r="N63" s="21"/>
      <c r="O63" s="21"/>
      <c r="P63" s="21"/>
      <c r="Q63" s="21"/>
      <c r="R63" s="21"/>
      <c r="S63" s="21"/>
      <c r="T63" s="21"/>
      <c r="U63" s="21"/>
      <c r="V63" s="21"/>
      <c r="W63" s="36"/>
      <c r="X63" s="48"/>
    </row>
    <row r="64" spans="1:24" x14ac:dyDescent="0.2">
      <c r="A64" s="20" t="str">
        <f t="shared" si="0"/>
        <v/>
      </c>
      <c r="B64" s="21"/>
      <c r="C64" s="22"/>
      <c r="D64" s="21"/>
      <c r="E64" s="22"/>
      <c r="F64" s="22"/>
      <c r="G64" s="22"/>
      <c r="H64" s="22"/>
      <c r="I64" s="22"/>
      <c r="J64" s="22"/>
      <c r="K64" s="22"/>
      <c r="L64" s="22"/>
      <c r="M64" s="22"/>
      <c r="N64" s="21"/>
      <c r="O64" s="21"/>
      <c r="P64" s="21"/>
      <c r="Q64" s="21"/>
      <c r="R64" s="21"/>
      <c r="S64" s="21"/>
      <c r="T64" s="21"/>
      <c r="U64" s="21"/>
      <c r="V64" s="21"/>
      <c r="W64" s="36"/>
      <c r="X64" s="48"/>
    </row>
    <row r="65" spans="1:24" x14ac:dyDescent="0.2">
      <c r="A65" s="20" t="str">
        <f t="shared" ref="A65:A83" si="1">IF(OR(D65&lt;&gt;"", B65&lt;&gt;""), ROW()-1, "")</f>
        <v/>
      </c>
      <c r="B65" s="21"/>
      <c r="C65" s="22"/>
      <c r="D65" s="21"/>
      <c r="E65" s="22"/>
      <c r="F65" s="22"/>
      <c r="G65" s="22"/>
      <c r="H65" s="22"/>
      <c r="I65" s="22"/>
      <c r="J65" s="22"/>
      <c r="K65" s="22"/>
      <c r="L65" s="22"/>
      <c r="M65" s="22"/>
      <c r="N65" s="21"/>
      <c r="O65" s="21"/>
      <c r="P65" s="21"/>
      <c r="Q65" s="21"/>
      <c r="R65" s="21"/>
      <c r="S65" s="21"/>
      <c r="T65" s="21"/>
      <c r="U65" s="21"/>
      <c r="V65" s="21"/>
      <c r="W65" s="36"/>
      <c r="X65" s="48"/>
    </row>
    <row r="66" spans="1:24" x14ac:dyDescent="0.2">
      <c r="A66" s="20" t="str">
        <f t="shared" si="1"/>
        <v/>
      </c>
      <c r="B66" s="21"/>
      <c r="C66" s="22"/>
      <c r="D66" s="21"/>
      <c r="E66" s="22"/>
      <c r="F66" s="22"/>
      <c r="G66" s="22"/>
      <c r="H66" s="22"/>
      <c r="I66" s="22"/>
      <c r="J66" s="22"/>
      <c r="K66" s="22"/>
      <c r="L66" s="22"/>
      <c r="M66" s="22"/>
      <c r="N66" s="21"/>
      <c r="O66" s="21"/>
      <c r="P66" s="21"/>
      <c r="Q66" s="21"/>
      <c r="R66" s="21"/>
      <c r="S66" s="21"/>
      <c r="T66" s="21"/>
      <c r="U66" s="21"/>
      <c r="V66" s="21"/>
      <c r="W66" s="36"/>
      <c r="X66" s="48"/>
    </row>
    <row r="67" spans="1:24" x14ac:dyDescent="0.2">
      <c r="A67" s="20" t="str">
        <f t="shared" si="1"/>
        <v/>
      </c>
      <c r="B67" s="21"/>
      <c r="C67" s="22"/>
      <c r="D67" s="21"/>
      <c r="E67" s="22"/>
      <c r="F67" s="22"/>
      <c r="G67" s="22"/>
      <c r="H67" s="22"/>
      <c r="I67" s="22"/>
      <c r="J67" s="22"/>
      <c r="K67" s="22"/>
      <c r="L67" s="22"/>
      <c r="M67" s="22"/>
      <c r="N67" s="21"/>
      <c r="O67" s="21"/>
      <c r="P67" s="21"/>
      <c r="Q67" s="21"/>
      <c r="R67" s="21"/>
      <c r="S67" s="21"/>
      <c r="T67" s="21"/>
      <c r="U67" s="21"/>
      <c r="V67" s="21"/>
      <c r="W67" s="36"/>
      <c r="X67" s="48"/>
    </row>
    <row r="68" spans="1:24" x14ac:dyDescent="0.2">
      <c r="A68" s="20" t="str">
        <f t="shared" si="1"/>
        <v/>
      </c>
      <c r="B68" s="21"/>
      <c r="C68" s="22"/>
      <c r="D68" s="21"/>
      <c r="E68" s="22"/>
      <c r="F68" s="22"/>
      <c r="G68" s="22"/>
      <c r="H68" s="22"/>
      <c r="I68" s="22"/>
      <c r="J68" s="22"/>
      <c r="K68" s="22"/>
      <c r="L68" s="22"/>
      <c r="M68" s="22"/>
      <c r="N68" s="21"/>
      <c r="O68" s="21"/>
      <c r="P68" s="21"/>
      <c r="Q68" s="21"/>
      <c r="R68" s="21"/>
      <c r="S68" s="21"/>
      <c r="T68" s="21"/>
      <c r="U68" s="21"/>
      <c r="V68" s="21"/>
      <c r="W68" s="36"/>
      <c r="X68" s="48"/>
    </row>
    <row r="69" spans="1:24" x14ac:dyDescent="0.2">
      <c r="A69" s="20" t="str">
        <f t="shared" si="1"/>
        <v/>
      </c>
      <c r="B69" s="21"/>
      <c r="C69" s="22"/>
      <c r="D69" s="21"/>
      <c r="E69" s="22"/>
      <c r="F69" s="22"/>
      <c r="G69" s="22"/>
      <c r="H69" s="22"/>
      <c r="I69" s="22"/>
      <c r="J69" s="22"/>
      <c r="K69" s="22"/>
      <c r="L69" s="22"/>
      <c r="M69" s="22"/>
      <c r="N69" s="21"/>
      <c r="O69" s="21"/>
      <c r="P69" s="21"/>
      <c r="Q69" s="21"/>
      <c r="R69" s="21"/>
      <c r="S69" s="21"/>
      <c r="T69" s="21"/>
      <c r="U69" s="21"/>
      <c r="V69" s="21"/>
      <c r="W69" s="36"/>
      <c r="X69" s="48"/>
    </row>
    <row r="70" spans="1:24" x14ac:dyDescent="0.2">
      <c r="A70" s="20" t="str">
        <f t="shared" si="1"/>
        <v/>
      </c>
      <c r="B70" s="21"/>
      <c r="C70" s="22"/>
      <c r="D70" s="21"/>
      <c r="E70" s="22"/>
      <c r="F70" s="22"/>
      <c r="G70" s="22"/>
      <c r="H70" s="22"/>
      <c r="I70" s="22"/>
      <c r="J70" s="22"/>
      <c r="K70" s="22"/>
      <c r="L70" s="22"/>
      <c r="M70" s="22"/>
      <c r="N70" s="21"/>
      <c r="O70" s="21"/>
      <c r="P70" s="21"/>
      <c r="Q70" s="21"/>
      <c r="R70" s="21"/>
      <c r="S70" s="21"/>
      <c r="T70" s="21"/>
      <c r="U70" s="21"/>
      <c r="V70" s="21"/>
      <c r="W70" s="36"/>
      <c r="X70" s="48"/>
    </row>
    <row r="71" spans="1:24" x14ac:dyDescent="0.2">
      <c r="A71" s="20" t="str">
        <f t="shared" si="1"/>
        <v/>
      </c>
      <c r="B71" s="21"/>
      <c r="C71" s="22"/>
      <c r="D71" s="21"/>
      <c r="E71" s="22"/>
      <c r="F71" s="22"/>
      <c r="G71" s="22"/>
      <c r="H71" s="22"/>
      <c r="I71" s="22"/>
      <c r="J71" s="22"/>
      <c r="K71" s="22"/>
      <c r="L71" s="22"/>
      <c r="M71" s="22"/>
      <c r="N71" s="21"/>
      <c r="O71" s="21"/>
      <c r="P71" s="21"/>
      <c r="Q71" s="21"/>
      <c r="R71" s="21"/>
      <c r="S71" s="21"/>
      <c r="T71" s="21"/>
      <c r="U71" s="21"/>
      <c r="V71" s="21"/>
      <c r="W71" s="36"/>
      <c r="X71" s="48"/>
    </row>
    <row r="72" spans="1:24" x14ac:dyDescent="0.2">
      <c r="A72" s="20" t="str">
        <f t="shared" si="1"/>
        <v/>
      </c>
      <c r="B72" s="21"/>
      <c r="C72" s="22"/>
      <c r="D72" s="21"/>
      <c r="E72" s="22"/>
      <c r="F72" s="22"/>
      <c r="G72" s="22"/>
      <c r="H72" s="22"/>
      <c r="I72" s="22"/>
      <c r="J72" s="22"/>
      <c r="K72" s="22"/>
      <c r="L72" s="22"/>
      <c r="M72" s="22"/>
      <c r="N72" s="21"/>
      <c r="O72" s="21"/>
      <c r="P72" s="21"/>
      <c r="Q72" s="21"/>
      <c r="R72" s="21"/>
      <c r="S72" s="21"/>
      <c r="T72" s="21"/>
      <c r="U72" s="21"/>
      <c r="V72" s="21"/>
      <c r="W72" s="36"/>
      <c r="X72" s="48"/>
    </row>
    <row r="73" spans="1:24" x14ac:dyDescent="0.2">
      <c r="A73" s="20" t="str">
        <f t="shared" si="1"/>
        <v/>
      </c>
      <c r="B73" s="21"/>
      <c r="C73" s="22"/>
      <c r="D73" s="21"/>
      <c r="E73" s="22"/>
      <c r="F73" s="22"/>
      <c r="G73" s="22"/>
      <c r="H73" s="22"/>
      <c r="I73" s="22"/>
      <c r="J73" s="22"/>
      <c r="K73" s="22"/>
      <c r="L73" s="22"/>
      <c r="M73" s="22"/>
      <c r="N73" s="21"/>
      <c r="O73" s="21"/>
      <c r="P73" s="21"/>
      <c r="Q73" s="21"/>
      <c r="R73" s="21"/>
      <c r="S73" s="21"/>
      <c r="T73" s="21"/>
      <c r="U73" s="21"/>
      <c r="V73" s="21"/>
      <c r="W73" s="36"/>
      <c r="X73" s="48"/>
    </row>
    <row r="74" spans="1:24" x14ac:dyDescent="0.2">
      <c r="A74" s="20" t="str">
        <f t="shared" si="1"/>
        <v/>
      </c>
      <c r="B74" s="21"/>
      <c r="C74" s="22"/>
      <c r="D74" s="21"/>
      <c r="E74" s="22"/>
      <c r="F74" s="22"/>
      <c r="G74" s="22"/>
      <c r="H74" s="22"/>
      <c r="I74" s="22"/>
      <c r="J74" s="22"/>
      <c r="K74" s="22"/>
      <c r="L74" s="22"/>
      <c r="M74" s="22"/>
      <c r="N74" s="21"/>
      <c r="O74" s="21"/>
      <c r="P74" s="21"/>
      <c r="Q74" s="21"/>
      <c r="R74" s="21"/>
      <c r="S74" s="21"/>
      <c r="T74" s="21"/>
      <c r="U74" s="21"/>
      <c r="V74" s="21"/>
      <c r="W74" s="36"/>
      <c r="X74" s="48"/>
    </row>
    <row r="75" spans="1:24" x14ac:dyDescent="0.2">
      <c r="A75" s="20" t="str">
        <f t="shared" si="1"/>
        <v/>
      </c>
      <c r="B75" s="21"/>
      <c r="C75" s="22"/>
      <c r="D75" s="21"/>
      <c r="E75" s="22"/>
      <c r="F75" s="22"/>
      <c r="G75" s="22"/>
      <c r="H75" s="22"/>
      <c r="I75" s="22"/>
      <c r="J75" s="22"/>
      <c r="K75" s="22"/>
      <c r="L75" s="22"/>
      <c r="M75" s="22"/>
      <c r="N75" s="21"/>
      <c r="O75" s="21"/>
      <c r="P75" s="21"/>
      <c r="Q75" s="21"/>
      <c r="R75" s="21"/>
      <c r="S75" s="21"/>
      <c r="T75" s="21"/>
      <c r="U75" s="21"/>
      <c r="V75" s="21"/>
      <c r="W75" s="36"/>
      <c r="X75" s="48"/>
    </row>
    <row r="76" spans="1:24" x14ac:dyDescent="0.2">
      <c r="A76" s="20" t="str">
        <f t="shared" si="1"/>
        <v/>
      </c>
      <c r="B76" s="21"/>
      <c r="C76" s="22"/>
      <c r="D76" s="21"/>
      <c r="E76" s="22"/>
      <c r="F76" s="22"/>
      <c r="G76" s="22"/>
      <c r="H76" s="22"/>
      <c r="I76" s="22"/>
      <c r="J76" s="22"/>
      <c r="K76" s="22"/>
      <c r="L76" s="22"/>
      <c r="M76" s="22"/>
      <c r="N76" s="21"/>
      <c r="O76" s="21"/>
      <c r="P76" s="21"/>
      <c r="Q76" s="21"/>
      <c r="R76" s="21"/>
      <c r="S76" s="21"/>
      <c r="T76" s="21"/>
      <c r="U76" s="21"/>
      <c r="V76" s="21"/>
      <c r="W76" s="36"/>
      <c r="X76" s="48"/>
    </row>
    <row r="77" spans="1:24" x14ac:dyDescent="0.2">
      <c r="A77" s="20" t="str">
        <f t="shared" si="1"/>
        <v/>
      </c>
      <c r="B77" s="21"/>
      <c r="C77" s="22"/>
      <c r="D77" s="21"/>
      <c r="E77" s="22"/>
      <c r="F77" s="22"/>
      <c r="G77" s="22"/>
      <c r="H77" s="22"/>
      <c r="I77" s="22"/>
      <c r="J77" s="22"/>
      <c r="K77" s="22"/>
      <c r="L77" s="22"/>
      <c r="M77" s="22"/>
      <c r="N77" s="21"/>
      <c r="O77" s="21"/>
      <c r="P77" s="21"/>
      <c r="Q77" s="21"/>
      <c r="R77" s="21"/>
      <c r="S77" s="21"/>
      <c r="T77" s="21"/>
      <c r="U77" s="21"/>
      <c r="V77" s="21"/>
      <c r="W77" s="36"/>
      <c r="X77" s="48"/>
    </row>
    <row r="78" spans="1:24" x14ac:dyDescent="0.2">
      <c r="A78" s="20" t="str">
        <f t="shared" si="1"/>
        <v/>
      </c>
      <c r="B78" s="21"/>
      <c r="C78" s="22"/>
      <c r="D78" s="21"/>
      <c r="E78" s="22"/>
      <c r="F78" s="22"/>
      <c r="G78" s="22"/>
      <c r="H78" s="22"/>
      <c r="I78" s="22"/>
      <c r="J78" s="22"/>
      <c r="K78" s="22"/>
      <c r="L78" s="22"/>
      <c r="M78" s="22"/>
      <c r="N78" s="21"/>
      <c r="O78" s="21"/>
      <c r="P78" s="21"/>
      <c r="Q78" s="21"/>
      <c r="R78" s="21"/>
      <c r="S78" s="21"/>
      <c r="T78" s="21"/>
      <c r="U78" s="21"/>
      <c r="V78" s="21"/>
      <c r="W78" s="36"/>
      <c r="X78" s="48"/>
    </row>
    <row r="79" spans="1:24" x14ac:dyDescent="0.2">
      <c r="A79" s="20" t="str">
        <f t="shared" si="1"/>
        <v/>
      </c>
      <c r="B79" s="21"/>
      <c r="C79" s="22"/>
      <c r="D79" s="21"/>
      <c r="E79" s="22"/>
      <c r="F79" s="22"/>
      <c r="G79" s="22"/>
      <c r="H79" s="22"/>
      <c r="I79" s="22"/>
      <c r="J79" s="22"/>
      <c r="K79" s="22"/>
      <c r="L79" s="22"/>
      <c r="M79" s="22"/>
      <c r="N79" s="21"/>
      <c r="O79" s="21"/>
      <c r="P79" s="21"/>
      <c r="Q79" s="21"/>
      <c r="R79" s="21"/>
      <c r="S79" s="21"/>
      <c r="T79" s="21"/>
      <c r="U79" s="21"/>
      <c r="V79" s="21"/>
      <c r="W79" s="36"/>
      <c r="X79" s="48"/>
    </row>
    <row r="80" spans="1:24" x14ac:dyDescent="0.2">
      <c r="A80" s="20" t="str">
        <f t="shared" si="1"/>
        <v/>
      </c>
      <c r="B80" s="21"/>
      <c r="C80" s="22"/>
      <c r="D80" s="21"/>
      <c r="E80" s="22"/>
      <c r="F80" s="22"/>
      <c r="G80" s="22"/>
      <c r="H80" s="22"/>
      <c r="I80" s="22"/>
      <c r="J80" s="22"/>
      <c r="K80" s="22"/>
      <c r="L80" s="22"/>
      <c r="M80" s="22"/>
      <c r="N80" s="21"/>
      <c r="O80" s="21"/>
      <c r="P80" s="21"/>
      <c r="Q80" s="21"/>
      <c r="R80" s="21"/>
      <c r="S80" s="21"/>
      <c r="T80" s="21"/>
      <c r="U80" s="21"/>
      <c r="V80" s="21"/>
      <c r="W80" s="36"/>
      <c r="X80" s="48"/>
    </row>
    <row r="81" spans="1:24" x14ac:dyDescent="0.2">
      <c r="A81" s="20" t="str">
        <f t="shared" si="1"/>
        <v/>
      </c>
      <c r="B81" s="21"/>
      <c r="C81" s="22"/>
      <c r="D81" s="21"/>
      <c r="E81" s="22"/>
      <c r="F81" s="22"/>
      <c r="G81" s="22"/>
      <c r="H81" s="22"/>
      <c r="I81" s="22"/>
      <c r="J81" s="22"/>
      <c r="K81" s="22"/>
      <c r="L81" s="22"/>
      <c r="M81" s="22"/>
      <c r="N81" s="21"/>
      <c r="O81" s="21"/>
      <c r="P81" s="21"/>
      <c r="Q81" s="21"/>
      <c r="R81" s="21"/>
      <c r="S81" s="21"/>
      <c r="T81" s="21"/>
      <c r="U81" s="21"/>
      <c r="V81" s="21"/>
      <c r="W81" s="36"/>
      <c r="X81" s="48"/>
    </row>
    <row r="82" spans="1:24" x14ac:dyDescent="0.2">
      <c r="A82" s="20" t="str">
        <f t="shared" si="1"/>
        <v/>
      </c>
      <c r="B82" s="21"/>
      <c r="C82" s="22"/>
      <c r="D82" s="21"/>
      <c r="E82" s="22"/>
      <c r="F82" s="22"/>
      <c r="G82" s="22"/>
      <c r="H82" s="22"/>
      <c r="I82" s="22"/>
      <c r="J82" s="22"/>
      <c r="K82" s="22"/>
      <c r="L82" s="22"/>
      <c r="M82" s="22"/>
      <c r="N82" s="21"/>
      <c r="O82" s="21"/>
      <c r="P82" s="21"/>
      <c r="Q82" s="21"/>
      <c r="R82" s="21"/>
      <c r="S82" s="21"/>
      <c r="T82" s="21"/>
      <c r="U82" s="21"/>
      <c r="V82" s="21"/>
      <c r="W82" s="36"/>
      <c r="X82" s="48"/>
    </row>
    <row r="83" spans="1:24" x14ac:dyDescent="0.2">
      <c r="A83" s="20" t="str">
        <f t="shared" si="1"/>
        <v/>
      </c>
      <c r="B83" s="21"/>
      <c r="C83" s="22"/>
      <c r="D83" s="21"/>
      <c r="E83" s="22"/>
      <c r="F83" s="22"/>
      <c r="G83" s="22"/>
      <c r="H83" s="22"/>
      <c r="I83" s="22"/>
      <c r="J83" s="22"/>
      <c r="K83" s="22"/>
      <c r="L83" s="22"/>
      <c r="M83" s="22"/>
      <c r="N83" s="21"/>
      <c r="O83" s="21"/>
      <c r="P83" s="21"/>
      <c r="Q83" s="21"/>
      <c r="R83" s="21"/>
      <c r="S83" s="21"/>
      <c r="T83" s="21"/>
      <c r="U83" s="21"/>
      <c r="V83" s="21"/>
      <c r="W83" s="36"/>
      <c r="X83" s="48"/>
    </row>
    <row r="84" spans="1:24" x14ac:dyDescent="0.2">
      <c r="A84" s="20" t="str">
        <f t="shared" ref="A84:A115" si="2">IF(OR(D84&lt;&gt;"", B84&lt;&gt;""), ROW()-1, "")</f>
        <v/>
      </c>
      <c r="B84" s="21"/>
      <c r="C84" s="22"/>
      <c r="D84" s="21"/>
      <c r="E84" s="22"/>
      <c r="F84" s="22"/>
      <c r="G84" s="22"/>
      <c r="H84" s="22"/>
      <c r="I84" s="22"/>
      <c r="J84" s="22"/>
      <c r="K84" s="22"/>
      <c r="L84" s="22"/>
      <c r="M84" s="22"/>
      <c r="N84" s="21"/>
      <c r="O84" s="21"/>
      <c r="P84" s="21"/>
      <c r="Q84" s="21"/>
      <c r="R84" s="21"/>
      <c r="S84" s="21"/>
      <c r="T84" s="21"/>
      <c r="U84" s="21"/>
      <c r="V84" s="21"/>
      <c r="W84" s="36"/>
      <c r="X84" s="48"/>
    </row>
    <row r="85" spans="1:24" x14ac:dyDescent="0.2">
      <c r="A85" s="20" t="str">
        <f t="shared" si="2"/>
        <v/>
      </c>
      <c r="B85" s="21"/>
      <c r="C85" s="22"/>
      <c r="D85" s="21"/>
      <c r="E85" s="22"/>
      <c r="F85" s="22"/>
      <c r="G85" s="22"/>
      <c r="H85" s="22"/>
      <c r="I85" s="22"/>
      <c r="J85" s="22"/>
      <c r="K85" s="22"/>
      <c r="L85" s="22"/>
      <c r="M85" s="22"/>
      <c r="N85" s="21"/>
      <c r="O85" s="21"/>
      <c r="P85" s="21"/>
      <c r="Q85" s="21"/>
      <c r="R85" s="21"/>
      <c r="S85" s="21"/>
      <c r="T85" s="21"/>
      <c r="U85" s="21"/>
      <c r="V85" s="21"/>
      <c r="W85" s="36"/>
      <c r="X85" s="48"/>
    </row>
    <row r="86" spans="1:24" x14ac:dyDescent="0.2">
      <c r="A86" s="20" t="str">
        <f t="shared" si="2"/>
        <v/>
      </c>
      <c r="B86" s="21"/>
      <c r="C86" s="22"/>
      <c r="D86" s="21"/>
      <c r="E86" s="22"/>
      <c r="F86" s="22"/>
      <c r="G86" s="22"/>
      <c r="H86" s="22"/>
      <c r="I86" s="22"/>
      <c r="J86" s="22"/>
      <c r="K86" s="22"/>
      <c r="L86" s="22"/>
      <c r="M86" s="22"/>
      <c r="N86" s="21"/>
      <c r="O86" s="21"/>
      <c r="P86" s="21"/>
      <c r="Q86" s="21"/>
      <c r="R86" s="21"/>
      <c r="S86" s="21"/>
      <c r="T86" s="21"/>
      <c r="U86" s="21"/>
      <c r="V86" s="21"/>
      <c r="W86" s="36"/>
      <c r="X86" s="48"/>
    </row>
    <row r="87" spans="1:24" x14ac:dyDescent="0.2">
      <c r="A87" s="20" t="str">
        <f t="shared" si="2"/>
        <v/>
      </c>
      <c r="B87" s="21"/>
      <c r="C87" s="22"/>
      <c r="D87" s="21"/>
      <c r="E87" s="22"/>
      <c r="F87" s="22"/>
      <c r="G87" s="22"/>
      <c r="H87" s="22"/>
      <c r="I87" s="22"/>
      <c r="J87" s="22"/>
      <c r="K87" s="22"/>
      <c r="L87" s="22"/>
      <c r="M87" s="22"/>
      <c r="N87" s="21"/>
      <c r="O87" s="21"/>
      <c r="P87" s="21"/>
      <c r="Q87" s="21"/>
      <c r="R87" s="21"/>
      <c r="S87" s="21"/>
      <c r="T87" s="21"/>
      <c r="U87" s="21"/>
      <c r="V87" s="21"/>
      <c r="W87" s="36"/>
      <c r="X87" s="48"/>
    </row>
    <row r="88" spans="1:24" x14ac:dyDescent="0.2">
      <c r="A88" s="20" t="str">
        <f t="shared" si="2"/>
        <v/>
      </c>
      <c r="B88" s="21"/>
      <c r="C88" s="22"/>
      <c r="D88" s="21"/>
      <c r="E88" s="22"/>
      <c r="F88" s="22"/>
      <c r="G88" s="22"/>
      <c r="H88" s="22"/>
      <c r="I88" s="22"/>
      <c r="J88" s="22"/>
      <c r="K88" s="22"/>
      <c r="L88" s="22"/>
      <c r="M88" s="22"/>
      <c r="N88" s="21"/>
      <c r="O88" s="21"/>
      <c r="P88" s="21"/>
      <c r="Q88" s="21"/>
      <c r="R88" s="21"/>
      <c r="S88" s="21"/>
      <c r="T88" s="21"/>
      <c r="U88" s="21"/>
      <c r="V88" s="21"/>
      <c r="W88" s="36"/>
      <c r="X88" s="48"/>
    </row>
    <row r="89" spans="1:24" x14ac:dyDescent="0.2">
      <c r="A89" s="20" t="str">
        <f t="shared" si="2"/>
        <v/>
      </c>
      <c r="B89" s="21"/>
      <c r="C89" s="22"/>
      <c r="D89" s="21"/>
      <c r="E89" s="22"/>
      <c r="F89" s="22"/>
      <c r="G89" s="22"/>
      <c r="H89" s="22"/>
      <c r="I89" s="22"/>
      <c r="J89" s="22"/>
      <c r="K89" s="22"/>
      <c r="L89" s="22"/>
      <c r="M89" s="22"/>
      <c r="N89" s="21"/>
      <c r="O89" s="21"/>
      <c r="P89" s="21"/>
      <c r="Q89" s="21"/>
      <c r="R89" s="21"/>
      <c r="S89" s="21"/>
      <c r="T89" s="21"/>
      <c r="U89" s="21"/>
      <c r="V89" s="21"/>
      <c r="W89" s="36"/>
      <c r="X89" s="48"/>
    </row>
    <row r="90" spans="1:24" x14ac:dyDescent="0.2">
      <c r="A90" s="20" t="str">
        <f t="shared" si="2"/>
        <v/>
      </c>
      <c r="B90" s="21"/>
      <c r="C90" s="22"/>
      <c r="D90" s="21"/>
      <c r="E90" s="22"/>
      <c r="F90" s="22"/>
      <c r="G90" s="22"/>
      <c r="H90" s="22"/>
      <c r="I90" s="22"/>
      <c r="J90" s="22"/>
      <c r="K90" s="22"/>
      <c r="L90" s="22"/>
      <c r="M90" s="22"/>
      <c r="N90" s="21"/>
      <c r="O90" s="21"/>
      <c r="P90" s="21"/>
      <c r="Q90" s="21"/>
      <c r="R90" s="21"/>
      <c r="S90" s="21"/>
      <c r="T90" s="21"/>
      <c r="U90" s="21"/>
      <c r="V90" s="21"/>
      <c r="W90" s="36"/>
      <c r="X90" s="48"/>
    </row>
    <row r="91" spans="1:24" x14ac:dyDescent="0.2">
      <c r="A91" s="20" t="str">
        <f t="shared" si="2"/>
        <v/>
      </c>
      <c r="B91" s="21"/>
      <c r="C91" s="22"/>
      <c r="D91" s="21"/>
      <c r="E91" s="22"/>
      <c r="F91" s="22"/>
      <c r="G91" s="22"/>
      <c r="H91" s="22"/>
      <c r="I91" s="22"/>
      <c r="J91" s="22"/>
      <c r="K91" s="22"/>
      <c r="L91" s="22"/>
      <c r="M91" s="22"/>
      <c r="N91" s="21"/>
      <c r="O91" s="21"/>
      <c r="P91" s="21"/>
      <c r="Q91" s="21"/>
      <c r="R91" s="21"/>
      <c r="S91" s="21"/>
      <c r="T91" s="21"/>
      <c r="U91" s="21"/>
      <c r="V91" s="21"/>
      <c r="W91" s="36"/>
      <c r="X91" s="48"/>
    </row>
    <row r="92" spans="1:24" x14ac:dyDescent="0.2">
      <c r="A92" s="20" t="str">
        <f t="shared" si="2"/>
        <v/>
      </c>
      <c r="B92" s="21"/>
      <c r="C92" s="22"/>
      <c r="D92" s="21"/>
      <c r="E92" s="22"/>
      <c r="F92" s="22"/>
      <c r="G92" s="22"/>
      <c r="H92" s="22"/>
      <c r="I92" s="22"/>
      <c r="J92" s="22"/>
      <c r="K92" s="22"/>
      <c r="L92" s="22"/>
      <c r="M92" s="22"/>
      <c r="N92" s="21"/>
      <c r="O92" s="21"/>
      <c r="P92" s="21"/>
      <c r="Q92" s="21"/>
      <c r="R92" s="21"/>
      <c r="S92" s="21"/>
      <c r="T92" s="21"/>
      <c r="U92" s="21"/>
      <c r="V92" s="21"/>
      <c r="W92" s="36"/>
      <c r="X92" s="48"/>
    </row>
    <row r="93" spans="1:24" x14ac:dyDescent="0.2">
      <c r="A93" s="20" t="str">
        <f t="shared" si="2"/>
        <v/>
      </c>
      <c r="B93" s="21"/>
      <c r="C93" s="22"/>
      <c r="D93" s="21"/>
      <c r="E93" s="22"/>
      <c r="F93" s="22"/>
      <c r="G93" s="22"/>
      <c r="H93" s="22"/>
      <c r="I93" s="22"/>
      <c r="J93" s="22"/>
      <c r="K93" s="22"/>
      <c r="L93" s="22"/>
      <c r="M93" s="22"/>
      <c r="N93" s="21"/>
      <c r="O93" s="21"/>
      <c r="P93" s="21"/>
      <c r="Q93" s="21"/>
      <c r="R93" s="21"/>
      <c r="S93" s="21"/>
      <c r="T93" s="21"/>
      <c r="U93" s="21"/>
      <c r="V93" s="21"/>
      <c r="W93" s="36"/>
      <c r="X93" s="48"/>
    </row>
    <row r="94" spans="1:24" x14ac:dyDescent="0.2">
      <c r="A94" s="20" t="str">
        <f t="shared" si="2"/>
        <v/>
      </c>
      <c r="B94" s="21"/>
      <c r="C94" s="22"/>
      <c r="D94" s="21"/>
      <c r="E94" s="22"/>
      <c r="F94" s="22"/>
      <c r="G94" s="22"/>
      <c r="H94" s="22"/>
      <c r="I94" s="22"/>
      <c r="J94" s="22"/>
      <c r="K94" s="22"/>
      <c r="L94" s="22"/>
      <c r="M94" s="22"/>
      <c r="N94" s="21"/>
      <c r="O94" s="21"/>
      <c r="P94" s="21"/>
      <c r="Q94" s="21"/>
      <c r="R94" s="21"/>
      <c r="S94" s="21"/>
      <c r="T94" s="21"/>
      <c r="U94" s="21"/>
      <c r="V94" s="21"/>
      <c r="W94" s="36"/>
      <c r="X94" s="48"/>
    </row>
    <row r="95" spans="1:24" x14ac:dyDescent="0.2">
      <c r="A95" s="20" t="str">
        <f t="shared" si="2"/>
        <v/>
      </c>
      <c r="B95" s="21"/>
      <c r="C95" s="22"/>
      <c r="D95" s="21"/>
      <c r="E95" s="22"/>
      <c r="F95" s="22"/>
      <c r="G95" s="22"/>
      <c r="H95" s="22"/>
      <c r="I95" s="22"/>
      <c r="J95" s="22"/>
      <c r="K95" s="22"/>
      <c r="L95" s="22"/>
      <c r="M95" s="22"/>
      <c r="N95" s="21"/>
      <c r="O95" s="21"/>
      <c r="P95" s="21"/>
      <c r="Q95" s="21"/>
      <c r="R95" s="21"/>
      <c r="S95" s="21"/>
      <c r="T95" s="21"/>
      <c r="U95" s="21"/>
      <c r="V95" s="21"/>
      <c r="W95" s="36"/>
      <c r="X95" s="48"/>
    </row>
    <row r="96" spans="1:24" x14ac:dyDescent="0.2">
      <c r="A96" s="20" t="str">
        <f t="shared" si="2"/>
        <v/>
      </c>
      <c r="B96" s="21"/>
      <c r="C96" s="22"/>
      <c r="D96" s="21"/>
      <c r="E96" s="22"/>
      <c r="F96" s="22"/>
      <c r="G96" s="22"/>
      <c r="H96" s="22"/>
      <c r="I96" s="22"/>
      <c r="J96" s="22"/>
      <c r="K96" s="22"/>
      <c r="L96" s="22"/>
      <c r="M96" s="22"/>
      <c r="N96" s="21"/>
      <c r="O96" s="21"/>
      <c r="P96" s="21"/>
      <c r="Q96" s="21"/>
      <c r="R96" s="21"/>
      <c r="S96" s="21"/>
      <c r="T96" s="21"/>
      <c r="U96" s="21"/>
      <c r="V96" s="21"/>
      <c r="W96" s="36"/>
      <c r="X96" s="48"/>
    </row>
    <row r="97" spans="1:24" x14ac:dyDescent="0.2">
      <c r="A97" s="20" t="str">
        <f t="shared" si="2"/>
        <v/>
      </c>
      <c r="B97" s="21"/>
      <c r="C97" s="22"/>
      <c r="D97" s="21"/>
      <c r="E97" s="22"/>
      <c r="F97" s="22"/>
      <c r="G97" s="22"/>
      <c r="H97" s="22"/>
      <c r="I97" s="22"/>
      <c r="J97" s="22"/>
      <c r="K97" s="22"/>
      <c r="L97" s="22"/>
      <c r="M97" s="22"/>
      <c r="N97" s="21"/>
      <c r="O97" s="21"/>
      <c r="P97" s="21"/>
      <c r="Q97" s="21"/>
      <c r="R97" s="21"/>
      <c r="S97" s="21"/>
      <c r="T97" s="21"/>
      <c r="U97" s="21"/>
      <c r="V97" s="21"/>
      <c r="W97" s="36"/>
      <c r="X97" s="48"/>
    </row>
    <row r="98" spans="1:24" x14ac:dyDescent="0.2">
      <c r="A98" s="20" t="str">
        <f t="shared" si="2"/>
        <v/>
      </c>
      <c r="B98" s="21"/>
      <c r="C98" s="22"/>
      <c r="D98" s="21"/>
      <c r="E98" s="22"/>
      <c r="F98" s="22"/>
      <c r="G98" s="22"/>
      <c r="H98" s="22"/>
      <c r="I98" s="22"/>
      <c r="J98" s="22"/>
      <c r="K98" s="22"/>
      <c r="L98" s="22"/>
      <c r="M98" s="22"/>
      <c r="N98" s="21"/>
      <c r="O98" s="21"/>
      <c r="P98" s="21"/>
      <c r="Q98" s="21"/>
      <c r="R98" s="21"/>
      <c r="S98" s="21"/>
      <c r="T98" s="21"/>
      <c r="U98" s="21"/>
      <c r="V98" s="21"/>
      <c r="W98" s="36"/>
      <c r="X98" s="48"/>
    </row>
    <row r="99" spans="1:24" x14ac:dyDescent="0.2">
      <c r="A99" s="20" t="str">
        <f t="shared" si="2"/>
        <v/>
      </c>
      <c r="B99" s="21"/>
      <c r="C99" s="22"/>
      <c r="D99" s="21"/>
      <c r="E99" s="22"/>
      <c r="F99" s="22"/>
      <c r="G99" s="22"/>
      <c r="H99" s="22"/>
      <c r="I99" s="22"/>
      <c r="J99" s="22"/>
      <c r="K99" s="22"/>
      <c r="L99" s="22"/>
      <c r="M99" s="22"/>
      <c r="N99" s="21"/>
      <c r="O99" s="21"/>
      <c r="P99" s="21"/>
      <c r="Q99" s="21"/>
      <c r="R99" s="21"/>
      <c r="S99" s="21"/>
      <c r="T99" s="21"/>
      <c r="U99" s="21"/>
      <c r="V99" s="21"/>
      <c r="W99" s="36"/>
      <c r="X99" s="48"/>
    </row>
    <row r="100" spans="1:24" x14ac:dyDescent="0.2">
      <c r="A100" s="20" t="str">
        <f t="shared" si="2"/>
        <v/>
      </c>
      <c r="B100" s="21"/>
      <c r="C100" s="22"/>
      <c r="D100" s="21"/>
      <c r="E100" s="22"/>
      <c r="F100" s="22"/>
      <c r="G100" s="22"/>
      <c r="H100" s="22"/>
      <c r="I100" s="22"/>
      <c r="J100" s="22"/>
      <c r="K100" s="22"/>
      <c r="L100" s="22"/>
      <c r="M100" s="22"/>
      <c r="N100" s="21"/>
      <c r="O100" s="21"/>
      <c r="P100" s="21"/>
      <c r="Q100" s="21"/>
      <c r="R100" s="21"/>
      <c r="S100" s="21"/>
      <c r="T100" s="21"/>
      <c r="U100" s="21"/>
      <c r="V100" s="21"/>
      <c r="W100" s="36"/>
      <c r="X100" s="48"/>
    </row>
    <row r="101" spans="1:24" x14ac:dyDescent="0.2">
      <c r="A101" s="20" t="str">
        <f t="shared" si="2"/>
        <v/>
      </c>
      <c r="B101" s="21"/>
      <c r="C101" s="22"/>
      <c r="D101" s="21"/>
      <c r="E101" s="22"/>
      <c r="F101" s="22"/>
      <c r="G101" s="22"/>
      <c r="H101" s="22"/>
      <c r="I101" s="22"/>
      <c r="J101" s="22"/>
      <c r="K101" s="22"/>
      <c r="L101" s="22"/>
      <c r="M101" s="22"/>
      <c r="N101" s="21"/>
      <c r="O101" s="21"/>
      <c r="P101" s="21"/>
      <c r="Q101" s="21"/>
      <c r="R101" s="21"/>
      <c r="S101" s="21"/>
      <c r="T101" s="21"/>
      <c r="U101" s="21"/>
      <c r="V101" s="21"/>
      <c r="W101" s="36"/>
      <c r="X101" s="48"/>
    </row>
    <row r="102" spans="1:24" x14ac:dyDescent="0.2">
      <c r="A102" s="20" t="str">
        <f t="shared" si="2"/>
        <v/>
      </c>
      <c r="B102" s="21"/>
      <c r="C102" s="22"/>
      <c r="D102" s="21"/>
      <c r="E102" s="22"/>
      <c r="F102" s="22"/>
      <c r="G102" s="22"/>
      <c r="H102" s="22"/>
      <c r="I102" s="22"/>
      <c r="J102" s="22"/>
      <c r="K102" s="22"/>
      <c r="L102" s="22"/>
      <c r="M102" s="22"/>
      <c r="N102" s="21"/>
      <c r="O102" s="21"/>
      <c r="P102" s="21"/>
      <c r="Q102" s="21"/>
      <c r="R102" s="21"/>
      <c r="S102" s="21"/>
      <c r="T102" s="21"/>
      <c r="U102" s="21"/>
      <c r="V102" s="21"/>
      <c r="W102" s="36"/>
      <c r="X102" s="48"/>
    </row>
    <row r="103" spans="1:24" x14ac:dyDescent="0.2">
      <c r="A103" s="20" t="str">
        <f t="shared" si="2"/>
        <v/>
      </c>
      <c r="B103" s="21"/>
      <c r="C103" s="22"/>
      <c r="D103" s="21"/>
      <c r="E103" s="22"/>
      <c r="F103" s="22"/>
      <c r="G103" s="22"/>
      <c r="H103" s="22"/>
      <c r="I103" s="22"/>
      <c r="J103" s="22"/>
      <c r="K103" s="22"/>
      <c r="L103" s="22"/>
      <c r="M103" s="22"/>
      <c r="N103" s="21"/>
      <c r="O103" s="21"/>
      <c r="P103" s="21"/>
      <c r="Q103" s="21"/>
      <c r="R103" s="21"/>
      <c r="S103" s="21"/>
      <c r="T103" s="21"/>
      <c r="U103" s="21"/>
      <c r="V103" s="21"/>
      <c r="W103" s="36"/>
      <c r="X103" s="48"/>
    </row>
    <row r="104" spans="1:24" x14ac:dyDescent="0.2">
      <c r="A104" s="20" t="str">
        <f t="shared" si="2"/>
        <v/>
      </c>
      <c r="B104" s="21"/>
      <c r="C104" s="22"/>
      <c r="D104" s="21"/>
      <c r="E104" s="22"/>
      <c r="F104" s="22"/>
      <c r="G104" s="22"/>
      <c r="H104" s="22"/>
      <c r="I104" s="22"/>
      <c r="J104" s="22"/>
      <c r="K104" s="22"/>
      <c r="L104" s="22"/>
      <c r="M104" s="22"/>
      <c r="N104" s="21"/>
      <c r="O104" s="21"/>
      <c r="P104" s="21"/>
      <c r="Q104" s="21"/>
      <c r="R104" s="21"/>
      <c r="S104" s="21"/>
      <c r="T104" s="21"/>
      <c r="U104" s="21"/>
      <c r="V104" s="21"/>
      <c r="W104" s="36"/>
      <c r="X104" s="48"/>
    </row>
    <row r="105" spans="1:24" x14ac:dyDescent="0.2">
      <c r="A105" s="20" t="str">
        <f t="shared" si="2"/>
        <v/>
      </c>
      <c r="B105" s="21"/>
      <c r="C105" s="22"/>
      <c r="D105" s="21"/>
      <c r="E105" s="22"/>
      <c r="F105" s="22"/>
      <c r="G105" s="22"/>
      <c r="H105" s="22"/>
      <c r="I105" s="22"/>
      <c r="J105" s="22"/>
      <c r="K105" s="22"/>
      <c r="L105" s="22"/>
      <c r="M105" s="22"/>
      <c r="N105" s="21"/>
      <c r="O105" s="21"/>
      <c r="P105" s="21"/>
      <c r="Q105" s="21"/>
      <c r="R105" s="21"/>
      <c r="S105" s="21"/>
      <c r="T105" s="21"/>
      <c r="U105" s="21"/>
      <c r="V105" s="21"/>
      <c r="W105" s="36"/>
      <c r="X105" s="48"/>
    </row>
    <row r="106" spans="1:24" x14ac:dyDescent="0.2">
      <c r="A106" s="20" t="str">
        <f t="shared" si="2"/>
        <v/>
      </c>
      <c r="B106" s="21"/>
      <c r="C106" s="22"/>
      <c r="D106" s="21"/>
      <c r="E106" s="22"/>
      <c r="F106" s="22"/>
      <c r="G106" s="22"/>
      <c r="H106" s="22"/>
      <c r="I106" s="22"/>
      <c r="J106" s="22"/>
      <c r="K106" s="22"/>
      <c r="L106" s="22"/>
      <c r="M106" s="22"/>
      <c r="N106" s="21"/>
      <c r="O106" s="21"/>
      <c r="P106" s="21"/>
      <c r="Q106" s="21"/>
      <c r="R106" s="21"/>
      <c r="S106" s="21"/>
      <c r="T106" s="21"/>
      <c r="U106" s="21"/>
      <c r="V106" s="21"/>
      <c r="W106" s="36"/>
      <c r="X106" s="48"/>
    </row>
    <row r="107" spans="1:24" x14ac:dyDescent="0.2">
      <c r="A107" s="20" t="str">
        <f t="shared" si="2"/>
        <v/>
      </c>
      <c r="B107" s="21"/>
      <c r="C107" s="22"/>
      <c r="D107" s="21"/>
      <c r="E107" s="22"/>
      <c r="F107" s="22"/>
      <c r="G107" s="22"/>
      <c r="H107" s="22"/>
      <c r="I107" s="22"/>
      <c r="J107" s="22"/>
      <c r="K107" s="22"/>
      <c r="L107" s="22"/>
      <c r="M107" s="22"/>
      <c r="N107" s="21"/>
      <c r="O107" s="21"/>
      <c r="P107" s="21"/>
      <c r="Q107" s="21"/>
      <c r="R107" s="21"/>
      <c r="S107" s="21"/>
      <c r="T107" s="21"/>
      <c r="U107" s="21"/>
      <c r="V107" s="21"/>
      <c r="W107" s="36"/>
      <c r="X107" s="48"/>
    </row>
    <row r="108" spans="1:24" x14ac:dyDescent="0.2">
      <c r="A108" s="20" t="str">
        <f t="shared" si="2"/>
        <v/>
      </c>
      <c r="B108" s="21"/>
      <c r="C108" s="22"/>
      <c r="D108" s="21"/>
      <c r="E108" s="22"/>
      <c r="F108" s="22"/>
      <c r="G108" s="22"/>
      <c r="H108" s="22"/>
      <c r="I108" s="22"/>
      <c r="J108" s="22"/>
      <c r="K108" s="22"/>
      <c r="L108" s="22"/>
      <c r="M108" s="22"/>
      <c r="N108" s="21"/>
      <c r="O108" s="21"/>
      <c r="P108" s="21"/>
      <c r="Q108" s="21"/>
      <c r="R108" s="21"/>
      <c r="S108" s="21"/>
      <c r="T108" s="21"/>
      <c r="U108" s="21"/>
      <c r="V108" s="21"/>
      <c r="W108" s="36"/>
      <c r="X108" s="48"/>
    </row>
    <row r="109" spans="1:24" x14ac:dyDescent="0.2">
      <c r="A109" s="20" t="str">
        <f t="shared" si="2"/>
        <v/>
      </c>
      <c r="B109" s="21"/>
      <c r="C109" s="22"/>
      <c r="D109" s="21"/>
      <c r="E109" s="22"/>
      <c r="F109" s="22"/>
      <c r="G109" s="22"/>
      <c r="H109" s="22"/>
      <c r="I109" s="22"/>
      <c r="J109" s="22"/>
      <c r="K109" s="22"/>
      <c r="L109" s="22"/>
      <c r="M109" s="22"/>
      <c r="N109" s="21"/>
      <c r="O109" s="21"/>
      <c r="P109" s="21"/>
      <c r="Q109" s="21"/>
      <c r="R109" s="21"/>
      <c r="S109" s="21"/>
      <c r="T109" s="21"/>
      <c r="U109" s="21"/>
      <c r="V109" s="21"/>
      <c r="W109" s="36"/>
      <c r="X109" s="48"/>
    </row>
    <row r="110" spans="1:24" x14ac:dyDescent="0.2">
      <c r="A110" s="20" t="str">
        <f t="shared" si="2"/>
        <v/>
      </c>
      <c r="B110" s="21"/>
      <c r="C110" s="22"/>
      <c r="D110" s="21"/>
      <c r="E110" s="22"/>
      <c r="F110" s="22"/>
      <c r="G110" s="22"/>
      <c r="H110" s="22"/>
      <c r="I110" s="22"/>
      <c r="J110" s="22"/>
      <c r="K110" s="22"/>
      <c r="L110" s="22"/>
      <c r="M110" s="22"/>
      <c r="N110" s="21"/>
      <c r="O110" s="21"/>
      <c r="P110" s="21"/>
      <c r="Q110" s="21"/>
      <c r="R110" s="21"/>
      <c r="S110" s="21"/>
      <c r="T110" s="21"/>
      <c r="U110" s="21"/>
      <c r="V110" s="21"/>
      <c r="W110" s="36"/>
      <c r="X110" s="48"/>
    </row>
    <row r="111" spans="1:24" x14ac:dyDescent="0.2">
      <c r="A111" s="20" t="str">
        <f t="shared" si="2"/>
        <v/>
      </c>
      <c r="B111" s="21"/>
      <c r="C111" s="22"/>
      <c r="D111" s="21"/>
      <c r="E111" s="22"/>
      <c r="F111" s="22"/>
      <c r="G111" s="22"/>
      <c r="H111" s="22"/>
      <c r="I111" s="22"/>
      <c r="J111" s="22"/>
      <c r="K111" s="22"/>
      <c r="L111" s="22"/>
      <c r="M111" s="22"/>
      <c r="N111" s="21"/>
      <c r="O111" s="21"/>
      <c r="P111" s="21"/>
      <c r="Q111" s="21"/>
      <c r="R111" s="21"/>
      <c r="S111" s="21"/>
      <c r="T111" s="21"/>
      <c r="U111" s="21"/>
      <c r="V111" s="21"/>
      <c r="W111" s="36"/>
      <c r="X111" s="48"/>
    </row>
    <row r="112" spans="1:24" x14ac:dyDescent="0.2">
      <c r="A112" s="20" t="str">
        <f t="shared" si="2"/>
        <v/>
      </c>
      <c r="B112" s="21"/>
      <c r="C112" s="22"/>
      <c r="D112" s="21"/>
      <c r="E112" s="22"/>
      <c r="F112" s="22"/>
      <c r="G112" s="22"/>
      <c r="H112" s="22"/>
      <c r="I112" s="22"/>
      <c r="J112" s="22"/>
      <c r="K112" s="22"/>
      <c r="L112" s="22"/>
      <c r="M112" s="22"/>
      <c r="N112" s="21"/>
      <c r="O112" s="21"/>
      <c r="P112" s="21"/>
      <c r="Q112" s="21"/>
      <c r="R112" s="21"/>
      <c r="S112" s="21"/>
      <c r="T112" s="21"/>
      <c r="U112" s="21"/>
      <c r="V112" s="21"/>
      <c r="W112" s="36"/>
      <c r="X112" s="48"/>
    </row>
    <row r="113" spans="1:24" x14ac:dyDescent="0.2">
      <c r="A113" s="20" t="str">
        <f t="shared" si="2"/>
        <v/>
      </c>
      <c r="B113" s="21"/>
      <c r="C113" s="22"/>
      <c r="D113" s="21"/>
      <c r="E113" s="22"/>
      <c r="F113" s="22"/>
      <c r="G113" s="22"/>
      <c r="H113" s="22"/>
      <c r="I113" s="22"/>
      <c r="J113" s="22"/>
      <c r="K113" s="22"/>
      <c r="L113" s="22"/>
      <c r="M113" s="22"/>
      <c r="N113" s="21"/>
      <c r="O113" s="21"/>
      <c r="P113" s="21"/>
      <c r="Q113" s="21"/>
      <c r="R113" s="21"/>
      <c r="S113" s="21"/>
      <c r="T113" s="21"/>
      <c r="U113" s="21"/>
      <c r="V113" s="21"/>
      <c r="W113" s="36"/>
      <c r="X113" s="48"/>
    </row>
    <row r="114" spans="1:24" x14ac:dyDescent="0.2">
      <c r="A114" s="20" t="str">
        <f t="shared" si="2"/>
        <v/>
      </c>
      <c r="B114" s="21"/>
      <c r="C114" s="22"/>
      <c r="D114" s="21"/>
      <c r="E114" s="22"/>
      <c r="F114" s="22"/>
      <c r="G114" s="22"/>
      <c r="H114" s="22"/>
      <c r="I114" s="22"/>
      <c r="J114" s="22"/>
      <c r="K114" s="22"/>
      <c r="L114" s="22"/>
      <c r="M114" s="22"/>
      <c r="N114" s="21"/>
      <c r="O114" s="21"/>
      <c r="P114" s="21"/>
      <c r="Q114" s="21"/>
      <c r="R114" s="21"/>
      <c r="S114" s="21"/>
      <c r="T114" s="21"/>
      <c r="U114" s="21"/>
      <c r="V114" s="21"/>
      <c r="W114" s="36"/>
      <c r="X114" s="48"/>
    </row>
    <row r="115" spans="1:24" x14ac:dyDescent="0.2">
      <c r="A115" s="20" t="str">
        <f t="shared" si="2"/>
        <v/>
      </c>
      <c r="B115" s="21"/>
      <c r="C115" s="22"/>
      <c r="D115" s="21"/>
      <c r="E115" s="22"/>
      <c r="F115" s="22"/>
      <c r="G115" s="22"/>
      <c r="H115" s="22"/>
      <c r="I115" s="22"/>
      <c r="J115" s="22"/>
      <c r="K115" s="22"/>
      <c r="L115" s="22"/>
      <c r="M115" s="22"/>
      <c r="N115" s="21"/>
      <c r="O115" s="21"/>
      <c r="P115" s="21"/>
      <c r="Q115" s="21"/>
      <c r="R115" s="21"/>
      <c r="S115" s="21"/>
      <c r="T115" s="21"/>
      <c r="U115" s="21"/>
      <c r="V115" s="21"/>
      <c r="W115" s="36"/>
      <c r="X115" s="48"/>
    </row>
    <row r="116" spans="1:24" x14ac:dyDescent="0.2">
      <c r="A116" s="20" t="str">
        <f t="shared" ref="A116:A147" si="3">IF(OR(D116&lt;&gt;"", B116&lt;&gt;""), ROW()-1, "")</f>
        <v/>
      </c>
      <c r="B116" s="21"/>
      <c r="C116" s="22"/>
      <c r="D116" s="21"/>
      <c r="E116" s="22"/>
      <c r="F116" s="22"/>
      <c r="G116" s="22"/>
      <c r="H116" s="22"/>
      <c r="I116" s="22"/>
      <c r="J116" s="22"/>
      <c r="K116" s="22"/>
      <c r="L116" s="22"/>
      <c r="M116" s="22"/>
      <c r="N116" s="21"/>
      <c r="O116" s="21"/>
      <c r="P116" s="21"/>
      <c r="Q116" s="21"/>
      <c r="R116" s="21"/>
      <c r="S116" s="21"/>
      <c r="T116" s="21"/>
      <c r="U116" s="21"/>
      <c r="V116" s="21"/>
      <c r="W116" s="36"/>
      <c r="X116" s="48"/>
    </row>
    <row r="117" spans="1:24" x14ac:dyDescent="0.2">
      <c r="A117" s="20" t="str">
        <f t="shared" si="3"/>
        <v/>
      </c>
      <c r="B117" s="21"/>
      <c r="C117" s="22"/>
      <c r="D117" s="21"/>
      <c r="E117" s="22"/>
      <c r="F117" s="22"/>
      <c r="G117" s="22"/>
      <c r="H117" s="22"/>
      <c r="I117" s="22"/>
      <c r="J117" s="22"/>
      <c r="K117" s="22"/>
      <c r="L117" s="22"/>
      <c r="M117" s="22"/>
      <c r="N117" s="21"/>
      <c r="O117" s="21"/>
      <c r="P117" s="21"/>
      <c r="Q117" s="21"/>
      <c r="R117" s="21"/>
      <c r="S117" s="21"/>
      <c r="T117" s="21"/>
      <c r="U117" s="21"/>
      <c r="V117" s="21"/>
      <c r="W117" s="36"/>
      <c r="X117" s="48"/>
    </row>
    <row r="118" spans="1:24" x14ac:dyDescent="0.2">
      <c r="A118" s="20" t="str">
        <f t="shared" si="3"/>
        <v/>
      </c>
      <c r="B118" s="21"/>
      <c r="C118" s="22"/>
      <c r="D118" s="21"/>
      <c r="E118" s="22"/>
      <c r="F118" s="22"/>
      <c r="G118" s="22"/>
      <c r="H118" s="22"/>
      <c r="I118" s="22"/>
      <c r="J118" s="22"/>
      <c r="K118" s="22"/>
      <c r="L118" s="22"/>
      <c r="M118" s="22"/>
      <c r="N118" s="21"/>
      <c r="O118" s="21"/>
      <c r="P118" s="21"/>
      <c r="Q118" s="21"/>
      <c r="R118" s="21"/>
      <c r="S118" s="21"/>
      <c r="T118" s="21"/>
      <c r="U118" s="21"/>
      <c r="V118" s="21"/>
      <c r="W118" s="36"/>
      <c r="X118" s="48"/>
    </row>
    <row r="119" spans="1:24" x14ac:dyDescent="0.2">
      <c r="A119" s="20" t="str">
        <f t="shared" si="3"/>
        <v/>
      </c>
      <c r="B119" s="21"/>
      <c r="C119" s="22"/>
      <c r="D119" s="21"/>
      <c r="E119" s="22"/>
      <c r="F119" s="22"/>
      <c r="G119" s="22"/>
      <c r="H119" s="22"/>
      <c r="I119" s="22"/>
      <c r="J119" s="22"/>
      <c r="K119" s="22"/>
      <c r="L119" s="22"/>
      <c r="M119" s="22"/>
      <c r="N119" s="21"/>
      <c r="O119" s="21"/>
      <c r="P119" s="21"/>
      <c r="Q119" s="21"/>
      <c r="R119" s="21"/>
      <c r="S119" s="21"/>
      <c r="T119" s="21"/>
      <c r="U119" s="21"/>
      <c r="V119" s="21"/>
      <c r="W119" s="36"/>
      <c r="X119" s="48"/>
    </row>
    <row r="120" spans="1:24" x14ac:dyDescent="0.2">
      <c r="A120" s="20" t="str">
        <f t="shared" si="3"/>
        <v/>
      </c>
      <c r="B120" s="21"/>
      <c r="C120" s="22"/>
      <c r="D120" s="21"/>
      <c r="E120" s="22"/>
      <c r="F120" s="22"/>
      <c r="G120" s="22"/>
      <c r="H120" s="22"/>
      <c r="I120" s="22"/>
      <c r="J120" s="22"/>
      <c r="K120" s="22"/>
      <c r="L120" s="22"/>
      <c r="M120" s="22"/>
      <c r="N120" s="21"/>
      <c r="O120" s="21"/>
      <c r="P120" s="21"/>
      <c r="Q120" s="21"/>
      <c r="R120" s="21"/>
      <c r="S120" s="21"/>
      <c r="T120" s="21"/>
      <c r="U120" s="21"/>
      <c r="V120" s="21"/>
      <c r="W120" s="36"/>
      <c r="X120" s="48"/>
    </row>
    <row r="121" spans="1:24" x14ac:dyDescent="0.2">
      <c r="A121" s="20" t="str">
        <f t="shared" si="3"/>
        <v/>
      </c>
      <c r="B121" s="21"/>
      <c r="C121" s="22"/>
      <c r="D121" s="21"/>
      <c r="E121" s="22"/>
      <c r="F121" s="22"/>
      <c r="G121" s="22"/>
      <c r="H121" s="22"/>
      <c r="I121" s="22"/>
      <c r="J121" s="22"/>
      <c r="K121" s="22"/>
      <c r="L121" s="22"/>
      <c r="M121" s="22"/>
      <c r="N121" s="21"/>
      <c r="O121" s="21"/>
      <c r="P121" s="21"/>
      <c r="Q121" s="21"/>
      <c r="R121" s="21"/>
      <c r="S121" s="21"/>
      <c r="T121" s="21"/>
      <c r="U121" s="21"/>
      <c r="V121" s="21"/>
      <c r="W121" s="36"/>
      <c r="X121" s="48"/>
    </row>
    <row r="122" spans="1:24" x14ac:dyDescent="0.2">
      <c r="A122" s="20" t="str">
        <f t="shared" si="3"/>
        <v/>
      </c>
      <c r="B122" s="21"/>
      <c r="C122" s="22"/>
      <c r="D122" s="21"/>
      <c r="E122" s="22"/>
      <c r="F122" s="22"/>
      <c r="G122" s="22"/>
      <c r="H122" s="22"/>
      <c r="I122" s="22"/>
      <c r="J122" s="22"/>
      <c r="K122" s="22"/>
      <c r="L122" s="22"/>
      <c r="M122" s="22"/>
      <c r="N122" s="21"/>
      <c r="O122" s="21"/>
      <c r="P122" s="21"/>
      <c r="Q122" s="21"/>
      <c r="R122" s="21"/>
      <c r="S122" s="21"/>
      <c r="T122" s="21"/>
      <c r="U122" s="21"/>
      <c r="V122" s="21"/>
      <c r="W122" s="36"/>
      <c r="X122" s="48"/>
    </row>
    <row r="123" spans="1:24" x14ac:dyDescent="0.2">
      <c r="A123" s="20" t="str">
        <f t="shared" si="3"/>
        <v/>
      </c>
      <c r="B123" s="21"/>
      <c r="C123" s="22"/>
      <c r="D123" s="21"/>
      <c r="E123" s="22"/>
      <c r="F123" s="22"/>
      <c r="G123" s="22"/>
      <c r="H123" s="22"/>
      <c r="I123" s="22"/>
      <c r="J123" s="22"/>
      <c r="K123" s="22"/>
      <c r="L123" s="22"/>
      <c r="M123" s="22"/>
      <c r="N123" s="21"/>
      <c r="O123" s="21"/>
      <c r="P123" s="21"/>
      <c r="Q123" s="21"/>
      <c r="R123" s="21"/>
      <c r="S123" s="21"/>
      <c r="T123" s="21"/>
      <c r="U123" s="21"/>
      <c r="V123" s="21"/>
      <c r="W123" s="36"/>
      <c r="X123" s="48"/>
    </row>
    <row r="124" spans="1:24" x14ac:dyDescent="0.2">
      <c r="A124" s="20" t="str">
        <f t="shared" si="3"/>
        <v/>
      </c>
      <c r="B124" s="21"/>
      <c r="C124" s="22"/>
      <c r="D124" s="21"/>
      <c r="E124" s="22"/>
      <c r="F124" s="22"/>
      <c r="G124" s="22"/>
      <c r="H124" s="22"/>
      <c r="I124" s="22"/>
      <c r="J124" s="22"/>
      <c r="K124" s="22"/>
      <c r="L124" s="22"/>
      <c r="M124" s="22"/>
      <c r="N124" s="21"/>
      <c r="O124" s="21"/>
      <c r="P124" s="21"/>
      <c r="Q124" s="21"/>
      <c r="R124" s="21"/>
      <c r="S124" s="21"/>
      <c r="T124" s="21"/>
      <c r="U124" s="21"/>
      <c r="V124" s="21"/>
      <c r="W124" s="36"/>
      <c r="X124" s="48"/>
    </row>
    <row r="125" spans="1:24" x14ac:dyDescent="0.2">
      <c r="A125" s="20" t="str">
        <f t="shared" si="3"/>
        <v/>
      </c>
      <c r="B125" s="21"/>
      <c r="C125" s="22"/>
      <c r="D125" s="21"/>
      <c r="E125" s="22"/>
      <c r="F125" s="22"/>
      <c r="G125" s="22"/>
      <c r="H125" s="22"/>
      <c r="I125" s="22"/>
      <c r="J125" s="22"/>
      <c r="K125" s="22"/>
      <c r="L125" s="22"/>
      <c r="M125" s="22"/>
      <c r="N125" s="21"/>
      <c r="O125" s="21"/>
      <c r="P125" s="21"/>
      <c r="Q125" s="21"/>
      <c r="R125" s="21"/>
      <c r="S125" s="21"/>
      <c r="T125" s="21"/>
      <c r="U125" s="21"/>
      <c r="V125" s="21"/>
      <c r="W125" s="36"/>
      <c r="X125" s="48"/>
    </row>
    <row r="126" spans="1:24" x14ac:dyDescent="0.2">
      <c r="A126" s="20" t="str">
        <f t="shared" si="3"/>
        <v/>
      </c>
      <c r="B126" s="21"/>
      <c r="C126" s="22"/>
      <c r="D126" s="21"/>
      <c r="E126" s="22"/>
      <c r="F126" s="22"/>
      <c r="G126" s="22"/>
      <c r="H126" s="22"/>
      <c r="I126" s="22"/>
      <c r="J126" s="22"/>
      <c r="K126" s="22"/>
      <c r="L126" s="22"/>
      <c r="M126" s="22"/>
      <c r="N126" s="21"/>
      <c r="O126" s="21"/>
      <c r="P126" s="21"/>
      <c r="Q126" s="21"/>
      <c r="R126" s="21"/>
      <c r="S126" s="21"/>
      <c r="T126" s="21"/>
      <c r="U126" s="21"/>
      <c r="V126" s="21"/>
      <c r="W126" s="36"/>
      <c r="X126" s="48"/>
    </row>
    <row r="127" spans="1:24" x14ac:dyDescent="0.2">
      <c r="A127" s="20" t="str">
        <f t="shared" si="3"/>
        <v/>
      </c>
      <c r="B127" s="21"/>
      <c r="C127" s="22"/>
      <c r="D127" s="21"/>
      <c r="E127" s="22"/>
      <c r="F127" s="22"/>
      <c r="G127" s="22"/>
      <c r="H127" s="22"/>
      <c r="I127" s="22"/>
      <c r="J127" s="22"/>
      <c r="K127" s="22"/>
      <c r="L127" s="22"/>
      <c r="M127" s="22"/>
      <c r="N127" s="21"/>
      <c r="O127" s="21"/>
      <c r="P127" s="21"/>
      <c r="Q127" s="21"/>
      <c r="R127" s="21"/>
      <c r="S127" s="21"/>
      <c r="T127" s="21"/>
      <c r="U127" s="21"/>
      <c r="V127" s="21"/>
      <c r="W127" s="36"/>
      <c r="X127" s="48"/>
    </row>
    <row r="128" spans="1:24" x14ac:dyDescent="0.2">
      <c r="A128" s="20" t="str">
        <f t="shared" si="3"/>
        <v/>
      </c>
      <c r="B128" s="21"/>
      <c r="C128" s="22"/>
      <c r="D128" s="21"/>
      <c r="E128" s="22"/>
      <c r="F128" s="22"/>
      <c r="G128" s="22"/>
      <c r="H128" s="22"/>
      <c r="I128" s="22"/>
      <c r="J128" s="22"/>
      <c r="K128" s="22"/>
      <c r="L128" s="22"/>
      <c r="M128" s="22"/>
      <c r="N128" s="21"/>
      <c r="O128" s="21"/>
      <c r="P128" s="21"/>
      <c r="Q128" s="21"/>
      <c r="R128" s="21"/>
      <c r="S128" s="21"/>
      <c r="T128" s="21"/>
      <c r="U128" s="21"/>
      <c r="V128" s="21"/>
      <c r="W128" s="36"/>
      <c r="X128" s="48"/>
    </row>
    <row r="129" spans="1:24" x14ac:dyDescent="0.2">
      <c r="A129" s="20" t="str">
        <f t="shared" si="3"/>
        <v/>
      </c>
      <c r="B129" s="21"/>
      <c r="C129" s="22"/>
      <c r="D129" s="21"/>
      <c r="E129" s="22"/>
      <c r="F129" s="22"/>
      <c r="G129" s="22"/>
      <c r="H129" s="22"/>
      <c r="I129" s="22"/>
      <c r="J129" s="22"/>
      <c r="K129" s="22"/>
      <c r="L129" s="22"/>
      <c r="M129" s="22"/>
      <c r="N129" s="21"/>
      <c r="O129" s="21"/>
      <c r="P129" s="21"/>
      <c r="Q129" s="21"/>
      <c r="R129" s="21"/>
      <c r="S129" s="21"/>
      <c r="T129" s="21"/>
      <c r="U129" s="21"/>
      <c r="V129" s="21"/>
      <c r="W129" s="36"/>
      <c r="X129" s="48"/>
    </row>
    <row r="130" spans="1:24" x14ac:dyDescent="0.2">
      <c r="A130" s="20" t="str">
        <f t="shared" si="3"/>
        <v/>
      </c>
      <c r="B130" s="21"/>
      <c r="C130" s="22"/>
      <c r="D130" s="21"/>
      <c r="E130" s="22"/>
      <c r="F130" s="22"/>
      <c r="G130" s="22"/>
      <c r="H130" s="22"/>
      <c r="I130" s="22"/>
      <c r="J130" s="22"/>
      <c r="K130" s="22"/>
      <c r="L130" s="22"/>
      <c r="M130" s="22"/>
      <c r="N130" s="21"/>
      <c r="O130" s="21"/>
      <c r="P130" s="21"/>
      <c r="Q130" s="21"/>
      <c r="R130" s="21"/>
      <c r="S130" s="21"/>
      <c r="T130" s="21"/>
      <c r="U130" s="21"/>
      <c r="V130" s="21"/>
      <c r="W130" s="36"/>
      <c r="X130" s="48"/>
    </row>
    <row r="131" spans="1:24" x14ac:dyDescent="0.2">
      <c r="A131" s="20" t="str">
        <f t="shared" si="3"/>
        <v/>
      </c>
      <c r="B131" s="21"/>
      <c r="C131" s="22"/>
      <c r="D131" s="21"/>
      <c r="E131" s="22"/>
      <c r="F131" s="22"/>
      <c r="G131" s="22"/>
      <c r="H131" s="22"/>
      <c r="I131" s="22"/>
      <c r="J131" s="22"/>
      <c r="K131" s="22"/>
      <c r="L131" s="22"/>
      <c r="M131" s="22"/>
      <c r="N131" s="21"/>
      <c r="O131" s="21"/>
      <c r="P131" s="21"/>
      <c r="Q131" s="21"/>
      <c r="R131" s="21"/>
      <c r="S131" s="21"/>
      <c r="T131" s="21"/>
      <c r="U131" s="21"/>
      <c r="V131" s="21"/>
      <c r="W131" s="36"/>
      <c r="X131" s="48"/>
    </row>
    <row r="132" spans="1:24" x14ac:dyDescent="0.2">
      <c r="A132" s="20" t="str">
        <f t="shared" si="3"/>
        <v/>
      </c>
      <c r="B132" s="21"/>
      <c r="C132" s="22"/>
      <c r="D132" s="21"/>
      <c r="E132" s="22"/>
      <c r="F132" s="22"/>
      <c r="G132" s="22"/>
      <c r="H132" s="22"/>
      <c r="I132" s="22"/>
      <c r="J132" s="22"/>
      <c r="K132" s="22"/>
      <c r="L132" s="22"/>
      <c r="M132" s="22"/>
      <c r="N132" s="21"/>
      <c r="O132" s="21"/>
      <c r="P132" s="21"/>
      <c r="Q132" s="21"/>
      <c r="R132" s="21"/>
      <c r="S132" s="21"/>
      <c r="T132" s="21"/>
      <c r="U132" s="21"/>
      <c r="V132" s="21"/>
      <c r="W132" s="36"/>
      <c r="X132" s="48"/>
    </row>
    <row r="133" spans="1:24" x14ac:dyDescent="0.2">
      <c r="A133" s="20" t="str">
        <f t="shared" si="3"/>
        <v/>
      </c>
      <c r="B133" s="21"/>
      <c r="C133" s="22"/>
      <c r="D133" s="21"/>
      <c r="E133" s="22"/>
      <c r="F133" s="22"/>
      <c r="G133" s="22"/>
      <c r="H133" s="22"/>
      <c r="I133" s="22"/>
      <c r="J133" s="22"/>
      <c r="K133" s="22"/>
      <c r="L133" s="22"/>
      <c r="M133" s="22"/>
      <c r="N133" s="21"/>
      <c r="O133" s="21"/>
      <c r="P133" s="21"/>
      <c r="Q133" s="21"/>
      <c r="R133" s="21"/>
      <c r="S133" s="21"/>
      <c r="T133" s="21"/>
      <c r="U133" s="21"/>
      <c r="V133" s="21"/>
      <c r="W133" s="36"/>
      <c r="X133" s="48"/>
    </row>
    <row r="134" spans="1:24" x14ac:dyDescent="0.2">
      <c r="A134" s="20" t="str">
        <f t="shared" si="3"/>
        <v/>
      </c>
      <c r="B134" s="21"/>
      <c r="C134" s="22"/>
      <c r="D134" s="21"/>
      <c r="E134" s="22"/>
      <c r="F134" s="22"/>
      <c r="G134" s="22"/>
      <c r="H134" s="22"/>
      <c r="I134" s="22"/>
      <c r="J134" s="22"/>
      <c r="K134" s="22"/>
      <c r="L134" s="22"/>
      <c r="M134" s="22"/>
      <c r="N134" s="21"/>
      <c r="O134" s="21"/>
      <c r="P134" s="21"/>
      <c r="Q134" s="21"/>
      <c r="R134" s="21"/>
      <c r="S134" s="21"/>
      <c r="T134" s="21"/>
      <c r="U134" s="21"/>
      <c r="V134" s="21"/>
      <c r="W134" s="36"/>
      <c r="X134" s="48"/>
    </row>
    <row r="135" spans="1:24" x14ac:dyDescent="0.2">
      <c r="A135" s="20" t="str">
        <f t="shared" si="3"/>
        <v/>
      </c>
      <c r="B135" s="21"/>
      <c r="C135" s="22"/>
      <c r="D135" s="21"/>
      <c r="E135" s="22"/>
      <c r="F135" s="22"/>
      <c r="G135" s="22"/>
      <c r="H135" s="22"/>
      <c r="I135" s="22"/>
      <c r="J135" s="22"/>
      <c r="K135" s="22"/>
      <c r="L135" s="22"/>
      <c r="M135" s="22"/>
      <c r="N135" s="21"/>
      <c r="O135" s="21"/>
      <c r="P135" s="21"/>
      <c r="Q135" s="21"/>
      <c r="R135" s="21"/>
      <c r="S135" s="21"/>
      <c r="T135" s="21"/>
      <c r="U135" s="21"/>
      <c r="V135" s="21"/>
      <c r="W135" s="36"/>
      <c r="X135" s="48"/>
    </row>
    <row r="136" spans="1:24" x14ac:dyDescent="0.2">
      <c r="A136" s="20" t="str">
        <f t="shared" si="3"/>
        <v/>
      </c>
      <c r="B136" s="21"/>
      <c r="C136" s="22"/>
      <c r="D136" s="21"/>
      <c r="E136" s="22"/>
      <c r="F136" s="22"/>
      <c r="G136" s="22"/>
      <c r="H136" s="22"/>
      <c r="I136" s="22"/>
      <c r="J136" s="22"/>
      <c r="K136" s="22"/>
      <c r="L136" s="22"/>
      <c r="M136" s="22"/>
      <c r="N136" s="21"/>
      <c r="O136" s="21"/>
      <c r="P136" s="21"/>
      <c r="Q136" s="21"/>
      <c r="R136" s="21"/>
      <c r="S136" s="21"/>
      <c r="T136" s="21"/>
      <c r="U136" s="21"/>
      <c r="V136" s="21"/>
      <c r="W136" s="36"/>
      <c r="X136" s="48"/>
    </row>
    <row r="137" spans="1:24" x14ac:dyDescent="0.2">
      <c r="A137" s="20" t="str">
        <f t="shared" si="3"/>
        <v/>
      </c>
      <c r="B137" s="21"/>
      <c r="C137" s="22"/>
      <c r="D137" s="21"/>
      <c r="E137" s="22"/>
      <c r="F137" s="22"/>
      <c r="G137" s="22"/>
      <c r="H137" s="22"/>
      <c r="I137" s="22"/>
      <c r="J137" s="22"/>
      <c r="K137" s="22"/>
      <c r="L137" s="22"/>
      <c r="M137" s="22"/>
      <c r="N137" s="21"/>
      <c r="O137" s="21"/>
      <c r="P137" s="21"/>
      <c r="Q137" s="21"/>
      <c r="R137" s="21"/>
      <c r="S137" s="21"/>
      <c r="T137" s="21"/>
      <c r="U137" s="21"/>
      <c r="V137" s="21"/>
      <c r="W137" s="36"/>
      <c r="X137" s="48"/>
    </row>
    <row r="138" spans="1:24" x14ac:dyDescent="0.2">
      <c r="A138" s="20" t="str">
        <f t="shared" si="3"/>
        <v/>
      </c>
      <c r="B138" s="21"/>
      <c r="C138" s="22"/>
      <c r="D138" s="21"/>
      <c r="E138" s="22"/>
      <c r="F138" s="22"/>
      <c r="G138" s="22"/>
      <c r="H138" s="22"/>
      <c r="I138" s="22"/>
      <c r="J138" s="22"/>
      <c r="K138" s="22"/>
      <c r="L138" s="22"/>
      <c r="M138" s="22"/>
      <c r="N138" s="21"/>
      <c r="O138" s="21"/>
      <c r="P138" s="21"/>
      <c r="Q138" s="21"/>
      <c r="R138" s="21"/>
      <c r="S138" s="21"/>
      <c r="T138" s="21"/>
      <c r="U138" s="21"/>
      <c r="V138" s="21"/>
      <c r="W138" s="36"/>
      <c r="X138" s="48"/>
    </row>
    <row r="139" spans="1:24" x14ac:dyDescent="0.2">
      <c r="A139" s="20" t="str">
        <f t="shared" si="3"/>
        <v/>
      </c>
      <c r="B139" s="21"/>
      <c r="C139" s="22"/>
      <c r="D139" s="21"/>
      <c r="E139" s="22"/>
      <c r="F139" s="22"/>
      <c r="G139" s="22"/>
      <c r="H139" s="22"/>
      <c r="I139" s="22"/>
      <c r="J139" s="22"/>
      <c r="K139" s="22"/>
      <c r="L139" s="22"/>
      <c r="M139" s="22"/>
      <c r="N139" s="21"/>
      <c r="O139" s="21"/>
      <c r="P139" s="21"/>
      <c r="Q139" s="21"/>
      <c r="R139" s="21"/>
      <c r="S139" s="21"/>
      <c r="T139" s="21"/>
      <c r="U139" s="21"/>
      <c r="V139" s="21"/>
      <c r="W139" s="36"/>
      <c r="X139" s="48"/>
    </row>
    <row r="140" spans="1:24" x14ac:dyDescent="0.2">
      <c r="A140" s="20" t="str">
        <f t="shared" si="3"/>
        <v/>
      </c>
      <c r="B140" s="21"/>
      <c r="C140" s="22"/>
      <c r="D140" s="21"/>
      <c r="E140" s="22"/>
      <c r="F140" s="22"/>
      <c r="G140" s="22"/>
      <c r="H140" s="22"/>
      <c r="I140" s="22"/>
      <c r="J140" s="22"/>
      <c r="K140" s="22"/>
      <c r="L140" s="22"/>
      <c r="M140" s="22"/>
      <c r="N140" s="21"/>
      <c r="O140" s="21"/>
      <c r="P140" s="21"/>
      <c r="Q140" s="21"/>
      <c r="R140" s="21"/>
      <c r="S140" s="21"/>
      <c r="T140" s="21"/>
      <c r="U140" s="21"/>
      <c r="V140" s="21"/>
      <c r="W140" s="36"/>
      <c r="X140" s="48"/>
    </row>
    <row r="141" spans="1:24" x14ac:dyDescent="0.2">
      <c r="A141" s="20" t="str">
        <f t="shared" si="3"/>
        <v/>
      </c>
      <c r="B141" s="21"/>
      <c r="C141" s="22"/>
      <c r="D141" s="21"/>
      <c r="E141" s="22"/>
      <c r="F141" s="22"/>
      <c r="G141" s="22"/>
      <c r="H141" s="22"/>
      <c r="I141" s="22"/>
      <c r="J141" s="22"/>
      <c r="K141" s="22"/>
      <c r="L141" s="22"/>
      <c r="M141" s="22"/>
      <c r="N141" s="21"/>
      <c r="O141" s="21"/>
      <c r="P141" s="21"/>
      <c r="Q141" s="21"/>
      <c r="R141" s="21"/>
      <c r="S141" s="21"/>
      <c r="T141" s="21"/>
      <c r="U141" s="21"/>
      <c r="V141" s="21"/>
      <c r="W141" s="36"/>
      <c r="X141" s="48"/>
    </row>
    <row r="142" spans="1:24" x14ac:dyDescent="0.2">
      <c r="A142" s="20" t="str">
        <f t="shared" si="3"/>
        <v/>
      </c>
      <c r="B142" s="21"/>
      <c r="C142" s="22"/>
      <c r="D142" s="21"/>
      <c r="E142" s="22"/>
      <c r="F142" s="22"/>
      <c r="G142" s="22"/>
      <c r="H142" s="22"/>
      <c r="I142" s="22"/>
      <c r="J142" s="22"/>
      <c r="K142" s="22"/>
      <c r="L142" s="22"/>
      <c r="M142" s="22"/>
      <c r="N142" s="21"/>
      <c r="O142" s="21"/>
      <c r="P142" s="21"/>
      <c r="Q142" s="21"/>
      <c r="R142" s="21"/>
      <c r="S142" s="21"/>
      <c r="T142" s="21"/>
      <c r="U142" s="21"/>
      <c r="V142" s="21"/>
      <c r="W142" s="36"/>
      <c r="X142" s="48"/>
    </row>
    <row r="143" spans="1:24" x14ac:dyDescent="0.2">
      <c r="A143" s="20" t="str">
        <f t="shared" si="3"/>
        <v/>
      </c>
      <c r="B143" s="21"/>
      <c r="C143" s="22"/>
      <c r="D143" s="21"/>
      <c r="E143" s="22"/>
      <c r="F143" s="22"/>
      <c r="G143" s="22"/>
      <c r="H143" s="22"/>
      <c r="I143" s="22"/>
      <c r="J143" s="22"/>
      <c r="K143" s="22"/>
      <c r="L143" s="22"/>
      <c r="M143" s="22"/>
      <c r="N143" s="21"/>
      <c r="O143" s="21"/>
      <c r="P143" s="21"/>
      <c r="Q143" s="21"/>
      <c r="R143" s="21"/>
      <c r="S143" s="21"/>
      <c r="T143" s="21"/>
      <c r="U143" s="21"/>
      <c r="V143" s="21"/>
      <c r="W143" s="36"/>
      <c r="X143" s="48"/>
    </row>
    <row r="144" spans="1:24" x14ac:dyDescent="0.2">
      <c r="A144" s="20" t="str">
        <f t="shared" si="3"/>
        <v/>
      </c>
      <c r="B144" s="21"/>
      <c r="C144" s="22"/>
      <c r="D144" s="21"/>
      <c r="E144" s="22"/>
      <c r="F144" s="22"/>
      <c r="G144" s="22"/>
      <c r="H144" s="22"/>
      <c r="I144" s="22"/>
      <c r="J144" s="22"/>
      <c r="K144" s="22"/>
      <c r="L144" s="22"/>
      <c r="M144" s="22"/>
      <c r="N144" s="21"/>
      <c r="O144" s="21"/>
      <c r="P144" s="21"/>
      <c r="Q144" s="21"/>
      <c r="R144" s="21"/>
      <c r="S144" s="21"/>
      <c r="T144" s="21"/>
      <c r="U144" s="21"/>
      <c r="V144" s="21"/>
      <c r="W144" s="36"/>
      <c r="X144" s="48"/>
    </row>
    <row r="145" spans="1:24" x14ac:dyDescent="0.2">
      <c r="A145" s="20" t="str">
        <f t="shared" si="3"/>
        <v/>
      </c>
      <c r="B145" s="21"/>
      <c r="C145" s="22"/>
      <c r="D145" s="21"/>
      <c r="E145" s="22"/>
      <c r="F145" s="22"/>
      <c r="G145" s="22"/>
      <c r="H145" s="22"/>
      <c r="I145" s="22"/>
      <c r="J145" s="22"/>
      <c r="K145" s="22"/>
      <c r="L145" s="22"/>
      <c r="M145" s="22"/>
      <c r="N145" s="21"/>
      <c r="O145" s="21"/>
      <c r="P145" s="21"/>
      <c r="Q145" s="21"/>
      <c r="R145" s="21"/>
      <c r="S145" s="21"/>
      <c r="T145" s="21"/>
      <c r="U145" s="21"/>
      <c r="V145" s="21"/>
      <c r="W145" s="36"/>
      <c r="X145" s="48"/>
    </row>
    <row r="146" spans="1:24" x14ac:dyDescent="0.2">
      <c r="A146" s="20" t="str">
        <f t="shared" si="3"/>
        <v/>
      </c>
      <c r="B146" s="21"/>
      <c r="C146" s="22"/>
      <c r="D146" s="21"/>
      <c r="E146" s="22"/>
      <c r="F146" s="22"/>
      <c r="G146" s="22"/>
      <c r="H146" s="22"/>
      <c r="I146" s="22"/>
      <c r="J146" s="22"/>
      <c r="K146" s="22"/>
      <c r="L146" s="22"/>
      <c r="M146" s="22"/>
      <c r="N146" s="21"/>
      <c r="O146" s="21"/>
      <c r="P146" s="21"/>
      <c r="Q146" s="21"/>
      <c r="R146" s="21"/>
      <c r="S146" s="21"/>
      <c r="T146" s="21"/>
      <c r="U146" s="21"/>
      <c r="V146" s="21"/>
      <c r="W146" s="36"/>
      <c r="X146" s="48"/>
    </row>
    <row r="147" spans="1:24" x14ac:dyDescent="0.2">
      <c r="A147" s="20" t="str">
        <f t="shared" si="3"/>
        <v/>
      </c>
      <c r="B147" s="21"/>
      <c r="C147" s="22"/>
      <c r="D147" s="21"/>
      <c r="E147" s="22"/>
      <c r="F147" s="22"/>
      <c r="G147" s="22"/>
      <c r="H147" s="22"/>
      <c r="I147" s="22"/>
      <c r="J147" s="22"/>
      <c r="K147" s="22"/>
      <c r="L147" s="22"/>
      <c r="M147" s="22"/>
      <c r="N147" s="21"/>
      <c r="O147" s="21"/>
      <c r="P147" s="21"/>
      <c r="Q147" s="21"/>
      <c r="R147" s="21"/>
      <c r="S147" s="21"/>
      <c r="T147" s="21"/>
      <c r="U147" s="21"/>
      <c r="V147" s="21"/>
      <c r="W147" s="36"/>
      <c r="X147" s="48"/>
    </row>
    <row r="148" spans="1:24" x14ac:dyDescent="0.2">
      <c r="A148" s="20" t="str">
        <f t="shared" ref="A148" si="4">IF(OR(D148&lt;&gt;"", B148&lt;&gt;""), ROW()-1, "")</f>
        <v/>
      </c>
      <c r="B148" s="21"/>
      <c r="C148" s="22"/>
      <c r="D148" s="21"/>
      <c r="E148" s="22"/>
      <c r="F148" s="22"/>
      <c r="G148" s="22"/>
      <c r="H148" s="22"/>
      <c r="I148" s="22"/>
      <c r="J148" s="22"/>
      <c r="K148" s="22"/>
      <c r="L148" s="22"/>
      <c r="M148" s="22"/>
      <c r="N148" s="21"/>
      <c r="O148" s="21"/>
      <c r="P148" s="21"/>
      <c r="Q148" s="21"/>
      <c r="R148" s="21"/>
      <c r="S148" s="21"/>
      <c r="T148" s="21"/>
      <c r="U148" s="21"/>
      <c r="V148" s="21"/>
      <c r="W148" s="36"/>
      <c r="X148" s="48"/>
    </row>
  </sheetData>
  <dataValidations count="6">
    <dataValidation type="list" allowBlank="1" sqref="H2:H4 H9:H498" xr:uid="{E95ED67B-B530-46DE-BA16-1E2B4573EC4D}">
      <formula1>"Administration, Approval, BRD, Claim Management, Master Data, My Task, Policy Automation, Power Automate, Project, Reinsurance, Retail, SAP FI, SAP MM, SLA, TICS Reporting, TTS, Ticket Daily, Timeline Timesheet "</formula1>
    </dataValidation>
    <dataValidation type="list" allowBlank="1" sqref="I2:I498" xr:uid="{5DE52F4E-7191-49B8-A425-660F34E7302B}">
      <formula1>"UI_BUG,FUNCTIONAL_BUG,INTEGRATION_BUG,DATA_BUG,PERFORMANCE_BUG,SECURITY_BUG,OTHER"</formula1>
    </dataValidation>
    <dataValidation type="list" allowBlank="1" sqref="G2:G498" xr:uid="{C2578D88-8110-4ADC-98C2-CE61107BF24A}">
      <formula1>"NEW_APPLICATION,ENHANCEMENT,BUG,MAINTENANCE,MIGRATION"</formula1>
    </dataValidation>
    <dataValidation type="list" allowBlank="1" sqref="F2:F498" xr:uid="{D81D98AA-68C8-4BCB-99B8-E42992459F11}">
      <formula1>"LOW,MEDIUM,HIGH,CRITICAL"</formula1>
    </dataValidation>
    <dataValidation type="list" allowBlank="1" sqref="E2:E498" xr:uid="{6A0AB8DD-552D-4DE0-B59D-3BF3574C55BD}">
      <formula1>"TODO,IN_PROGRESS,IN_REVIEW,DONE"</formula1>
    </dataValidation>
    <dataValidation type="list" allowBlank="1" showInputMessage="1" showErrorMessage="1" sqref="Z2:Z1048576" xr:uid="{FA60CD08-F52F-4DD2-A484-A63AF319D8CA}">
      <formula1>"Requirement,System Design,Implementation,Testing,Deployment,Maintenance"</formula1>
    </dataValidation>
  </dataValidations>
  <hyperlinks>
    <hyperlink ref="T2" r:id="rId1" xr:uid="{8AA82499-7570-4143-B374-540E2B377C16}"/>
    <hyperlink ref="T3" r:id="rId2" xr:uid="{06192B50-402A-4278-B9E9-8C3F3D5B1735}"/>
    <hyperlink ref="T4" r:id="rId3" xr:uid="{3C19EEA8-BF14-4F84-8E79-8FADCC1121A6}"/>
    <hyperlink ref="T5" r:id="rId4" xr:uid="{7AE6DEC5-4426-49D1-80C8-41D43C0FAEE4}"/>
    <hyperlink ref="T6" r:id="rId5" xr:uid="{9958995D-B05A-4CB8-92B3-1CDB54B11A8F}"/>
    <hyperlink ref="T7" r:id="rId6" xr:uid="{E2C6D0E3-B957-4432-A5F6-DAC9F555320D}"/>
    <hyperlink ref="T8" r:id="rId7" xr:uid="{B02F4847-1B17-479B-9BCD-E1D36F49F1CC}"/>
    <hyperlink ref="T9" r:id="rId8" xr:uid="{2BA51A73-3F62-4AFE-93EB-600790D01257}"/>
    <hyperlink ref="T10" r:id="rId9" xr:uid="{F8762A16-DB46-4099-91CC-C66A10D7C303}"/>
    <hyperlink ref="T11" r:id="rId10" xr:uid="{8187AD63-2154-4463-A853-EB76E7A0C0BE}"/>
    <hyperlink ref="T12" r:id="rId11" xr:uid="{62DAD39C-D2CE-4135-9864-26467E56B199}"/>
    <hyperlink ref="T13" r:id="rId12" xr:uid="{F95A4078-CEF1-4CF5-8F91-6B5CE3D1BBB0}"/>
    <hyperlink ref="T14" r:id="rId13" xr:uid="{115C9A45-D3E2-4B37-9456-642BC79E95CF}"/>
    <hyperlink ref="T15" r:id="rId14" xr:uid="{98F3EC93-B7D0-46ED-AB6C-3CBBC0CE0EB1}"/>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AD41022-9901-472E-B7B9-2C3214A6F157}">
          <x14:formula1>
            <xm:f>Master_Project_Name!$A$2:$A$100</xm:f>
          </x14:formula1>
          <xm:sqref>B2:B500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B4EF-1C7F-4C6C-B887-6C6F24D20DDA}">
  <dimension ref="A1:A82"/>
  <sheetViews>
    <sheetView topLeftCell="A66" workbookViewId="0">
      <selection activeCell="A80" sqref="A80"/>
    </sheetView>
  </sheetViews>
  <sheetFormatPr baseColWidth="10" defaultColWidth="8.83203125" defaultRowHeight="15" x14ac:dyDescent="0.2"/>
  <cols>
    <col min="1" max="1" width="71" bestFit="1" customWidth="1"/>
  </cols>
  <sheetData>
    <row r="1" spans="1:1" x14ac:dyDescent="0.2">
      <c r="A1" s="104" t="s">
        <v>0</v>
      </c>
    </row>
    <row r="2" spans="1:1" x14ac:dyDescent="0.2">
      <c r="A2" t="s">
        <v>287</v>
      </c>
    </row>
    <row r="3" spans="1:1" x14ac:dyDescent="0.2">
      <c r="A3" t="s">
        <v>3</v>
      </c>
    </row>
    <row r="4" spans="1:1" x14ac:dyDescent="0.2">
      <c r="A4" t="s">
        <v>6</v>
      </c>
    </row>
    <row r="5" spans="1:1" x14ac:dyDescent="0.2">
      <c r="A5" t="s">
        <v>1059</v>
      </c>
    </row>
    <row r="6" spans="1:1" x14ac:dyDescent="0.2">
      <c r="A6" t="s">
        <v>1060</v>
      </c>
    </row>
    <row r="7" spans="1:1" x14ac:dyDescent="0.2">
      <c r="A7" t="s">
        <v>1061</v>
      </c>
    </row>
    <row r="8" spans="1:1" x14ac:dyDescent="0.2">
      <c r="A8" t="s">
        <v>9</v>
      </c>
    </row>
    <row r="9" spans="1:1" x14ac:dyDescent="0.2">
      <c r="A9" t="s">
        <v>12</v>
      </c>
    </row>
    <row r="10" spans="1:1" x14ac:dyDescent="0.2">
      <c r="A10" t="s">
        <v>15</v>
      </c>
    </row>
    <row r="11" spans="1:1" x14ac:dyDescent="0.2">
      <c r="A11" t="s">
        <v>18</v>
      </c>
    </row>
    <row r="12" spans="1:1" x14ac:dyDescent="0.2">
      <c r="A12" t="s">
        <v>21</v>
      </c>
    </row>
    <row r="13" spans="1:1" x14ac:dyDescent="0.2">
      <c r="A13" t="s">
        <v>729</v>
      </c>
    </row>
    <row r="14" spans="1:1" x14ac:dyDescent="0.2">
      <c r="A14" t="s">
        <v>24</v>
      </c>
    </row>
    <row r="15" spans="1:1" x14ac:dyDescent="0.2">
      <c r="A15" t="s">
        <v>27</v>
      </c>
    </row>
    <row r="16" spans="1:1" x14ac:dyDescent="0.2">
      <c r="A16" t="s">
        <v>30</v>
      </c>
    </row>
    <row r="17" spans="1:1" x14ac:dyDescent="0.2">
      <c r="A17" t="s">
        <v>33</v>
      </c>
    </row>
    <row r="18" spans="1:1" x14ac:dyDescent="0.2">
      <c r="A18" t="s">
        <v>1062</v>
      </c>
    </row>
    <row r="19" spans="1:1" x14ac:dyDescent="0.2">
      <c r="A19" t="s">
        <v>36</v>
      </c>
    </row>
    <row r="20" spans="1:1" x14ac:dyDescent="0.2">
      <c r="A20" t="s">
        <v>39</v>
      </c>
    </row>
    <row r="21" spans="1:1" x14ac:dyDescent="0.2">
      <c r="A21" t="s">
        <v>42</v>
      </c>
    </row>
    <row r="22" spans="1:1" x14ac:dyDescent="0.2">
      <c r="A22" t="s">
        <v>45</v>
      </c>
    </row>
    <row r="23" spans="1:1" x14ac:dyDescent="0.2">
      <c r="A23" t="s">
        <v>1063</v>
      </c>
    </row>
    <row r="24" spans="1:1" x14ac:dyDescent="0.2">
      <c r="A24" t="s">
        <v>389</v>
      </c>
    </row>
    <row r="25" spans="1:1" x14ac:dyDescent="0.2">
      <c r="A25" t="s">
        <v>170</v>
      </c>
    </row>
    <row r="26" spans="1:1" x14ac:dyDescent="0.2">
      <c r="A26" t="s">
        <v>48</v>
      </c>
    </row>
    <row r="27" spans="1:1" x14ac:dyDescent="0.2">
      <c r="A27" t="s">
        <v>50</v>
      </c>
    </row>
    <row r="28" spans="1:1" x14ac:dyDescent="0.2">
      <c r="A28" t="s">
        <v>52</v>
      </c>
    </row>
    <row r="29" spans="1:1" x14ac:dyDescent="0.2">
      <c r="A29" t="s">
        <v>54</v>
      </c>
    </row>
    <row r="30" spans="1:1" x14ac:dyDescent="0.2">
      <c r="A30" t="s">
        <v>56</v>
      </c>
    </row>
    <row r="31" spans="1:1" x14ac:dyDescent="0.2">
      <c r="A31" t="s">
        <v>58</v>
      </c>
    </row>
    <row r="32" spans="1:1" x14ac:dyDescent="0.2">
      <c r="A32" t="s">
        <v>1064</v>
      </c>
    </row>
    <row r="33" spans="1:1" x14ac:dyDescent="0.2">
      <c r="A33" t="s">
        <v>60</v>
      </c>
    </row>
    <row r="34" spans="1:1" x14ac:dyDescent="0.2">
      <c r="A34" t="s">
        <v>1065</v>
      </c>
    </row>
    <row r="35" spans="1:1" x14ac:dyDescent="0.2">
      <c r="A35" t="s">
        <v>62</v>
      </c>
    </row>
    <row r="36" spans="1:1" x14ac:dyDescent="0.2">
      <c r="A36" t="s">
        <v>64</v>
      </c>
    </row>
    <row r="37" spans="1:1" x14ac:dyDescent="0.2">
      <c r="A37" t="s">
        <v>66</v>
      </c>
    </row>
    <row r="38" spans="1:1" x14ac:dyDescent="0.2">
      <c r="A38" t="s">
        <v>68</v>
      </c>
    </row>
    <row r="39" spans="1:1" x14ac:dyDescent="0.2">
      <c r="A39" t="s">
        <v>70</v>
      </c>
    </row>
    <row r="40" spans="1:1" x14ac:dyDescent="0.2">
      <c r="A40" t="s">
        <v>72</v>
      </c>
    </row>
    <row r="41" spans="1:1" x14ac:dyDescent="0.2">
      <c r="A41" t="s">
        <v>1066</v>
      </c>
    </row>
    <row r="42" spans="1:1" x14ac:dyDescent="0.2">
      <c r="A42" t="s">
        <v>74</v>
      </c>
    </row>
    <row r="43" spans="1:1" x14ac:dyDescent="0.2">
      <c r="A43" t="s">
        <v>76</v>
      </c>
    </row>
    <row r="44" spans="1:1" x14ac:dyDescent="0.2">
      <c r="A44" t="s">
        <v>1067</v>
      </c>
    </row>
    <row r="45" spans="1:1" x14ac:dyDescent="0.2">
      <c r="A45" t="s">
        <v>78</v>
      </c>
    </row>
    <row r="46" spans="1:1" x14ac:dyDescent="0.2">
      <c r="A46" t="s">
        <v>80</v>
      </c>
    </row>
    <row r="47" spans="1:1" x14ac:dyDescent="0.2">
      <c r="A47" t="s">
        <v>82</v>
      </c>
    </row>
    <row r="48" spans="1:1" x14ac:dyDescent="0.2">
      <c r="A48" t="s">
        <v>83</v>
      </c>
    </row>
    <row r="49" spans="1:1" x14ac:dyDescent="0.2">
      <c r="A49" t="s">
        <v>84</v>
      </c>
    </row>
    <row r="50" spans="1:1" x14ac:dyDescent="0.2">
      <c r="A50" t="s">
        <v>85</v>
      </c>
    </row>
    <row r="51" spans="1:1" x14ac:dyDescent="0.2">
      <c r="A51" t="s">
        <v>86</v>
      </c>
    </row>
    <row r="52" spans="1:1" x14ac:dyDescent="0.2">
      <c r="A52" t="s">
        <v>87</v>
      </c>
    </row>
    <row r="53" spans="1:1" x14ac:dyDescent="0.2">
      <c r="A53" t="s">
        <v>88</v>
      </c>
    </row>
    <row r="54" spans="1:1" x14ac:dyDescent="0.2">
      <c r="A54" t="s">
        <v>341</v>
      </c>
    </row>
    <row r="55" spans="1:1" x14ac:dyDescent="0.2">
      <c r="A55" t="s">
        <v>89</v>
      </c>
    </row>
    <row r="56" spans="1:1" x14ac:dyDescent="0.2">
      <c r="A56" t="s">
        <v>90</v>
      </c>
    </row>
    <row r="57" spans="1:1" x14ac:dyDescent="0.2">
      <c r="A57" t="s">
        <v>91</v>
      </c>
    </row>
    <row r="58" spans="1:1" x14ac:dyDescent="0.2">
      <c r="A58" t="s">
        <v>92</v>
      </c>
    </row>
    <row r="59" spans="1:1" x14ac:dyDescent="0.2">
      <c r="A59" t="s">
        <v>758</v>
      </c>
    </row>
    <row r="60" spans="1:1" x14ac:dyDescent="0.2">
      <c r="A60" t="s">
        <v>876</v>
      </c>
    </row>
    <row r="61" spans="1:1" x14ac:dyDescent="0.2">
      <c r="A61" t="s">
        <v>813</v>
      </c>
    </row>
    <row r="62" spans="1:1" x14ac:dyDescent="0.2">
      <c r="A62" t="s">
        <v>93</v>
      </c>
    </row>
    <row r="63" spans="1:1" x14ac:dyDescent="0.2">
      <c r="A63" t="s">
        <v>1068</v>
      </c>
    </row>
    <row r="64" spans="1:1" x14ac:dyDescent="0.2">
      <c r="A64" t="s">
        <v>94</v>
      </c>
    </row>
    <row r="65" spans="1:1" x14ac:dyDescent="0.2">
      <c r="A65" t="s">
        <v>95</v>
      </c>
    </row>
    <row r="66" spans="1:1" x14ac:dyDescent="0.2">
      <c r="A66" t="s">
        <v>96</v>
      </c>
    </row>
    <row r="67" spans="1:1" x14ac:dyDescent="0.2">
      <c r="A67" t="s">
        <v>97</v>
      </c>
    </row>
    <row r="68" spans="1:1" x14ac:dyDescent="0.2">
      <c r="A68" t="s">
        <v>1069</v>
      </c>
    </row>
    <row r="69" spans="1:1" x14ac:dyDescent="0.2">
      <c r="A69" t="s">
        <v>863</v>
      </c>
    </row>
    <row r="70" spans="1:1" x14ac:dyDescent="0.2">
      <c r="A70" t="s">
        <v>385</v>
      </c>
    </row>
    <row r="71" spans="1:1" x14ac:dyDescent="0.2">
      <c r="A71" t="s">
        <v>98</v>
      </c>
    </row>
    <row r="72" spans="1:1" x14ac:dyDescent="0.2">
      <c r="A72" t="s">
        <v>99</v>
      </c>
    </row>
    <row r="73" spans="1:1" x14ac:dyDescent="0.2">
      <c r="A73" t="s">
        <v>100</v>
      </c>
    </row>
    <row r="74" spans="1:1" x14ac:dyDescent="0.2">
      <c r="A74" t="s">
        <v>934</v>
      </c>
    </row>
    <row r="75" spans="1:1" x14ac:dyDescent="0.2">
      <c r="A75" t="s">
        <v>1025</v>
      </c>
    </row>
    <row r="76" spans="1:1" x14ac:dyDescent="0.2">
      <c r="A76" t="s">
        <v>101</v>
      </c>
    </row>
    <row r="77" spans="1:1" x14ac:dyDescent="0.2">
      <c r="A77" t="s">
        <v>102</v>
      </c>
    </row>
    <row r="78" spans="1:1" x14ac:dyDescent="0.2">
      <c r="A78" t="s">
        <v>103</v>
      </c>
    </row>
    <row r="79" spans="1:1" x14ac:dyDescent="0.2">
      <c r="A79" t="s">
        <v>104</v>
      </c>
    </row>
    <row r="80" spans="1:1" x14ac:dyDescent="0.2">
      <c r="A80" t="s">
        <v>105</v>
      </c>
    </row>
    <row r="81" spans="1:1" x14ac:dyDescent="0.2">
      <c r="A81" s="105" t="s">
        <v>385</v>
      </c>
    </row>
    <row r="82" spans="1:1" x14ac:dyDescent="0.2">
      <c r="A82" s="105" t="s">
        <v>389</v>
      </c>
    </row>
  </sheetData>
  <hyperlinks>
    <hyperlink ref="A81" r:id="rId1" xr:uid="{E0CA31F8-E202-4001-A324-6876196F3503}"/>
    <hyperlink ref="A82" r:id="rId2" xr:uid="{9C5E9585-B1BD-4EBD-8049-0E464CD002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Lookup</vt:lpstr>
      <vt:lpstr>RealTime_Dashboard</vt:lpstr>
      <vt:lpstr>Master_Data</vt:lpstr>
      <vt:lpstr>Syafix</vt:lpstr>
      <vt:lpstr>Haviz</vt:lpstr>
      <vt:lpstr>Danang</vt:lpstr>
      <vt:lpstr>Atha</vt:lpstr>
      <vt:lpstr>Iqbal</vt:lpstr>
      <vt:lpstr>Glenn</vt:lpstr>
      <vt:lpstr>Heni</vt:lpstr>
      <vt:lpstr>Syifa</vt:lpstr>
      <vt:lpstr>Master_Project_Name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Syafix Said</cp:lastModifiedBy>
  <cp:revision/>
  <dcterms:created xsi:type="dcterms:W3CDTF">2026-08-04T06:57:24Z</dcterms:created>
  <dcterms:modified xsi:type="dcterms:W3CDTF">2026-10-24T19:22:26Z</dcterms:modified>
  <cp:category/>
  <cp:contentStatus/>
</cp:coreProperties>
</file>